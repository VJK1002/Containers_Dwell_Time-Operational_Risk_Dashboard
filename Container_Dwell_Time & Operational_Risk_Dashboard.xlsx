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User\Desktop\"/>
    </mc:Choice>
  </mc:AlternateContent>
  <xr:revisionPtr revIDLastSave="0" documentId="13_ncr:1_{B206D4CA-E07B-40BB-85F6-0B41D5A9FE0C}" xr6:coauthVersionLast="47" xr6:coauthVersionMax="47" xr10:uidLastSave="{00000000-0000-0000-0000-000000000000}"/>
  <bookViews>
    <workbookView xWindow="-120" yWindow="-120" windowWidth="29040" windowHeight="15840" activeTab="4" xr2:uid="{00000000-000D-0000-FFFF-FFFF00000000}"/>
  </bookViews>
  <sheets>
    <sheet name="Raw Data" sheetId="1" r:id="rId1"/>
    <sheet name="Terminal Performance" sheetId="3" r:id="rId2"/>
    <sheet name="KPI" sheetId="2" r:id="rId3"/>
    <sheet name="Pivot table" sheetId="6" r:id="rId4"/>
    <sheet name="Dashboard" sheetId="5" r:id="rId5"/>
  </sheets>
  <definedNames>
    <definedName name="_xlnm._FilterDatabase" localSheetId="0" hidden="1">'Raw Data'!$A$4:$O$1504</definedName>
    <definedName name="Slicer_Containers_still_in_Yard">#N/A</definedName>
    <definedName name="Slicer_Risk_Level">#N/A</definedName>
    <definedName name="Slicer_Terminal">#N/A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3" l="1"/>
  <c r="E5" i="3"/>
  <c r="E4" i="3"/>
  <c r="E3" i="3"/>
  <c r="D6" i="3"/>
  <c r="D5" i="3"/>
  <c r="D4" i="3"/>
  <c r="D3" i="3"/>
  <c r="C6" i="3"/>
  <c r="C5" i="3"/>
  <c r="C4" i="3"/>
  <c r="C3" i="3"/>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5" i="1"/>
  <c r="J6" i="1"/>
  <c r="L6" i="1" s="1"/>
  <c r="J7" i="1"/>
  <c r="J8" i="1"/>
  <c r="J9" i="1"/>
  <c r="J10" i="1"/>
  <c r="L10" i="1" s="1"/>
  <c r="J11" i="1"/>
  <c r="L11" i="1" s="1"/>
  <c r="J12" i="1"/>
  <c r="L12" i="1" s="1"/>
  <c r="J13" i="1"/>
  <c r="L13" i="1" s="1"/>
  <c r="J14" i="1"/>
  <c r="L14" i="1" s="1"/>
  <c r="M14" i="1" s="1" a="1"/>
  <c r="M14" i="1" s="1"/>
  <c r="J15" i="1"/>
  <c r="J16" i="1"/>
  <c r="J17" i="1"/>
  <c r="J18" i="1"/>
  <c r="L18" i="1" s="1"/>
  <c r="J19" i="1"/>
  <c r="L19" i="1" s="1"/>
  <c r="J20" i="1"/>
  <c r="L20" i="1" s="1"/>
  <c r="J21" i="1"/>
  <c r="L21" i="1" s="1"/>
  <c r="J22" i="1"/>
  <c r="L22" i="1" s="1"/>
  <c r="M22" i="1" s="1" a="1"/>
  <c r="M22" i="1" s="1"/>
  <c r="J23" i="1"/>
  <c r="J24" i="1"/>
  <c r="J25" i="1"/>
  <c r="J26" i="1"/>
  <c r="L26" i="1" s="1"/>
  <c r="J27" i="1"/>
  <c r="L27" i="1" s="1"/>
  <c r="J28" i="1"/>
  <c r="L28" i="1" s="1"/>
  <c r="J29" i="1"/>
  <c r="L29" i="1" s="1"/>
  <c r="J30" i="1"/>
  <c r="L30" i="1" s="1"/>
  <c r="M30" i="1" s="1" a="1"/>
  <c r="M30" i="1" s="1"/>
  <c r="J31" i="1"/>
  <c r="J32" i="1"/>
  <c r="J33" i="1"/>
  <c r="J34" i="1"/>
  <c r="L34" i="1" s="1"/>
  <c r="J35" i="1"/>
  <c r="L35" i="1" s="1"/>
  <c r="J36" i="1"/>
  <c r="L36" i="1" s="1"/>
  <c r="J37" i="1"/>
  <c r="L37" i="1" s="1"/>
  <c r="J38" i="1"/>
  <c r="L38" i="1" s="1"/>
  <c r="M38" i="1" s="1" a="1"/>
  <c r="M38" i="1" s="1"/>
  <c r="J39" i="1"/>
  <c r="J40" i="1"/>
  <c r="J41" i="1"/>
  <c r="J42" i="1"/>
  <c r="L42" i="1" s="1"/>
  <c r="J43" i="1"/>
  <c r="L43" i="1" s="1"/>
  <c r="J44" i="1"/>
  <c r="L44" i="1" s="1"/>
  <c r="J45" i="1"/>
  <c r="L45" i="1" s="1"/>
  <c r="J46" i="1"/>
  <c r="L46" i="1" s="1"/>
  <c r="M46" i="1" s="1" a="1"/>
  <c r="M46" i="1" s="1"/>
  <c r="J47" i="1"/>
  <c r="J48" i="1"/>
  <c r="J49" i="1"/>
  <c r="J50" i="1"/>
  <c r="L50" i="1" s="1"/>
  <c r="J51" i="1"/>
  <c r="L51" i="1" s="1"/>
  <c r="J52" i="1"/>
  <c r="L52" i="1" s="1"/>
  <c r="J53" i="1"/>
  <c r="L53" i="1" s="1"/>
  <c r="J54" i="1"/>
  <c r="L54" i="1" s="1"/>
  <c r="M54" i="1" s="1" a="1"/>
  <c r="M54" i="1" s="1"/>
  <c r="J55" i="1"/>
  <c r="J56" i="1"/>
  <c r="J57" i="1"/>
  <c r="J58" i="1"/>
  <c r="L58" i="1" s="1"/>
  <c r="J59" i="1"/>
  <c r="L59" i="1" s="1"/>
  <c r="J60" i="1"/>
  <c r="L60" i="1" s="1"/>
  <c r="J61" i="1"/>
  <c r="L61" i="1" s="1"/>
  <c r="J62" i="1"/>
  <c r="L62" i="1" s="1"/>
  <c r="M62" i="1" s="1" a="1"/>
  <c r="M62" i="1" s="1"/>
  <c r="J63" i="1"/>
  <c r="J64" i="1"/>
  <c r="J65" i="1"/>
  <c r="J66" i="1"/>
  <c r="L66" i="1" s="1"/>
  <c r="J67" i="1"/>
  <c r="L67" i="1" s="1"/>
  <c r="J68" i="1"/>
  <c r="L68" i="1" s="1"/>
  <c r="J69" i="1"/>
  <c r="L69" i="1" s="1"/>
  <c r="J70" i="1"/>
  <c r="L70" i="1" s="1"/>
  <c r="M70" i="1" s="1" a="1"/>
  <c r="M70" i="1" s="1"/>
  <c r="J71" i="1"/>
  <c r="J72" i="1"/>
  <c r="J73" i="1"/>
  <c r="J74" i="1"/>
  <c r="L74" i="1" s="1"/>
  <c r="J75" i="1"/>
  <c r="L75" i="1" s="1"/>
  <c r="J76" i="1"/>
  <c r="L76" i="1" s="1"/>
  <c r="J77" i="1"/>
  <c r="L77" i="1" s="1"/>
  <c r="J78" i="1"/>
  <c r="L78" i="1" s="1"/>
  <c r="M78" i="1" s="1" a="1"/>
  <c r="M78" i="1" s="1"/>
  <c r="J79" i="1"/>
  <c r="J80" i="1"/>
  <c r="J81" i="1"/>
  <c r="J82" i="1"/>
  <c r="L82" i="1" s="1"/>
  <c r="J83" i="1"/>
  <c r="L83" i="1" s="1"/>
  <c r="J84" i="1"/>
  <c r="L84" i="1" s="1"/>
  <c r="J85" i="1"/>
  <c r="L85" i="1" s="1"/>
  <c r="J86" i="1"/>
  <c r="L86" i="1" s="1"/>
  <c r="J87" i="1"/>
  <c r="J88" i="1"/>
  <c r="J89" i="1"/>
  <c r="J90" i="1"/>
  <c r="L90" i="1" s="1"/>
  <c r="J91" i="1"/>
  <c r="L91" i="1" s="1"/>
  <c r="J92" i="1"/>
  <c r="L92" i="1" s="1"/>
  <c r="M92" i="1" s="1" a="1"/>
  <c r="M92" i="1" s="1"/>
  <c r="J93" i="1"/>
  <c r="L93" i="1" s="1"/>
  <c r="J94" i="1"/>
  <c r="L94" i="1" s="1"/>
  <c r="M94" i="1" s="1" a="1"/>
  <c r="M94" i="1" s="1"/>
  <c r="J95" i="1"/>
  <c r="J96" i="1"/>
  <c r="J97" i="1"/>
  <c r="J98" i="1"/>
  <c r="L98" i="1" s="1"/>
  <c r="J99" i="1"/>
  <c r="L99" i="1" s="1"/>
  <c r="J100" i="1"/>
  <c r="L100" i="1" s="1"/>
  <c r="J101" i="1"/>
  <c r="L101" i="1" s="1"/>
  <c r="J102" i="1"/>
  <c r="L102" i="1" s="1"/>
  <c r="M102" i="1" s="1" a="1"/>
  <c r="M102" i="1" s="1"/>
  <c r="J103" i="1"/>
  <c r="J104" i="1"/>
  <c r="J105" i="1"/>
  <c r="J106" i="1"/>
  <c r="L106" i="1" s="1"/>
  <c r="J107" i="1"/>
  <c r="L107" i="1" s="1"/>
  <c r="J108" i="1"/>
  <c r="L108" i="1" s="1"/>
  <c r="J109" i="1"/>
  <c r="L109" i="1" s="1"/>
  <c r="J110" i="1"/>
  <c r="L110" i="1" s="1"/>
  <c r="M110" i="1" s="1" a="1"/>
  <c r="M110" i="1" s="1"/>
  <c r="J111" i="1"/>
  <c r="J112" i="1"/>
  <c r="J113" i="1"/>
  <c r="J114" i="1"/>
  <c r="L114" i="1" s="1"/>
  <c r="J115" i="1"/>
  <c r="L115" i="1" s="1"/>
  <c r="J116" i="1"/>
  <c r="L116" i="1" s="1"/>
  <c r="J117" i="1"/>
  <c r="L117" i="1" s="1"/>
  <c r="J118" i="1"/>
  <c r="L118" i="1" s="1"/>
  <c r="M118" i="1" s="1" a="1"/>
  <c r="M118" i="1" s="1"/>
  <c r="J119" i="1"/>
  <c r="J120" i="1"/>
  <c r="J121" i="1"/>
  <c r="J122" i="1"/>
  <c r="L122" i="1" s="1"/>
  <c r="J123" i="1"/>
  <c r="L123" i="1" s="1"/>
  <c r="J124" i="1"/>
  <c r="L124" i="1" s="1"/>
  <c r="J125" i="1"/>
  <c r="L125" i="1" s="1"/>
  <c r="J126" i="1"/>
  <c r="L126" i="1" s="1"/>
  <c r="M126" i="1" s="1" a="1"/>
  <c r="M126" i="1" s="1"/>
  <c r="J127" i="1"/>
  <c r="J128" i="1"/>
  <c r="J129" i="1"/>
  <c r="J130" i="1"/>
  <c r="L130" i="1" s="1"/>
  <c r="J131" i="1"/>
  <c r="L131" i="1" s="1"/>
  <c r="J132" i="1"/>
  <c r="L132" i="1" s="1"/>
  <c r="J133" i="1"/>
  <c r="L133" i="1" s="1"/>
  <c r="J134" i="1"/>
  <c r="L134" i="1" s="1"/>
  <c r="M134" i="1" s="1" a="1"/>
  <c r="M134" i="1" s="1"/>
  <c r="J135" i="1"/>
  <c r="J136" i="1"/>
  <c r="J137" i="1"/>
  <c r="J138" i="1"/>
  <c r="L138" i="1" s="1"/>
  <c r="J139" i="1"/>
  <c r="L139" i="1" s="1"/>
  <c r="J140" i="1"/>
  <c r="L140" i="1" s="1"/>
  <c r="J141" i="1"/>
  <c r="L141" i="1" s="1"/>
  <c r="J142" i="1"/>
  <c r="L142" i="1" s="1"/>
  <c r="M142" i="1" s="1" a="1"/>
  <c r="M142" i="1" s="1"/>
  <c r="J143" i="1"/>
  <c r="J144" i="1"/>
  <c r="J145" i="1"/>
  <c r="J146" i="1"/>
  <c r="L146" i="1" s="1"/>
  <c r="J147" i="1"/>
  <c r="L147" i="1" s="1"/>
  <c r="J148" i="1"/>
  <c r="L148" i="1" s="1"/>
  <c r="J149" i="1"/>
  <c r="L149" i="1" s="1"/>
  <c r="J150" i="1"/>
  <c r="L150" i="1" s="1"/>
  <c r="M150" i="1" s="1" a="1"/>
  <c r="M150" i="1" s="1"/>
  <c r="J151" i="1"/>
  <c r="J152" i="1"/>
  <c r="J153" i="1"/>
  <c r="J154" i="1"/>
  <c r="L154" i="1" s="1"/>
  <c r="J155" i="1"/>
  <c r="L155" i="1" s="1"/>
  <c r="J156" i="1"/>
  <c r="L156" i="1" s="1"/>
  <c r="J157" i="1"/>
  <c r="L157" i="1" s="1"/>
  <c r="J158" i="1"/>
  <c r="L158" i="1" s="1"/>
  <c r="M158" i="1" s="1" a="1"/>
  <c r="M158" i="1" s="1"/>
  <c r="J159" i="1"/>
  <c r="J160" i="1"/>
  <c r="J161" i="1"/>
  <c r="J162" i="1"/>
  <c r="L162" i="1" s="1"/>
  <c r="J163" i="1"/>
  <c r="L163" i="1" s="1"/>
  <c r="J164" i="1"/>
  <c r="L164" i="1" s="1"/>
  <c r="J165" i="1"/>
  <c r="L165" i="1" s="1"/>
  <c r="J166" i="1"/>
  <c r="L166" i="1" s="1"/>
  <c r="J167" i="1"/>
  <c r="J168" i="1"/>
  <c r="J169" i="1"/>
  <c r="J170" i="1"/>
  <c r="L170" i="1" s="1"/>
  <c r="J171" i="1"/>
  <c r="L171" i="1" s="1"/>
  <c r="J172" i="1"/>
  <c r="L172" i="1" s="1"/>
  <c r="M172" i="1" s="1" a="1"/>
  <c r="M172" i="1" s="1"/>
  <c r="J173" i="1"/>
  <c r="L173" i="1" s="1"/>
  <c r="J174" i="1"/>
  <c r="L174" i="1" s="1"/>
  <c r="M174" i="1" s="1" a="1"/>
  <c r="M174" i="1" s="1"/>
  <c r="J175" i="1"/>
  <c r="J176" i="1"/>
  <c r="J177" i="1"/>
  <c r="J178" i="1"/>
  <c r="L178" i="1" s="1"/>
  <c r="J179" i="1"/>
  <c r="L179" i="1" s="1"/>
  <c r="J180" i="1"/>
  <c r="L180" i="1" s="1"/>
  <c r="J181" i="1"/>
  <c r="L181" i="1" s="1"/>
  <c r="J182" i="1"/>
  <c r="L182" i="1" s="1"/>
  <c r="M182" i="1" s="1" a="1"/>
  <c r="M182" i="1" s="1"/>
  <c r="J183" i="1"/>
  <c r="J184" i="1"/>
  <c r="J185" i="1"/>
  <c r="J186" i="1"/>
  <c r="L186" i="1" s="1"/>
  <c r="J187" i="1"/>
  <c r="L187" i="1" s="1"/>
  <c r="J188" i="1"/>
  <c r="L188" i="1" s="1"/>
  <c r="J189" i="1"/>
  <c r="L189" i="1" s="1"/>
  <c r="J190" i="1"/>
  <c r="L190" i="1" s="1"/>
  <c r="M190" i="1" s="1" a="1"/>
  <c r="M190" i="1" s="1"/>
  <c r="J191" i="1"/>
  <c r="J192" i="1"/>
  <c r="J193" i="1"/>
  <c r="J194" i="1"/>
  <c r="L194" i="1" s="1"/>
  <c r="J195" i="1"/>
  <c r="L195" i="1" s="1"/>
  <c r="J196" i="1"/>
  <c r="L196" i="1" s="1"/>
  <c r="J197" i="1"/>
  <c r="L197" i="1" s="1"/>
  <c r="J198" i="1"/>
  <c r="L198" i="1" s="1"/>
  <c r="M198" i="1" s="1" a="1"/>
  <c r="M198" i="1" s="1"/>
  <c r="J199" i="1"/>
  <c r="J200" i="1"/>
  <c r="J201" i="1"/>
  <c r="J202" i="1"/>
  <c r="L202" i="1" s="1"/>
  <c r="J203" i="1"/>
  <c r="L203" i="1" s="1"/>
  <c r="J204" i="1"/>
  <c r="L204" i="1" s="1"/>
  <c r="J205" i="1"/>
  <c r="L205" i="1" s="1"/>
  <c r="J206" i="1"/>
  <c r="L206" i="1" s="1"/>
  <c r="M206" i="1" s="1" a="1"/>
  <c r="M206" i="1" s="1"/>
  <c r="J207" i="1"/>
  <c r="J208" i="1"/>
  <c r="J209" i="1"/>
  <c r="J210" i="1"/>
  <c r="L210" i="1" s="1"/>
  <c r="J211" i="1"/>
  <c r="L211" i="1" s="1"/>
  <c r="J212" i="1"/>
  <c r="L212" i="1" s="1"/>
  <c r="J213" i="1"/>
  <c r="L213" i="1" s="1"/>
  <c r="J214" i="1"/>
  <c r="L214" i="1" s="1"/>
  <c r="M214" i="1" s="1" a="1"/>
  <c r="M214" i="1" s="1"/>
  <c r="J215" i="1"/>
  <c r="J216" i="1"/>
  <c r="J217" i="1"/>
  <c r="J218" i="1"/>
  <c r="L218" i="1" s="1"/>
  <c r="J219" i="1"/>
  <c r="L219" i="1" s="1"/>
  <c r="J220" i="1"/>
  <c r="L220" i="1" s="1"/>
  <c r="M220" i="1" s="1" a="1"/>
  <c r="M220" i="1" s="1"/>
  <c r="J221" i="1"/>
  <c r="L221" i="1" s="1"/>
  <c r="J222" i="1"/>
  <c r="L222" i="1" s="1"/>
  <c r="M222" i="1" s="1" a="1"/>
  <c r="M222" i="1" s="1"/>
  <c r="J223" i="1"/>
  <c r="J224" i="1"/>
  <c r="J225" i="1"/>
  <c r="J226" i="1"/>
  <c r="L226" i="1" s="1"/>
  <c r="J227" i="1"/>
  <c r="L227" i="1" s="1"/>
  <c r="J228" i="1"/>
  <c r="L228" i="1" s="1"/>
  <c r="J229" i="1"/>
  <c r="L229" i="1" s="1"/>
  <c r="J230" i="1"/>
  <c r="L230" i="1" s="1"/>
  <c r="M230" i="1" s="1" a="1"/>
  <c r="M230" i="1" s="1"/>
  <c r="J231" i="1"/>
  <c r="J232" i="1"/>
  <c r="J233" i="1"/>
  <c r="J234" i="1"/>
  <c r="L234" i="1" s="1"/>
  <c r="J235" i="1"/>
  <c r="L235" i="1" s="1"/>
  <c r="J236" i="1"/>
  <c r="L236" i="1" s="1"/>
  <c r="J237" i="1"/>
  <c r="L237" i="1" s="1"/>
  <c r="J238" i="1"/>
  <c r="L238" i="1" s="1"/>
  <c r="M238" i="1" s="1" a="1"/>
  <c r="M238" i="1" s="1"/>
  <c r="J239" i="1"/>
  <c r="J240" i="1"/>
  <c r="J241" i="1"/>
  <c r="J242" i="1"/>
  <c r="L242" i="1" s="1"/>
  <c r="J243" i="1"/>
  <c r="L243" i="1" s="1"/>
  <c r="J244" i="1"/>
  <c r="L244" i="1" s="1"/>
  <c r="J245" i="1"/>
  <c r="L245" i="1" s="1"/>
  <c r="J246" i="1"/>
  <c r="L246" i="1" s="1"/>
  <c r="M246" i="1" s="1" a="1"/>
  <c r="M246" i="1" s="1"/>
  <c r="J247" i="1"/>
  <c r="J248" i="1"/>
  <c r="J249" i="1"/>
  <c r="J250" i="1"/>
  <c r="L250" i="1" s="1"/>
  <c r="J251" i="1"/>
  <c r="L251" i="1" s="1"/>
  <c r="J252" i="1"/>
  <c r="L252" i="1" s="1"/>
  <c r="J253" i="1"/>
  <c r="L253" i="1" s="1"/>
  <c r="J254" i="1"/>
  <c r="L254" i="1" s="1"/>
  <c r="M254" i="1" s="1" a="1"/>
  <c r="M254" i="1" s="1"/>
  <c r="J255" i="1"/>
  <c r="J256" i="1"/>
  <c r="J257" i="1"/>
  <c r="J258" i="1"/>
  <c r="L258" i="1" s="1"/>
  <c r="J259" i="1"/>
  <c r="L259" i="1" s="1"/>
  <c r="J260" i="1"/>
  <c r="L260" i="1" s="1"/>
  <c r="J261" i="1"/>
  <c r="L261" i="1" s="1"/>
  <c r="J262" i="1"/>
  <c r="L262" i="1" s="1"/>
  <c r="J263" i="1"/>
  <c r="J264" i="1"/>
  <c r="J265" i="1"/>
  <c r="J266" i="1"/>
  <c r="L266" i="1" s="1"/>
  <c r="J267" i="1"/>
  <c r="L267" i="1" s="1"/>
  <c r="J268" i="1"/>
  <c r="L268" i="1" s="1"/>
  <c r="J269" i="1"/>
  <c r="L269" i="1" s="1"/>
  <c r="J270" i="1"/>
  <c r="L270" i="1" s="1"/>
  <c r="M270" i="1" s="1" a="1"/>
  <c r="M270" i="1" s="1"/>
  <c r="J271" i="1"/>
  <c r="J272" i="1"/>
  <c r="J273" i="1"/>
  <c r="J274" i="1"/>
  <c r="L274" i="1" s="1"/>
  <c r="J275" i="1"/>
  <c r="L275" i="1" s="1"/>
  <c r="J276" i="1"/>
  <c r="L276" i="1" s="1"/>
  <c r="M276" i="1" s="1" a="1"/>
  <c r="M276" i="1" s="1"/>
  <c r="J277" i="1"/>
  <c r="L277" i="1" s="1"/>
  <c r="J278" i="1"/>
  <c r="L278" i="1" s="1"/>
  <c r="M278" i="1" s="1" a="1"/>
  <c r="M278" i="1" s="1"/>
  <c r="J279" i="1"/>
  <c r="J280" i="1"/>
  <c r="J281" i="1"/>
  <c r="J282" i="1"/>
  <c r="L282" i="1" s="1"/>
  <c r="J283" i="1"/>
  <c r="L283" i="1" s="1"/>
  <c r="J284" i="1"/>
  <c r="L284" i="1" s="1"/>
  <c r="J285" i="1"/>
  <c r="L285" i="1" s="1"/>
  <c r="J286" i="1"/>
  <c r="L286" i="1" s="1"/>
  <c r="M286" i="1" s="1" a="1"/>
  <c r="M286" i="1" s="1"/>
  <c r="J287" i="1"/>
  <c r="J288" i="1"/>
  <c r="J289" i="1"/>
  <c r="J290" i="1"/>
  <c r="L290" i="1" s="1"/>
  <c r="J291" i="1"/>
  <c r="L291" i="1" s="1"/>
  <c r="J292" i="1"/>
  <c r="L292" i="1" s="1"/>
  <c r="J293" i="1"/>
  <c r="L293" i="1" s="1"/>
  <c r="J294" i="1"/>
  <c r="L294" i="1" s="1"/>
  <c r="M294" i="1" s="1" a="1"/>
  <c r="M294" i="1" s="1"/>
  <c r="J295" i="1"/>
  <c r="J296" i="1"/>
  <c r="J297" i="1"/>
  <c r="L297" i="1" s="1"/>
  <c r="J298" i="1"/>
  <c r="L298" i="1" s="1"/>
  <c r="J299" i="1"/>
  <c r="L299" i="1" s="1"/>
  <c r="J300" i="1"/>
  <c r="L300" i="1" s="1"/>
  <c r="J301" i="1"/>
  <c r="L301" i="1" s="1"/>
  <c r="J302" i="1"/>
  <c r="L302" i="1" s="1"/>
  <c r="M302" i="1" s="1" a="1"/>
  <c r="M302" i="1" s="1"/>
  <c r="J303" i="1"/>
  <c r="J304" i="1"/>
  <c r="J305" i="1"/>
  <c r="J306" i="1"/>
  <c r="L306" i="1" s="1"/>
  <c r="J307" i="1"/>
  <c r="L307" i="1" s="1"/>
  <c r="J308" i="1"/>
  <c r="L308" i="1" s="1"/>
  <c r="J309" i="1"/>
  <c r="L309" i="1" s="1"/>
  <c r="J310" i="1"/>
  <c r="L310" i="1" s="1"/>
  <c r="M310" i="1" s="1" a="1"/>
  <c r="M310" i="1" s="1"/>
  <c r="J311" i="1"/>
  <c r="J312" i="1"/>
  <c r="J313" i="1"/>
  <c r="J314" i="1"/>
  <c r="L314" i="1" s="1"/>
  <c r="J315" i="1"/>
  <c r="L315" i="1" s="1"/>
  <c r="J316" i="1"/>
  <c r="L316" i="1" s="1"/>
  <c r="J317" i="1"/>
  <c r="L317" i="1" s="1"/>
  <c r="J318" i="1"/>
  <c r="L318" i="1" s="1"/>
  <c r="M318" i="1" s="1" a="1"/>
  <c r="M318" i="1" s="1"/>
  <c r="J319" i="1"/>
  <c r="J320" i="1"/>
  <c r="J321" i="1"/>
  <c r="J322" i="1"/>
  <c r="L322" i="1" s="1"/>
  <c r="J323" i="1"/>
  <c r="L323" i="1" s="1"/>
  <c r="J324" i="1"/>
  <c r="L324" i="1" s="1"/>
  <c r="J325" i="1"/>
  <c r="L325" i="1" s="1"/>
  <c r="J326" i="1"/>
  <c r="L326" i="1" s="1"/>
  <c r="M326" i="1" s="1" a="1"/>
  <c r="M326" i="1" s="1"/>
  <c r="J327" i="1"/>
  <c r="J328" i="1"/>
  <c r="J329" i="1"/>
  <c r="J330" i="1"/>
  <c r="L330" i="1" s="1"/>
  <c r="J331" i="1"/>
  <c r="L331" i="1" s="1"/>
  <c r="J332" i="1"/>
  <c r="L332" i="1" s="1"/>
  <c r="J333" i="1"/>
  <c r="L333" i="1" s="1"/>
  <c r="J334" i="1"/>
  <c r="L334" i="1" s="1"/>
  <c r="M334" i="1" s="1" a="1"/>
  <c r="M334" i="1" s="1"/>
  <c r="J335" i="1"/>
  <c r="J336" i="1"/>
  <c r="J337" i="1"/>
  <c r="J338" i="1"/>
  <c r="L338" i="1" s="1"/>
  <c r="J339" i="1"/>
  <c r="L339" i="1" s="1"/>
  <c r="J340" i="1"/>
  <c r="L340" i="1" s="1"/>
  <c r="J341" i="1"/>
  <c r="L341" i="1" s="1"/>
  <c r="J342" i="1"/>
  <c r="L342" i="1" s="1"/>
  <c r="M342" i="1" s="1" a="1"/>
  <c r="M342" i="1" s="1"/>
  <c r="J343" i="1"/>
  <c r="J344" i="1"/>
  <c r="J345" i="1"/>
  <c r="J346" i="1"/>
  <c r="L346" i="1" s="1"/>
  <c r="J347" i="1"/>
  <c r="L347" i="1" s="1"/>
  <c r="J348" i="1"/>
  <c r="L348" i="1" s="1"/>
  <c r="J349" i="1"/>
  <c r="L349" i="1" s="1"/>
  <c r="J350" i="1"/>
  <c r="L350" i="1" s="1"/>
  <c r="M350" i="1" s="1" a="1"/>
  <c r="M350" i="1" s="1"/>
  <c r="J351" i="1"/>
  <c r="J352" i="1"/>
  <c r="J353" i="1"/>
  <c r="J354" i="1"/>
  <c r="L354" i="1" s="1"/>
  <c r="J355" i="1"/>
  <c r="L355" i="1" s="1"/>
  <c r="J356" i="1"/>
  <c r="L356" i="1" s="1"/>
  <c r="J357" i="1"/>
  <c r="L357" i="1" s="1"/>
  <c r="J358" i="1"/>
  <c r="L358" i="1" s="1"/>
  <c r="J359" i="1"/>
  <c r="J360" i="1"/>
  <c r="J361" i="1"/>
  <c r="J362" i="1"/>
  <c r="L362" i="1" s="1"/>
  <c r="J363" i="1"/>
  <c r="L363" i="1" s="1"/>
  <c r="J364" i="1"/>
  <c r="L364" i="1" s="1"/>
  <c r="J365" i="1"/>
  <c r="L365" i="1" s="1"/>
  <c r="J366" i="1"/>
  <c r="L366" i="1" s="1"/>
  <c r="M366" i="1" s="1" a="1"/>
  <c r="M366" i="1" s="1"/>
  <c r="J367" i="1"/>
  <c r="J368" i="1"/>
  <c r="J369" i="1"/>
  <c r="J370" i="1"/>
  <c r="L370" i="1" s="1"/>
  <c r="J371" i="1"/>
  <c r="L371" i="1" s="1"/>
  <c r="J372" i="1"/>
  <c r="L372" i="1" s="1"/>
  <c r="J373" i="1"/>
  <c r="L373" i="1" s="1"/>
  <c r="J374" i="1"/>
  <c r="L374" i="1" s="1"/>
  <c r="M374" i="1" s="1" a="1"/>
  <c r="M374" i="1" s="1"/>
  <c r="J375" i="1"/>
  <c r="J376" i="1"/>
  <c r="J377" i="1"/>
  <c r="J378" i="1"/>
  <c r="L378" i="1" s="1"/>
  <c r="J379" i="1"/>
  <c r="L379" i="1" s="1"/>
  <c r="J380" i="1"/>
  <c r="L380" i="1" s="1"/>
  <c r="M380" i="1" s="1" a="1"/>
  <c r="M380" i="1" s="1"/>
  <c r="J381" i="1"/>
  <c r="L381" i="1" s="1"/>
  <c r="J382" i="1"/>
  <c r="L382" i="1" s="1"/>
  <c r="M382" i="1" s="1" a="1"/>
  <c r="M382" i="1" s="1"/>
  <c r="J383" i="1"/>
  <c r="J384" i="1"/>
  <c r="J385" i="1"/>
  <c r="J386" i="1"/>
  <c r="L386" i="1" s="1"/>
  <c r="J387" i="1"/>
  <c r="L387" i="1" s="1"/>
  <c r="J388" i="1"/>
  <c r="L388" i="1" s="1"/>
  <c r="J389" i="1"/>
  <c r="L389" i="1" s="1"/>
  <c r="J390" i="1"/>
  <c r="L390" i="1" s="1"/>
  <c r="M390" i="1" s="1" a="1"/>
  <c r="M390" i="1" s="1"/>
  <c r="J391" i="1"/>
  <c r="J392" i="1"/>
  <c r="J393" i="1"/>
  <c r="J394" i="1"/>
  <c r="L394" i="1" s="1"/>
  <c r="J395" i="1"/>
  <c r="L395" i="1" s="1"/>
  <c r="J396" i="1"/>
  <c r="L396" i="1" s="1"/>
  <c r="J397" i="1"/>
  <c r="L397" i="1" s="1"/>
  <c r="J398" i="1"/>
  <c r="L398" i="1" s="1"/>
  <c r="M398" i="1" s="1" a="1"/>
  <c r="M398" i="1" s="1"/>
  <c r="J399" i="1"/>
  <c r="J400" i="1"/>
  <c r="J401" i="1"/>
  <c r="J402" i="1"/>
  <c r="L402" i="1" s="1"/>
  <c r="J403" i="1"/>
  <c r="L403" i="1" s="1"/>
  <c r="J404" i="1"/>
  <c r="L404" i="1" s="1"/>
  <c r="J405" i="1"/>
  <c r="L405" i="1" s="1"/>
  <c r="J406" i="1"/>
  <c r="L406" i="1" s="1"/>
  <c r="M406" i="1" s="1" a="1"/>
  <c r="M406" i="1" s="1"/>
  <c r="J407" i="1"/>
  <c r="J408" i="1"/>
  <c r="J409" i="1"/>
  <c r="J410" i="1"/>
  <c r="L410" i="1" s="1"/>
  <c r="J411" i="1"/>
  <c r="L411" i="1" s="1"/>
  <c r="J412" i="1"/>
  <c r="L412" i="1" s="1"/>
  <c r="J413" i="1"/>
  <c r="L413" i="1" s="1"/>
  <c r="J414" i="1"/>
  <c r="L414" i="1" s="1"/>
  <c r="M414" i="1" s="1" a="1"/>
  <c r="M414" i="1" s="1"/>
  <c r="J415" i="1"/>
  <c r="J416" i="1"/>
  <c r="J417" i="1"/>
  <c r="J418" i="1"/>
  <c r="L418" i="1" s="1"/>
  <c r="J419" i="1"/>
  <c r="L419" i="1" s="1"/>
  <c r="J420" i="1"/>
  <c r="L420" i="1" s="1"/>
  <c r="J421" i="1"/>
  <c r="L421" i="1" s="1"/>
  <c r="J422" i="1"/>
  <c r="L422" i="1" s="1"/>
  <c r="M422" i="1" s="1" a="1"/>
  <c r="M422" i="1" s="1"/>
  <c r="J423" i="1"/>
  <c r="J424" i="1"/>
  <c r="J425" i="1"/>
  <c r="J426" i="1"/>
  <c r="L426" i="1" s="1"/>
  <c r="J427" i="1"/>
  <c r="L427" i="1" s="1"/>
  <c r="J428" i="1"/>
  <c r="L428" i="1" s="1"/>
  <c r="M428" i="1" s="1" a="1"/>
  <c r="M428" i="1" s="1"/>
  <c r="J429" i="1"/>
  <c r="L429" i="1" s="1"/>
  <c r="J430" i="1"/>
  <c r="L430" i="1" s="1"/>
  <c r="M430" i="1" s="1" a="1"/>
  <c r="M430" i="1" s="1"/>
  <c r="J431" i="1"/>
  <c r="J432" i="1"/>
  <c r="J433" i="1"/>
  <c r="J434" i="1"/>
  <c r="L434" i="1" s="1"/>
  <c r="J435" i="1"/>
  <c r="L435" i="1" s="1"/>
  <c r="J436" i="1"/>
  <c r="L436" i="1" s="1"/>
  <c r="J437" i="1"/>
  <c r="L437" i="1" s="1"/>
  <c r="J438" i="1"/>
  <c r="L438" i="1" s="1"/>
  <c r="M438" i="1" s="1" a="1"/>
  <c r="M438" i="1" s="1"/>
  <c r="J439" i="1"/>
  <c r="J440" i="1"/>
  <c r="J441" i="1"/>
  <c r="J442" i="1"/>
  <c r="L442" i="1" s="1"/>
  <c r="J443" i="1"/>
  <c r="L443" i="1" s="1"/>
  <c r="J444" i="1"/>
  <c r="L444" i="1" s="1"/>
  <c r="J445" i="1"/>
  <c r="L445" i="1" s="1"/>
  <c r="J446" i="1"/>
  <c r="L446" i="1" s="1"/>
  <c r="M446" i="1" s="1" a="1"/>
  <c r="M446" i="1" s="1"/>
  <c r="J447" i="1"/>
  <c r="J448" i="1"/>
  <c r="J449" i="1"/>
  <c r="J450" i="1"/>
  <c r="L450" i="1" s="1"/>
  <c r="J451" i="1"/>
  <c r="L451" i="1" s="1"/>
  <c r="J452" i="1"/>
  <c r="L452" i="1" s="1"/>
  <c r="J453" i="1"/>
  <c r="L453" i="1" s="1"/>
  <c r="J454" i="1"/>
  <c r="L454" i="1" s="1"/>
  <c r="M454" i="1" s="1" a="1"/>
  <c r="M454" i="1" s="1"/>
  <c r="J455" i="1"/>
  <c r="J456" i="1"/>
  <c r="J457" i="1"/>
  <c r="J458" i="1"/>
  <c r="L458" i="1" s="1"/>
  <c r="J459" i="1"/>
  <c r="L459" i="1" s="1"/>
  <c r="J460" i="1"/>
  <c r="L460" i="1" s="1"/>
  <c r="J461" i="1"/>
  <c r="L461" i="1" s="1"/>
  <c r="J462" i="1"/>
  <c r="L462" i="1" s="1"/>
  <c r="M462" i="1" s="1" a="1"/>
  <c r="M462" i="1" s="1"/>
  <c r="J463" i="1"/>
  <c r="J464" i="1"/>
  <c r="J465" i="1"/>
  <c r="J466" i="1"/>
  <c r="L466" i="1" s="1"/>
  <c r="J467" i="1"/>
  <c r="L467" i="1" s="1"/>
  <c r="J468" i="1"/>
  <c r="L468" i="1" s="1"/>
  <c r="J469" i="1"/>
  <c r="L469" i="1" s="1"/>
  <c r="J470" i="1"/>
  <c r="L470" i="1" s="1"/>
  <c r="J471" i="1"/>
  <c r="J472" i="1"/>
  <c r="J473" i="1"/>
  <c r="J474" i="1"/>
  <c r="L474" i="1" s="1"/>
  <c r="J475" i="1"/>
  <c r="L475" i="1" s="1"/>
  <c r="J476" i="1"/>
  <c r="L476" i="1" s="1"/>
  <c r="J477" i="1"/>
  <c r="L477" i="1" s="1"/>
  <c r="J478" i="1"/>
  <c r="L478" i="1" s="1"/>
  <c r="M478" i="1" s="1" a="1"/>
  <c r="M478" i="1" s="1"/>
  <c r="J479" i="1"/>
  <c r="J480" i="1"/>
  <c r="J481" i="1"/>
  <c r="J482" i="1"/>
  <c r="L482" i="1" s="1"/>
  <c r="J483" i="1"/>
  <c r="L483" i="1" s="1"/>
  <c r="J484" i="1"/>
  <c r="L484" i="1" s="1"/>
  <c r="J485" i="1"/>
  <c r="L485" i="1" s="1"/>
  <c r="J486" i="1"/>
  <c r="L486" i="1" s="1"/>
  <c r="M486" i="1" s="1" a="1"/>
  <c r="M486" i="1" s="1"/>
  <c r="J487" i="1"/>
  <c r="J488" i="1"/>
  <c r="J489" i="1"/>
  <c r="J490" i="1"/>
  <c r="L490" i="1" s="1"/>
  <c r="J491" i="1"/>
  <c r="L491" i="1" s="1"/>
  <c r="J492" i="1"/>
  <c r="L492" i="1" s="1"/>
  <c r="J493" i="1"/>
  <c r="L493" i="1" s="1"/>
  <c r="J494" i="1"/>
  <c r="L494" i="1" s="1"/>
  <c r="M494" i="1" s="1" a="1"/>
  <c r="M494" i="1" s="1"/>
  <c r="J495" i="1"/>
  <c r="J496" i="1"/>
  <c r="J497" i="1"/>
  <c r="J498" i="1"/>
  <c r="L498" i="1" s="1"/>
  <c r="J499" i="1"/>
  <c r="L499" i="1" s="1"/>
  <c r="J500" i="1"/>
  <c r="L500" i="1" s="1"/>
  <c r="J501" i="1"/>
  <c r="L501" i="1" s="1"/>
  <c r="J502" i="1"/>
  <c r="L502" i="1" s="1"/>
  <c r="M502" i="1" s="1" a="1"/>
  <c r="M502" i="1" s="1"/>
  <c r="J503" i="1"/>
  <c r="J504" i="1"/>
  <c r="J505" i="1"/>
  <c r="J506" i="1"/>
  <c r="L506" i="1" s="1"/>
  <c r="J507" i="1"/>
  <c r="L507" i="1" s="1"/>
  <c r="J508" i="1"/>
  <c r="L508" i="1" s="1"/>
  <c r="J509" i="1"/>
  <c r="L509" i="1" s="1"/>
  <c r="J510" i="1"/>
  <c r="L510" i="1" s="1"/>
  <c r="M510" i="1" s="1" a="1"/>
  <c r="M510" i="1" s="1"/>
  <c r="J511" i="1"/>
  <c r="J512" i="1"/>
  <c r="J513" i="1"/>
  <c r="J514" i="1"/>
  <c r="L514" i="1" s="1"/>
  <c r="J515" i="1"/>
  <c r="L515" i="1" s="1"/>
  <c r="J516" i="1"/>
  <c r="L516" i="1" s="1"/>
  <c r="J517" i="1"/>
  <c r="L517" i="1" s="1"/>
  <c r="J518" i="1"/>
  <c r="L518" i="1" s="1"/>
  <c r="M518" i="1" s="1" a="1"/>
  <c r="M518" i="1" s="1"/>
  <c r="J519" i="1"/>
  <c r="J520" i="1"/>
  <c r="J521" i="1"/>
  <c r="J522" i="1"/>
  <c r="L522" i="1" s="1"/>
  <c r="J523" i="1"/>
  <c r="L523" i="1" s="1"/>
  <c r="J524" i="1"/>
  <c r="L524" i="1" s="1"/>
  <c r="J525" i="1"/>
  <c r="L525" i="1" s="1"/>
  <c r="J526" i="1"/>
  <c r="L526" i="1" s="1"/>
  <c r="M526" i="1" s="1" a="1"/>
  <c r="M526" i="1" s="1"/>
  <c r="J527" i="1"/>
  <c r="J528" i="1"/>
  <c r="J529" i="1"/>
  <c r="J530" i="1"/>
  <c r="L530" i="1" s="1"/>
  <c r="J531" i="1"/>
  <c r="L531" i="1" s="1"/>
  <c r="J532" i="1"/>
  <c r="L532" i="1" s="1"/>
  <c r="M532" i="1" s="1" a="1"/>
  <c r="M532" i="1" s="1"/>
  <c r="J533" i="1"/>
  <c r="L533" i="1" s="1"/>
  <c r="J534" i="1"/>
  <c r="L534" i="1" s="1"/>
  <c r="M534" i="1" s="1" a="1"/>
  <c r="M534" i="1" s="1"/>
  <c r="J535" i="1"/>
  <c r="J536" i="1"/>
  <c r="J537" i="1"/>
  <c r="J538" i="1"/>
  <c r="L538" i="1" s="1"/>
  <c r="J539" i="1"/>
  <c r="L539" i="1" s="1"/>
  <c r="J540" i="1"/>
  <c r="L540" i="1" s="1"/>
  <c r="J541" i="1"/>
  <c r="L541" i="1" s="1"/>
  <c r="J542" i="1"/>
  <c r="L542" i="1" s="1"/>
  <c r="M542" i="1" s="1" a="1"/>
  <c r="M542" i="1" s="1"/>
  <c r="J543" i="1"/>
  <c r="J544" i="1"/>
  <c r="J545" i="1"/>
  <c r="J546" i="1"/>
  <c r="L546" i="1" s="1"/>
  <c r="J547" i="1"/>
  <c r="L547" i="1" s="1"/>
  <c r="J548" i="1"/>
  <c r="L548" i="1" s="1"/>
  <c r="J549" i="1"/>
  <c r="L549" i="1" s="1"/>
  <c r="J550" i="1"/>
  <c r="L550" i="1" s="1"/>
  <c r="M550" i="1" s="1" a="1"/>
  <c r="M550" i="1" s="1"/>
  <c r="J551" i="1"/>
  <c r="J552" i="1"/>
  <c r="J553" i="1"/>
  <c r="J554" i="1"/>
  <c r="L554" i="1" s="1"/>
  <c r="J555" i="1"/>
  <c r="L555" i="1" s="1"/>
  <c r="J556" i="1"/>
  <c r="L556" i="1" s="1"/>
  <c r="J557" i="1"/>
  <c r="L557" i="1" s="1"/>
  <c r="J558" i="1"/>
  <c r="L558" i="1" s="1"/>
  <c r="M558" i="1" s="1" a="1"/>
  <c r="M558" i="1" s="1"/>
  <c r="J559" i="1"/>
  <c r="J560" i="1"/>
  <c r="J561" i="1"/>
  <c r="J562" i="1"/>
  <c r="L562" i="1" s="1"/>
  <c r="J563" i="1"/>
  <c r="L563" i="1" s="1"/>
  <c r="J564" i="1"/>
  <c r="L564" i="1" s="1"/>
  <c r="J565" i="1"/>
  <c r="L565" i="1" s="1"/>
  <c r="J566" i="1"/>
  <c r="L566" i="1" s="1"/>
  <c r="M566" i="1" s="1" a="1"/>
  <c r="M566" i="1" s="1"/>
  <c r="J567" i="1"/>
  <c r="J568" i="1"/>
  <c r="J569" i="1"/>
  <c r="J570" i="1"/>
  <c r="L570" i="1" s="1"/>
  <c r="J571" i="1"/>
  <c r="L571" i="1" s="1"/>
  <c r="J572" i="1"/>
  <c r="L572" i="1" s="1"/>
  <c r="J573" i="1"/>
  <c r="L573" i="1" s="1"/>
  <c r="J574" i="1"/>
  <c r="L574" i="1" s="1"/>
  <c r="M574" i="1" s="1" a="1"/>
  <c r="M574" i="1" s="1"/>
  <c r="J575" i="1"/>
  <c r="J576" i="1"/>
  <c r="J577" i="1"/>
  <c r="J578" i="1"/>
  <c r="L578" i="1" s="1"/>
  <c r="J579" i="1"/>
  <c r="L579" i="1" s="1"/>
  <c r="J580" i="1"/>
  <c r="L580" i="1" s="1"/>
  <c r="M580" i="1" s="1" a="1"/>
  <c r="M580" i="1" s="1"/>
  <c r="J581" i="1"/>
  <c r="L581" i="1" s="1"/>
  <c r="J582" i="1"/>
  <c r="L582" i="1" s="1"/>
  <c r="M582" i="1" s="1" a="1"/>
  <c r="M582" i="1" s="1"/>
  <c r="J583" i="1"/>
  <c r="J584" i="1"/>
  <c r="J585" i="1"/>
  <c r="J586" i="1"/>
  <c r="L586" i="1" s="1"/>
  <c r="J587" i="1"/>
  <c r="L587" i="1" s="1"/>
  <c r="J588" i="1"/>
  <c r="L588" i="1" s="1"/>
  <c r="J589" i="1"/>
  <c r="L589" i="1" s="1"/>
  <c r="J590" i="1"/>
  <c r="L590" i="1" s="1"/>
  <c r="M590" i="1" s="1" a="1"/>
  <c r="M590" i="1" s="1"/>
  <c r="J591" i="1"/>
  <c r="J592" i="1"/>
  <c r="J593" i="1"/>
  <c r="J594" i="1"/>
  <c r="L594" i="1" s="1"/>
  <c r="J595" i="1"/>
  <c r="L595" i="1" s="1"/>
  <c r="J596" i="1"/>
  <c r="L596" i="1" s="1"/>
  <c r="J597" i="1"/>
  <c r="L597" i="1" s="1"/>
  <c r="J598" i="1"/>
  <c r="L598" i="1" s="1"/>
  <c r="M598" i="1" s="1" a="1"/>
  <c r="M598" i="1" s="1"/>
  <c r="J599" i="1"/>
  <c r="J600" i="1"/>
  <c r="J601" i="1"/>
  <c r="J602" i="1"/>
  <c r="L602" i="1" s="1"/>
  <c r="J603" i="1"/>
  <c r="L603" i="1" s="1"/>
  <c r="J604" i="1"/>
  <c r="L604" i="1" s="1"/>
  <c r="J605" i="1"/>
  <c r="L605" i="1" s="1"/>
  <c r="J606" i="1"/>
  <c r="L606" i="1" s="1"/>
  <c r="M606" i="1" s="1" a="1"/>
  <c r="M606" i="1" s="1"/>
  <c r="J607" i="1"/>
  <c r="J608" i="1"/>
  <c r="J609" i="1"/>
  <c r="J610" i="1"/>
  <c r="L610" i="1" s="1"/>
  <c r="J611" i="1"/>
  <c r="L611" i="1" s="1"/>
  <c r="J612" i="1"/>
  <c r="L612" i="1" s="1"/>
  <c r="J613" i="1"/>
  <c r="L613" i="1" s="1"/>
  <c r="J614" i="1"/>
  <c r="L614" i="1" s="1"/>
  <c r="M614" i="1" s="1" a="1"/>
  <c r="M614" i="1" s="1"/>
  <c r="J615" i="1"/>
  <c r="J616" i="1"/>
  <c r="J617" i="1"/>
  <c r="J618" i="1"/>
  <c r="L618" i="1" s="1"/>
  <c r="J619" i="1"/>
  <c r="L619" i="1" s="1"/>
  <c r="J620" i="1"/>
  <c r="L620" i="1" s="1"/>
  <c r="J621" i="1"/>
  <c r="L621" i="1" s="1"/>
  <c r="J622" i="1"/>
  <c r="L622" i="1" s="1"/>
  <c r="M622" i="1" s="1" a="1"/>
  <c r="M622" i="1" s="1"/>
  <c r="J623" i="1"/>
  <c r="J624" i="1"/>
  <c r="J625" i="1"/>
  <c r="J626" i="1"/>
  <c r="L626" i="1" s="1"/>
  <c r="J627" i="1"/>
  <c r="L627" i="1" s="1"/>
  <c r="J628" i="1"/>
  <c r="L628" i="1" s="1"/>
  <c r="J629" i="1"/>
  <c r="L629" i="1" s="1"/>
  <c r="J630" i="1"/>
  <c r="L630" i="1" s="1"/>
  <c r="M630" i="1" s="1" a="1"/>
  <c r="M630" i="1" s="1"/>
  <c r="J631" i="1"/>
  <c r="J632" i="1"/>
  <c r="J633" i="1"/>
  <c r="J634" i="1"/>
  <c r="L634" i="1" s="1"/>
  <c r="J635" i="1"/>
  <c r="L635" i="1" s="1"/>
  <c r="J636" i="1"/>
  <c r="L636" i="1" s="1"/>
  <c r="J637" i="1"/>
  <c r="L637" i="1" s="1"/>
  <c r="J638" i="1"/>
  <c r="L638" i="1" s="1"/>
  <c r="M638" i="1" s="1" a="1"/>
  <c r="M638" i="1" s="1"/>
  <c r="J639" i="1"/>
  <c r="J640" i="1"/>
  <c r="J641" i="1"/>
  <c r="J642" i="1"/>
  <c r="L642" i="1" s="1"/>
  <c r="J643" i="1"/>
  <c r="L643" i="1" s="1"/>
  <c r="J644" i="1"/>
  <c r="L644" i="1" s="1"/>
  <c r="J645" i="1"/>
  <c r="L645" i="1" s="1"/>
  <c r="J646" i="1"/>
  <c r="L646" i="1" s="1"/>
  <c r="M646" i="1" s="1" a="1"/>
  <c r="M646" i="1" s="1"/>
  <c r="J647" i="1"/>
  <c r="J648" i="1"/>
  <c r="J649" i="1"/>
  <c r="J650" i="1"/>
  <c r="L650" i="1" s="1"/>
  <c r="J651" i="1"/>
  <c r="L651" i="1" s="1"/>
  <c r="J652" i="1"/>
  <c r="L652" i="1" s="1"/>
  <c r="J653" i="1"/>
  <c r="L653" i="1" s="1"/>
  <c r="J654" i="1"/>
  <c r="L654" i="1" s="1"/>
  <c r="M654" i="1" s="1" a="1"/>
  <c r="M654" i="1" s="1"/>
  <c r="J655" i="1"/>
  <c r="J656" i="1"/>
  <c r="J657" i="1"/>
  <c r="J658" i="1"/>
  <c r="L658" i="1" s="1"/>
  <c r="J659" i="1"/>
  <c r="L659" i="1" s="1"/>
  <c r="J660" i="1"/>
  <c r="L660" i="1" s="1"/>
  <c r="J661" i="1"/>
  <c r="L661" i="1" s="1"/>
  <c r="J662" i="1"/>
  <c r="L662" i="1" s="1"/>
  <c r="M662" i="1" s="1" a="1"/>
  <c r="M662" i="1" s="1"/>
  <c r="J663" i="1"/>
  <c r="J664" i="1"/>
  <c r="J665" i="1"/>
  <c r="J666" i="1"/>
  <c r="L666" i="1" s="1"/>
  <c r="J667" i="1"/>
  <c r="L667" i="1" s="1"/>
  <c r="J668" i="1"/>
  <c r="L668" i="1" s="1"/>
  <c r="J669" i="1"/>
  <c r="L669" i="1" s="1"/>
  <c r="J670" i="1"/>
  <c r="L670" i="1" s="1"/>
  <c r="M670" i="1" s="1" a="1"/>
  <c r="M670" i="1" s="1"/>
  <c r="J671" i="1"/>
  <c r="J672" i="1"/>
  <c r="J673" i="1"/>
  <c r="J674" i="1"/>
  <c r="L674" i="1" s="1"/>
  <c r="J675" i="1"/>
  <c r="L675" i="1" s="1"/>
  <c r="J676" i="1"/>
  <c r="L676" i="1" s="1"/>
  <c r="J677" i="1"/>
  <c r="L677" i="1" s="1"/>
  <c r="J678" i="1"/>
  <c r="L678" i="1" s="1"/>
  <c r="M678" i="1" s="1" a="1"/>
  <c r="M678" i="1" s="1"/>
  <c r="J679" i="1"/>
  <c r="J680" i="1"/>
  <c r="J681" i="1"/>
  <c r="J682" i="1"/>
  <c r="L682" i="1" s="1"/>
  <c r="J683" i="1"/>
  <c r="L683" i="1" s="1"/>
  <c r="J684" i="1"/>
  <c r="L684" i="1" s="1"/>
  <c r="J685" i="1"/>
  <c r="L685" i="1" s="1"/>
  <c r="J686" i="1"/>
  <c r="L686" i="1" s="1"/>
  <c r="M686" i="1" s="1" a="1"/>
  <c r="M686" i="1" s="1"/>
  <c r="J687" i="1"/>
  <c r="J688" i="1"/>
  <c r="J689" i="1"/>
  <c r="J690" i="1"/>
  <c r="L690" i="1" s="1"/>
  <c r="J691" i="1"/>
  <c r="J692" i="1"/>
  <c r="L692" i="1" s="1"/>
  <c r="J693" i="1"/>
  <c r="L693" i="1" s="1"/>
  <c r="J694" i="1"/>
  <c r="L694" i="1" s="1"/>
  <c r="M694" i="1" s="1" a="1"/>
  <c r="M694" i="1" s="1"/>
  <c r="J695" i="1"/>
  <c r="J696" i="1"/>
  <c r="J697" i="1"/>
  <c r="J698" i="1"/>
  <c r="L698" i="1" s="1"/>
  <c r="J699" i="1"/>
  <c r="L699" i="1" s="1"/>
  <c r="J700" i="1"/>
  <c r="L700" i="1" s="1"/>
  <c r="J701" i="1"/>
  <c r="L701" i="1" s="1"/>
  <c r="J702" i="1"/>
  <c r="L702" i="1" s="1"/>
  <c r="M702" i="1" s="1" a="1"/>
  <c r="M702" i="1" s="1"/>
  <c r="J703" i="1"/>
  <c r="J704" i="1"/>
  <c r="J705" i="1"/>
  <c r="J706" i="1"/>
  <c r="L706" i="1" s="1"/>
  <c r="J707" i="1"/>
  <c r="L707" i="1" s="1"/>
  <c r="J708" i="1"/>
  <c r="L708" i="1" s="1"/>
  <c r="J709" i="1"/>
  <c r="L709" i="1" s="1"/>
  <c r="J710" i="1"/>
  <c r="L710" i="1" s="1"/>
  <c r="M710" i="1" s="1" a="1"/>
  <c r="M710" i="1" s="1"/>
  <c r="J711" i="1"/>
  <c r="J712" i="1"/>
  <c r="J713" i="1"/>
  <c r="J714" i="1"/>
  <c r="L714" i="1" s="1"/>
  <c r="J715" i="1"/>
  <c r="L715" i="1" s="1"/>
  <c r="J716" i="1"/>
  <c r="L716" i="1" s="1"/>
  <c r="J717" i="1"/>
  <c r="L717" i="1" s="1"/>
  <c r="J718" i="1"/>
  <c r="L718" i="1" s="1"/>
  <c r="M718" i="1" s="1" a="1"/>
  <c r="M718" i="1" s="1"/>
  <c r="J719" i="1"/>
  <c r="J720" i="1"/>
  <c r="J721" i="1"/>
  <c r="J722" i="1"/>
  <c r="L722" i="1" s="1"/>
  <c r="J723" i="1"/>
  <c r="L723" i="1" s="1"/>
  <c r="J724" i="1"/>
  <c r="L724" i="1" s="1"/>
  <c r="J725" i="1"/>
  <c r="L725" i="1" s="1"/>
  <c r="J726" i="1"/>
  <c r="L726" i="1" s="1"/>
  <c r="M726" i="1" s="1" a="1"/>
  <c r="M726" i="1" s="1"/>
  <c r="J727" i="1"/>
  <c r="J728" i="1"/>
  <c r="J729" i="1"/>
  <c r="J730" i="1"/>
  <c r="L730" i="1" s="1"/>
  <c r="J731" i="1"/>
  <c r="L731" i="1" s="1"/>
  <c r="J732" i="1"/>
  <c r="L732" i="1" s="1"/>
  <c r="J733" i="1"/>
  <c r="L733" i="1" s="1"/>
  <c r="J734" i="1"/>
  <c r="L734" i="1" s="1"/>
  <c r="M734" i="1" s="1" a="1"/>
  <c r="M734" i="1" s="1"/>
  <c r="J735" i="1"/>
  <c r="J736" i="1"/>
  <c r="J737" i="1"/>
  <c r="J738" i="1"/>
  <c r="L738" i="1" s="1"/>
  <c r="J739" i="1"/>
  <c r="L739" i="1" s="1"/>
  <c r="J740" i="1"/>
  <c r="L740" i="1" s="1"/>
  <c r="J741" i="1"/>
  <c r="L741" i="1" s="1"/>
  <c r="J742" i="1"/>
  <c r="L742" i="1" s="1"/>
  <c r="M742" i="1" s="1" a="1"/>
  <c r="M742" i="1" s="1"/>
  <c r="J743" i="1"/>
  <c r="J744" i="1"/>
  <c r="J745" i="1"/>
  <c r="J746" i="1"/>
  <c r="L746" i="1" s="1"/>
  <c r="J747" i="1"/>
  <c r="L747" i="1" s="1"/>
  <c r="J748" i="1"/>
  <c r="L748" i="1" s="1"/>
  <c r="J749" i="1"/>
  <c r="L749" i="1" s="1"/>
  <c r="J750" i="1"/>
  <c r="L750" i="1" s="1"/>
  <c r="M750" i="1" s="1" a="1"/>
  <c r="M750" i="1" s="1"/>
  <c r="J751" i="1"/>
  <c r="J752" i="1"/>
  <c r="J753" i="1"/>
  <c r="J754" i="1"/>
  <c r="L754" i="1" s="1"/>
  <c r="J755" i="1"/>
  <c r="L755" i="1" s="1"/>
  <c r="J756" i="1"/>
  <c r="L756" i="1" s="1"/>
  <c r="J757" i="1"/>
  <c r="L757" i="1" s="1"/>
  <c r="J758" i="1"/>
  <c r="L758" i="1" s="1"/>
  <c r="M758" i="1" s="1" a="1"/>
  <c r="M758" i="1" s="1"/>
  <c r="J759" i="1"/>
  <c r="J760" i="1"/>
  <c r="J761" i="1"/>
  <c r="J762" i="1"/>
  <c r="L762" i="1" s="1"/>
  <c r="J763" i="1"/>
  <c r="L763" i="1" s="1"/>
  <c r="J764" i="1"/>
  <c r="L764" i="1" s="1"/>
  <c r="J765" i="1"/>
  <c r="L765" i="1" s="1"/>
  <c r="J766" i="1"/>
  <c r="L766" i="1" s="1"/>
  <c r="J767" i="1"/>
  <c r="J768" i="1"/>
  <c r="J769" i="1"/>
  <c r="J770" i="1"/>
  <c r="L770" i="1" s="1"/>
  <c r="J771" i="1"/>
  <c r="L771" i="1" s="1"/>
  <c r="J772" i="1"/>
  <c r="L772" i="1" s="1"/>
  <c r="J773" i="1"/>
  <c r="L773" i="1" s="1"/>
  <c r="J774" i="1"/>
  <c r="L774" i="1" s="1"/>
  <c r="J775" i="1"/>
  <c r="J776" i="1"/>
  <c r="J777" i="1"/>
  <c r="J778" i="1"/>
  <c r="L778" i="1" s="1"/>
  <c r="J779" i="1"/>
  <c r="L779" i="1" s="1"/>
  <c r="J780" i="1"/>
  <c r="L780" i="1" s="1"/>
  <c r="J781" i="1"/>
  <c r="L781" i="1" s="1"/>
  <c r="J782" i="1"/>
  <c r="L782" i="1" s="1"/>
  <c r="M782" i="1" s="1" a="1"/>
  <c r="M782" i="1" s="1"/>
  <c r="J783" i="1"/>
  <c r="J784" i="1"/>
  <c r="J785" i="1"/>
  <c r="J786" i="1"/>
  <c r="L786" i="1" s="1"/>
  <c r="J787" i="1"/>
  <c r="L787" i="1" s="1"/>
  <c r="J788" i="1"/>
  <c r="L788" i="1" s="1"/>
  <c r="J789" i="1"/>
  <c r="L789" i="1" s="1"/>
  <c r="J790" i="1"/>
  <c r="L790" i="1" s="1"/>
  <c r="M790" i="1" s="1" a="1"/>
  <c r="M790" i="1" s="1"/>
  <c r="J791" i="1"/>
  <c r="J792" i="1"/>
  <c r="J793" i="1"/>
  <c r="J794" i="1"/>
  <c r="L794" i="1" s="1"/>
  <c r="J795" i="1"/>
  <c r="L795" i="1" s="1"/>
  <c r="J796" i="1"/>
  <c r="L796" i="1" s="1"/>
  <c r="J797" i="1"/>
  <c r="L797" i="1" s="1"/>
  <c r="J798" i="1"/>
  <c r="L798" i="1" s="1"/>
  <c r="M798" i="1" s="1" a="1"/>
  <c r="M798" i="1" s="1"/>
  <c r="J799" i="1"/>
  <c r="J800" i="1"/>
  <c r="J801" i="1"/>
  <c r="J802" i="1"/>
  <c r="L802" i="1" s="1"/>
  <c r="J803" i="1"/>
  <c r="L803" i="1" s="1"/>
  <c r="J804" i="1"/>
  <c r="L804" i="1" s="1"/>
  <c r="J805" i="1"/>
  <c r="L805" i="1" s="1"/>
  <c r="J806" i="1"/>
  <c r="L806" i="1" s="1"/>
  <c r="M806" i="1" s="1" a="1"/>
  <c r="M806" i="1" s="1"/>
  <c r="J807" i="1"/>
  <c r="J808" i="1"/>
  <c r="J809" i="1"/>
  <c r="J810" i="1"/>
  <c r="L810" i="1" s="1"/>
  <c r="J811" i="1"/>
  <c r="L811" i="1" s="1"/>
  <c r="J812" i="1"/>
  <c r="L812" i="1" s="1"/>
  <c r="J813" i="1"/>
  <c r="L813" i="1" s="1"/>
  <c r="J814" i="1"/>
  <c r="L814" i="1" s="1"/>
  <c r="M814" i="1" s="1" a="1"/>
  <c r="M814" i="1" s="1"/>
  <c r="J815" i="1"/>
  <c r="J816" i="1"/>
  <c r="J817" i="1"/>
  <c r="J818" i="1"/>
  <c r="L818" i="1" s="1"/>
  <c r="J819" i="1"/>
  <c r="L819" i="1" s="1"/>
  <c r="J820" i="1"/>
  <c r="L820" i="1" s="1"/>
  <c r="J821" i="1"/>
  <c r="L821" i="1" s="1"/>
  <c r="J822" i="1"/>
  <c r="L822" i="1" s="1"/>
  <c r="M822" i="1" s="1" a="1"/>
  <c r="M822" i="1" s="1"/>
  <c r="J823" i="1"/>
  <c r="J824" i="1"/>
  <c r="J825" i="1"/>
  <c r="J826" i="1"/>
  <c r="L826" i="1" s="1"/>
  <c r="J827" i="1"/>
  <c r="L827" i="1" s="1"/>
  <c r="J828" i="1"/>
  <c r="L828" i="1" s="1"/>
  <c r="J829" i="1"/>
  <c r="L829" i="1" s="1"/>
  <c r="J830" i="1"/>
  <c r="L830" i="1" s="1"/>
  <c r="J831" i="1"/>
  <c r="J832" i="1"/>
  <c r="J833" i="1"/>
  <c r="J834" i="1"/>
  <c r="L834" i="1" s="1"/>
  <c r="J835" i="1"/>
  <c r="L835" i="1" s="1"/>
  <c r="J836" i="1"/>
  <c r="L836" i="1" s="1"/>
  <c r="J837" i="1"/>
  <c r="L837" i="1" s="1"/>
  <c r="J838" i="1"/>
  <c r="L838" i="1" s="1"/>
  <c r="J839" i="1"/>
  <c r="J840" i="1"/>
  <c r="J841" i="1"/>
  <c r="J842" i="1"/>
  <c r="L842" i="1" s="1"/>
  <c r="J843" i="1"/>
  <c r="L843" i="1" s="1"/>
  <c r="J844" i="1"/>
  <c r="L844" i="1" s="1"/>
  <c r="J845" i="1"/>
  <c r="L845" i="1" s="1"/>
  <c r="J846" i="1"/>
  <c r="L846" i="1" s="1"/>
  <c r="J847" i="1"/>
  <c r="L847" i="1" s="1"/>
  <c r="J848" i="1"/>
  <c r="J849" i="1"/>
  <c r="J850" i="1"/>
  <c r="L850" i="1" s="1"/>
  <c r="J851" i="1"/>
  <c r="L851" i="1" s="1"/>
  <c r="J852" i="1"/>
  <c r="L852" i="1" s="1"/>
  <c r="J853" i="1"/>
  <c r="L853" i="1" s="1"/>
  <c r="J854" i="1"/>
  <c r="L854" i="1" s="1"/>
  <c r="M854" i="1" s="1" a="1"/>
  <c r="M854" i="1" s="1"/>
  <c r="J855" i="1"/>
  <c r="J856" i="1"/>
  <c r="J857" i="1"/>
  <c r="J858" i="1"/>
  <c r="L858" i="1" s="1"/>
  <c r="J859" i="1"/>
  <c r="L859" i="1" s="1"/>
  <c r="J860" i="1"/>
  <c r="L860" i="1" s="1"/>
  <c r="J861" i="1"/>
  <c r="L861" i="1" s="1"/>
  <c r="J862" i="1"/>
  <c r="L862" i="1" s="1"/>
  <c r="M862" i="1" s="1" a="1"/>
  <c r="M862" i="1" s="1"/>
  <c r="J863" i="1"/>
  <c r="J864" i="1"/>
  <c r="J865" i="1"/>
  <c r="J866" i="1"/>
  <c r="L866" i="1" s="1"/>
  <c r="J867" i="1"/>
  <c r="L867" i="1" s="1"/>
  <c r="J868" i="1"/>
  <c r="L868" i="1" s="1"/>
  <c r="J869" i="1"/>
  <c r="L869" i="1" s="1"/>
  <c r="J870" i="1"/>
  <c r="L870" i="1" s="1"/>
  <c r="M870" i="1" s="1" a="1"/>
  <c r="M870" i="1" s="1"/>
  <c r="J871" i="1"/>
  <c r="J872" i="1"/>
  <c r="J873" i="1"/>
  <c r="J874" i="1"/>
  <c r="L874" i="1" s="1"/>
  <c r="J875" i="1"/>
  <c r="L875" i="1" s="1"/>
  <c r="J876" i="1"/>
  <c r="L876" i="1" s="1"/>
  <c r="J877" i="1"/>
  <c r="L877" i="1" s="1"/>
  <c r="J878" i="1"/>
  <c r="L878" i="1" s="1"/>
  <c r="M878" i="1" s="1" a="1"/>
  <c r="M878" i="1" s="1"/>
  <c r="J879" i="1"/>
  <c r="J880" i="1"/>
  <c r="J881" i="1"/>
  <c r="J882" i="1"/>
  <c r="L882" i="1" s="1"/>
  <c r="J883" i="1"/>
  <c r="L883" i="1" s="1"/>
  <c r="J884" i="1"/>
  <c r="L884" i="1" s="1"/>
  <c r="J885" i="1"/>
  <c r="L885" i="1" s="1"/>
  <c r="J886" i="1"/>
  <c r="L886" i="1" s="1"/>
  <c r="M886" i="1" s="1" a="1"/>
  <c r="M886" i="1" s="1"/>
  <c r="J887" i="1"/>
  <c r="J888" i="1"/>
  <c r="J889" i="1"/>
  <c r="J890" i="1"/>
  <c r="L890" i="1" s="1"/>
  <c r="J891" i="1"/>
  <c r="L891" i="1" s="1"/>
  <c r="J892" i="1"/>
  <c r="L892" i="1" s="1"/>
  <c r="J893" i="1"/>
  <c r="L893" i="1" s="1"/>
  <c r="J894" i="1"/>
  <c r="L894" i="1" s="1"/>
  <c r="J895" i="1"/>
  <c r="J896" i="1"/>
  <c r="J897" i="1"/>
  <c r="J898" i="1"/>
  <c r="L898" i="1" s="1"/>
  <c r="J899" i="1"/>
  <c r="L899" i="1" s="1"/>
  <c r="J900" i="1"/>
  <c r="L900" i="1" s="1"/>
  <c r="J901" i="1"/>
  <c r="L901" i="1" s="1"/>
  <c r="J902" i="1"/>
  <c r="L902" i="1" s="1"/>
  <c r="J903" i="1"/>
  <c r="J904" i="1"/>
  <c r="J905" i="1"/>
  <c r="J906" i="1"/>
  <c r="L906" i="1" s="1"/>
  <c r="J907" i="1"/>
  <c r="L907" i="1" s="1"/>
  <c r="J908" i="1"/>
  <c r="L908" i="1" s="1"/>
  <c r="J909" i="1"/>
  <c r="L909" i="1" s="1"/>
  <c r="J910" i="1"/>
  <c r="L910" i="1" s="1"/>
  <c r="J911" i="1"/>
  <c r="J912" i="1"/>
  <c r="J913" i="1"/>
  <c r="J914" i="1"/>
  <c r="L914" i="1" s="1"/>
  <c r="J915" i="1"/>
  <c r="L915" i="1" s="1"/>
  <c r="J916" i="1"/>
  <c r="L916" i="1" s="1"/>
  <c r="J917" i="1"/>
  <c r="L917" i="1" s="1"/>
  <c r="J918" i="1"/>
  <c r="L918" i="1" s="1"/>
  <c r="M918" i="1" s="1" a="1"/>
  <c r="M918" i="1" s="1"/>
  <c r="J919" i="1"/>
  <c r="J920" i="1"/>
  <c r="J921" i="1"/>
  <c r="J922" i="1"/>
  <c r="L922" i="1" s="1"/>
  <c r="J923" i="1"/>
  <c r="L923" i="1" s="1"/>
  <c r="J924" i="1"/>
  <c r="L924" i="1" s="1"/>
  <c r="J925" i="1"/>
  <c r="L925" i="1" s="1"/>
  <c r="J926" i="1"/>
  <c r="L926" i="1" s="1"/>
  <c r="M926" i="1" s="1" a="1"/>
  <c r="M926" i="1" s="1"/>
  <c r="J927" i="1"/>
  <c r="J928" i="1"/>
  <c r="J929" i="1"/>
  <c r="J930" i="1"/>
  <c r="L930" i="1" s="1"/>
  <c r="J931" i="1"/>
  <c r="L931" i="1" s="1"/>
  <c r="J932" i="1"/>
  <c r="L932" i="1" s="1"/>
  <c r="J933" i="1"/>
  <c r="L933" i="1" s="1"/>
  <c r="J934" i="1"/>
  <c r="L934" i="1" s="1"/>
  <c r="M934" i="1" s="1" a="1"/>
  <c r="M934" i="1" s="1"/>
  <c r="J935" i="1"/>
  <c r="J936" i="1"/>
  <c r="J937" i="1"/>
  <c r="J938" i="1"/>
  <c r="L938" i="1" s="1"/>
  <c r="J939" i="1"/>
  <c r="L939" i="1" s="1"/>
  <c r="J940" i="1"/>
  <c r="L940" i="1" s="1"/>
  <c r="J941" i="1"/>
  <c r="L941" i="1" s="1"/>
  <c r="J942" i="1"/>
  <c r="L942" i="1" s="1"/>
  <c r="M942" i="1" s="1" a="1"/>
  <c r="M942" i="1" s="1"/>
  <c r="J943" i="1"/>
  <c r="J944" i="1"/>
  <c r="J945" i="1"/>
  <c r="J946" i="1"/>
  <c r="L946" i="1" s="1"/>
  <c r="J947" i="1"/>
  <c r="L947" i="1" s="1"/>
  <c r="J948" i="1"/>
  <c r="L948" i="1" s="1"/>
  <c r="J949" i="1"/>
  <c r="L949" i="1" s="1"/>
  <c r="J950" i="1"/>
  <c r="L950" i="1" s="1"/>
  <c r="J951" i="1"/>
  <c r="J952" i="1"/>
  <c r="J953" i="1"/>
  <c r="J954" i="1"/>
  <c r="L954" i="1" s="1"/>
  <c r="J955" i="1"/>
  <c r="L955" i="1" s="1"/>
  <c r="J956" i="1"/>
  <c r="L956" i="1" s="1"/>
  <c r="J957" i="1"/>
  <c r="L957" i="1" s="1"/>
  <c r="J958" i="1"/>
  <c r="L958" i="1" s="1"/>
  <c r="M958" i="1" s="1" a="1"/>
  <c r="M958" i="1" s="1"/>
  <c r="J959" i="1"/>
  <c r="J960" i="1"/>
  <c r="J961" i="1"/>
  <c r="J962" i="1"/>
  <c r="L962" i="1" s="1"/>
  <c r="J963" i="1"/>
  <c r="L963" i="1" s="1"/>
  <c r="J964" i="1"/>
  <c r="L964" i="1" s="1"/>
  <c r="J965" i="1"/>
  <c r="L965" i="1" s="1"/>
  <c r="J966" i="1"/>
  <c r="L966" i="1" s="1"/>
  <c r="J967" i="1"/>
  <c r="J968" i="1"/>
  <c r="J969" i="1"/>
  <c r="J970" i="1"/>
  <c r="L970" i="1" s="1"/>
  <c r="J971" i="1"/>
  <c r="L971" i="1" s="1"/>
  <c r="J972" i="1"/>
  <c r="L972" i="1" s="1"/>
  <c r="J973" i="1"/>
  <c r="L973" i="1" s="1"/>
  <c r="J974" i="1"/>
  <c r="L974" i="1" s="1"/>
  <c r="J975" i="1"/>
  <c r="J976" i="1"/>
  <c r="J977" i="1"/>
  <c r="J978" i="1"/>
  <c r="L978" i="1" s="1"/>
  <c r="J979" i="1"/>
  <c r="L979" i="1" s="1"/>
  <c r="J980" i="1"/>
  <c r="L980" i="1" s="1"/>
  <c r="J981" i="1"/>
  <c r="L981" i="1" s="1"/>
  <c r="J982" i="1"/>
  <c r="L982" i="1" s="1"/>
  <c r="J983" i="1"/>
  <c r="L983" i="1" s="1"/>
  <c r="J984" i="1"/>
  <c r="J985" i="1"/>
  <c r="J986" i="1"/>
  <c r="L986" i="1" s="1"/>
  <c r="J987" i="1"/>
  <c r="L987" i="1" s="1"/>
  <c r="J988" i="1"/>
  <c r="L988" i="1" s="1"/>
  <c r="J989" i="1"/>
  <c r="L989" i="1" s="1"/>
  <c r="J990" i="1"/>
  <c r="L990" i="1" s="1"/>
  <c r="M990" i="1" s="1" a="1"/>
  <c r="M990" i="1" s="1"/>
  <c r="J991" i="1"/>
  <c r="J992" i="1"/>
  <c r="J993" i="1"/>
  <c r="J994" i="1"/>
  <c r="L994" i="1" s="1"/>
  <c r="J995" i="1"/>
  <c r="L995" i="1" s="1"/>
  <c r="J996" i="1"/>
  <c r="L996" i="1" s="1"/>
  <c r="J997" i="1"/>
  <c r="L997" i="1" s="1"/>
  <c r="J998" i="1"/>
  <c r="L998" i="1" s="1"/>
  <c r="M998" i="1" s="1" a="1"/>
  <c r="M998" i="1" s="1"/>
  <c r="J999" i="1"/>
  <c r="J1000" i="1"/>
  <c r="J1001" i="1"/>
  <c r="J1002" i="1"/>
  <c r="L1002" i="1" s="1"/>
  <c r="J1003" i="1"/>
  <c r="L1003" i="1" s="1"/>
  <c r="J1004" i="1"/>
  <c r="L1004" i="1" s="1"/>
  <c r="J1005" i="1"/>
  <c r="L1005" i="1" s="1"/>
  <c r="J1006" i="1"/>
  <c r="L1006" i="1" s="1"/>
  <c r="M1006" i="1" s="1" a="1"/>
  <c r="M1006" i="1" s="1"/>
  <c r="J1007" i="1"/>
  <c r="J1008" i="1"/>
  <c r="J1009" i="1"/>
  <c r="J1010" i="1"/>
  <c r="L1010" i="1" s="1"/>
  <c r="J1011" i="1"/>
  <c r="L1011" i="1" s="1"/>
  <c r="J1012" i="1"/>
  <c r="L1012" i="1" s="1"/>
  <c r="J1013" i="1"/>
  <c r="L1013" i="1" s="1"/>
  <c r="J1014" i="1"/>
  <c r="L1014" i="1" s="1"/>
  <c r="M1014" i="1" s="1" a="1"/>
  <c r="M1014" i="1" s="1"/>
  <c r="J1015" i="1"/>
  <c r="J1016" i="1"/>
  <c r="J1017" i="1"/>
  <c r="J1018" i="1"/>
  <c r="L1018" i="1" s="1"/>
  <c r="J1019" i="1"/>
  <c r="L1019" i="1" s="1"/>
  <c r="J1020" i="1"/>
  <c r="L1020" i="1" s="1"/>
  <c r="J1021" i="1"/>
  <c r="L1021" i="1" s="1"/>
  <c r="J1022" i="1"/>
  <c r="L1022" i="1" s="1"/>
  <c r="J1023" i="1"/>
  <c r="L1023" i="1" s="1"/>
  <c r="J1024" i="1"/>
  <c r="J1025" i="1"/>
  <c r="J1026" i="1"/>
  <c r="L1026" i="1" s="1"/>
  <c r="J1027" i="1"/>
  <c r="L1027" i="1" s="1"/>
  <c r="J1028" i="1"/>
  <c r="L1028" i="1" s="1"/>
  <c r="J1029" i="1"/>
  <c r="L1029" i="1" s="1"/>
  <c r="J1030" i="1"/>
  <c r="L1030" i="1" s="1"/>
  <c r="J1031" i="1"/>
  <c r="L1031" i="1" s="1"/>
  <c r="J1032" i="1"/>
  <c r="J1033" i="1"/>
  <c r="J1034" i="1"/>
  <c r="L1034" i="1" s="1"/>
  <c r="J1035" i="1"/>
  <c r="L1035" i="1" s="1"/>
  <c r="J1036" i="1"/>
  <c r="L1036" i="1" s="1"/>
  <c r="J1037" i="1"/>
  <c r="L1037" i="1" s="1"/>
  <c r="J1038" i="1"/>
  <c r="L1038" i="1" s="1"/>
  <c r="J1039" i="1"/>
  <c r="L1039" i="1" s="1"/>
  <c r="J1040" i="1"/>
  <c r="J1041" i="1"/>
  <c r="J1042" i="1"/>
  <c r="L1042" i="1" s="1"/>
  <c r="J1043" i="1"/>
  <c r="L1043" i="1" s="1"/>
  <c r="J1044" i="1"/>
  <c r="L1044" i="1" s="1"/>
  <c r="J1045" i="1"/>
  <c r="L1045" i="1" s="1"/>
  <c r="J1046" i="1"/>
  <c r="L1046" i="1" s="1"/>
  <c r="J1047" i="1"/>
  <c r="L1047" i="1" s="1"/>
  <c r="J1048" i="1"/>
  <c r="J1049" i="1"/>
  <c r="J1050" i="1"/>
  <c r="L1050" i="1" s="1"/>
  <c r="J1051" i="1"/>
  <c r="L1051" i="1" s="1"/>
  <c r="J1052" i="1"/>
  <c r="L1052" i="1" s="1"/>
  <c r="J1053" i="1"/>
  <c r="L1053" i="1" s="1"/>
  <c r="J1054" i="1"/>
  <c r="L1054" i="1" s="1"/>
  <c r="M1054" i="1" s="1" a="1"/>
  <c r="M1054" i="1" s="1"/>
  <c r="J1055" i="1"/>
  <c r="L1055" i="1" s="1"/>
  <c r="J1056" i="1"/>
  <c r="J1057" i="1"/>
  <c r="J1058" i="1"/>
  <c r="L1058" i="1" s="1"/>
  <c r="J1059" i="1"/>
  <c r="L1059" i="1" s="1"/>
  <c r="J1060" i="1"/>
  <c r="L1060" i="1" s="1"/>
  <c r="J1061" i="1"/>
  <c r="L1061" i="1" s="1"/>
  <c r="J1062" i="1"/>
  <c r="L1062" i="1" s="1"/>
  <c r="M1062" i="1" s="1" a="1"/>
  <c r="M1062" i="1" s="1"/>
  <c r="J1063" i="1"/>
  <c r="J1064" i="1"/>
  <c r="J1065" i="1"/>
  <c r="J1066" i="1"/>
  <c r="L1066" i="1" s="1"/>
  <c r="J1067" i="1"/>
  <c r="L1067" i="1" s="1"/>
  <c r="J1068" i="1"/>
  <c r="L1068" i="1" s="1"/>
  <c r="J1069" i="1"/>
  <c r="L1069" i="1" s="1"/>
  <c r="J1070" i="1"/>
  <c r="L1070" i="1" s="1"/>
  <c r="M1070" i="1" s="1" a="1"/>
  <c r="M1070" i="1" s="1"/>
  <c r="J1071" i="1"/>
  <c r="J1072" i="1"/>
  <c r="J1073" i="1"/>
  <c r="J1074" i="1"/>
  <c r="L1074" i="1" s="1"/>
  <c r="J1075" i="1"/>
  <c r="L1075" i="1" s="1"/>
  <c r="J1076" i="1"/>
  <c r="L1076" i="1" s="1"/>
  <c r="J1077" i="1"/>
  <c r="L1077" i="1" s="1"/>
  <c r="J1078" i="1"/>
  <c r="L1078" i="1" s="1"/>
  <c r="M1078" i="1" s="1" a="1"/>
  <c r="M1078" i="1" s="1"/>
  <c r="J1079" i="1"/>
  <c r="J1080" i="1"/>
  <c r="J1081" i="1"/>
  <c r="J1082" i="1"/>
  <c r="L1082" i="1" s="1"/>
  <c r="J1083" i="1"/>
  <c r="L1083" i="1" s="1"/>
  <c r="J1084" i="1"/>
  <c r="L1084" i="1" s="1"/>
  <c r="J1085" i="1"/>
  <c r="L1085" i="1" s="1"/>
  <c r="J1086" i="1"/>
  <c r="L1086" i="1" s="1"/>
  <c r="M1086" i="1" s="1" a="1"/>
  <c r="M1086" i="1" s="1"/>
  <c r="J1087" i="1"/>
  <c r="L1087" i="1" s="1"/>
  <c r="J1088" i="1"/>
  <c r="J1089" i="1"/>
  <c r="J1090" i="1"/>
  <c r="L1090" i="1" s="1"/>
  <c r="J1091" i="1"/>
  <c r="L1091" i="1" s="1"/>
  <c r="J1092" i="1"/>
  <c r="L1092" i="1" s="1"/>
  <c r="J1093" i="1"/>
  <c r="L1093" i="1" s="1"/>
  <c r="J1094" i="1"/>
  <c r="L1094" i="1" s="1"/>
  <c r="J1095" i="1"/>
  <c r="L1095" i="1" s="1"/>
  <c r="J1096" i="1"/>
  <c r="J1097" i="1"/>
  <c r="J1098" i="1"/>
  <c r="L1098" i="1" s="1"/>
  <c r="J1099" i="1"/>
  <c r="L1099" i="1" s="1"/>
  <c r="J1100" i="1"/>
  <c r="L1100" i="1" s="1"/>
  <c r="J1101" i="1"/>
  <c r="L1101" i="1" s="1"/>
  <c r="J1102" i="1"/>
  <c r="L1102" i="1" s="1"/>
  <c r="J1103" i="1"/>
  <c r="L1103" i="1" s="1"/>
  <c r="J1104" i="1"/>
  <c r="J1105" i="1"/>
  <c r="J1106" i="1"/>
  <c r="L1106" i="1" s="1"/>
  <c r="J1107" i="1"/>
  <c r="L1107" i="1" s="1"/>
  <c r="J1108" i="1"/>
  <c r="L1108" i="1" s="1"/>
  <c r="J1109" i="1"/>
  <c r="L1109" i="1" s="1"/>
  <c r="J1110" i="1"/>
  <c r="L1110" i="1" s="1"/>
  <c r="J1111" i="1"/>
  <c r="L1111" i="1" s="1"/>
  <c r="J1112" i="1"/>
  <c r="J1113" i="1"/>
  <c r="J1114" i="1"/>
  <c r="L1114" i="1" s="1"/>
  <c r="J1115" i="1"/>
  <c r="L1115" i="1" s="1"/>
  <c r="J1116" i="1"/>
  <c r="L1116" i="1" s="1"/>
  <c r="J1117" i="1"/>
  <c r="L1117" i="1" s="1"/>
  <c r="J1118" i="1"/>
  <c r="L1118" i="1" s="1"/>
  <c r="M1118" i="1" s="1" a="1"/>
  <c r="M1118" i="1" s="1"/>
  <c r="J1119" i="1"/>
  <c r="J1120" i="1"/>
  <c r="J1121" i="1"/>
  <c r="J1122" i="1"/>
  <c r="L1122" i="1" s="1"/>
  <c r="J1123" i="1"/>
  <c r="L1123" i="1" s="1"/>
  <c r="J1124" i="1"/>
  <c r="L1124" i="1" s="1"/>
  <c r="J1125" i="1"/>
  <c r="L1125" i="1" s="1"/>
  <c r="J1126" i="1"/>
  <c r="L1126" i="1" s="1"/>
  <c r="M1126" i="1" s="1" a="1"/>
  <c r="M1126" i="1" s="1"/>
  <c r="J1127" i="1"/>
  <c r="J1128" i="1"/>
  <c r="J1129" i="1"/>
  <c r="J1130" i="1"/>
  <c r="L1130" i="1" s="1"/>
  <c r="J1131" i="1"/>
  <c r="L1131" i="1" s="1"/>
  <c r="J1132" i="1"/>
  <c r="L1132" i="1" s="1"/>
  <c r="J1133" i="1"/>
  <c r="L1133" i="1" s="1"/>
  <c r="J1134" i="1"/>
  <c r="L1134" i="1" s="1"/>
  <c r="M1134" i="1" s="1" a="1"/>
  <c r="M1134" i="1" s="1"/>
  <c r="J1135" i="1"/>
  <c r="J1136" i="1"/>
  <c r="J1137" i="1"/>
  <c r="J1138" i="1"/>
  <c r="L1138" i="1" s="1"/>
  <c r="J1139" i="1"/>
  <c r="L1139" i="1" s="1"/>
  <c r="J1140" i="1"/>
  <c r="L1140" i="1" s="1"/>
  <c r="J1141" i="1"/>
  <c r="L1141" i="1" s="1"/>
  <c r="J1142" i="1"/>
  <c r="L1142" i="1" s="1"/>
  <c r="J1143" i="1"/>
  <c r="J1144" i="1"/>
  <c r="J1145" i="1"/>
  <c r="J1146" i="1"/>
  <c r="L1146" i="1" s="1"/>
  <c r="J1147" i="1"/>
  <c r="L1147" i="1" s="1"/>
  <c r="J1148" i="1"/>
  <c r="L1148" i="1" s="1"/>
  <c r="J1149" i="1"/>
  <c r="L1149" i="1" s="1"/>
  <c r="J1150" i="1"/>
  <c r="L1150" i="1" s="1"/>
  <c r="M1150" i="1" s="1" a="1"/>
  <c r="M1150" i="1" s="1"/>
  <c r="J1151" i="1"/>
  <c r="L1151" i="1" s="1"/>
  <c r="J1152" i="1"/>
  <c r="J1153" i="1"/>
  <c r="J1154" i="1"/>
  <c r="L1154" i="1" s="1"/>
  <c r="J1155" i="1"/>
  <c r="L1155" i="1" s="1"/>
  <c r="J1156" i="1"/>
  <c r="L1156" i="1" s="1"/>
  <c r="J1157" i="1"/>
  <c r="L1157" i="1" s="1"/>
  <c r="J1158" i="1"/>
  <c r="L1158" i="1" s="1"/>
  <c r="M1158" i="1" s="1" a="1"/>
  <c r="M1158" i="1" s="1"/>
  <c r="J1159" i="1"/>
  <c r="L1159" i="1" s="1"/>
  <c r="J1160" i="1"/>
  <c r="J1161" i="1"/>
  <c r="J1162" i="1"/>
  <c r="L1162" i="1" s="1"/>
  <c r="J1163" i="1"/>
  <c r="L1163" i="1" s="1"/>
  <c r="J1164" i="1"/>
  <c r="L1164" i="1" s="1"/>
  <c r="J1165" i="1"/>
  <c r="L1165" i="1" s="1"/>
  <c r="J1166" i="1"/>
  <c r="L1166" i="1" s="1"/>
  <c r="J1167" i="1"/>
  <c r="L1167" i="1" s="1"/>
  <c r="J1168" i="1"/>
  <c r="J1169" i="1"/>
  <c r="J1170" i="1"/>
  <c r="L1170" i="1" s="1"/>
  <c r="J1171" i="1"/>
  <c r="L1171" i="1" s="1"/>
  <c r="J1172" i="1"/>
  <c r="L1172" i="1" s="1"/>
  <c r="J1173" i="1"/>
  <c r="L1173" i="1" s="1"/>
  <c r="J1174" i="1"/>
  <c r="L1174" i="1" s="1"/>
  <c r="J1175" i="1"/>
  <c r="L1175" i="1" s="1"/>
  <c r="J1176" i="1"/>
  <c r="J1177" i="1"/>
  <c r="J1178" i="1"/>
  <c r="L1178" i="1" s="1"/>
  <c r="J1179" i="1"/>
  <c r="L1179" i="1" s="1"/>
  <c r="J1180" i="1"/>
  <c r="L1180" i="1" s="1"/>
  <c r="J1181" i="1"/>
  <c r="L1181" i="1" s="1"/>
  <c r="J1182" i="1"/>
  <c r="L1182" i="1" s="1"/>
  <c r="J1183" i="1"/>
  <c r="J1184" i="1"/>
  <c r="J1185" i="1"/>
  <c r="J1186" i="1"/>
  <c r="L1186" i="1" s="1"/>
  <c r="J1187" i="1"/>
  <c r="L1187" i="1" s="1"/>
  <c r="J1188" i="1"/>
  <c r="L1188" i="1" s="1"/>
  <c r="J1189" i="1"/>
  <c r="L1189" i="1" s="1"/>
  <c r="J1190" i="1"/>
  <c r="L1190" i="1" s="1"/>
  <c r="M1190" i="1" s="1" a="1"/>
  <c r="M1190" i="1" s="1"/>
  <c r="J1191" i="1"/>
  <c r="J1192" i="1"/>
  <c r="J1193" i="1"/>
  <c r="J1194" i="1"/>
  <c r="L1194" i="1" s="1"/>
  <c r="J1195" i="1"/>
  <c r="L1195" i="1" s="1"/>
  <c r="J1196" i="1"/>
  <c r="L1196" i="1" s="1"/>
  <c r="J1197" i="1"/>
  <c r="L1197" i="1" s="1"/>
  <c r="J1198" i="1"/>
  <c r="L1198" i="1" s="1"/>
  <c r="M1198" i="1" s="1" a="1"/>
  <c r="M1198" i="1" s="1"/>
  <c r="J1199" i="1"/>
  <c r="J1200" i="1"/>
  <c r="J1201" i="1"/>
  <c r="J1202" i="1"/>
  <c r="L1202" i="1" s="1"/>
  <c r="J1203" i="1"/>
  <c r="L1203" i="1" s="1"/>
  <c r="J1204" i="1"/>
  <c r="L1204" i="1" s="1"/>
  <c r="J1205" i="1"/>
  <c r="L1205" i="1" s="1"/>
  <c r="J1206" i="1"/>
  <c r="L1206" i="1" s="1"/>
  <c r="J1207" i="1"/>
  <c r="J1208" i="1"/>
  <c r="J1209" i="1"/>
  <c r="J1210" i="1"/>
  <c r="L1210" i="1" s="1"/>
  <c r="J1211" i="1"/>
  <c r="L1211" i="1" s="1"/>
  <c r="J1212" i="1"/>
  <c r="L1212" i="1" s="1"/>
  <c r="J1213" i="1"/>
  <c r="L1213" i="1" s="1"/>
  <c r="J1214" i="1"/>
  <c r="L1214" i="1" s="1"/>
  <c r="M1214" i="1" s="1" a="1"/>
  <c r="M1214" i="1" s="1"/>
  <c r="J1215" i="1"/>
  <c r="L1215" i="1" s="1"/>
  <c r="J1216" i="1"/>
  <c r="J1217" i="1"/>
  <c r="J1218" i="1"/>
  <c r="L1218" i="1" s="1"/>
  <c r="J1219" i="1"/>
  <c r="L1219" i="1" s="1"/>
  <c r="J1220" i="1"/>
  <c r="L1220" i="1" s="1"/>
  <c r="J1221" i="1"/>
  <c r="L1221" i="1" s="1"/>
  <c r="J1222" i="1"/>
  <c r="L1222" i="1" s="1"/>
  <c r="M1222" i="1" s="1" a="1"/>
  <c r="M1222" i="1" s="1"/>
  <c r="J1223" i="1"/>
  <c r="L1223" i="1" s="1"/>
  <c r="J1224" i="1"/>
  <c r="J1225" i="1"/>
  <c r="J1226" i="1"/>
  <c r="L1226" i="1" s="1"/>
  <c r="J1227" i="1"/>
  <c r="L1227" i="1" s="1"/>
  <c r="J1228" i="1"/>
  <c r="L1228" i="1" s="1"/>
  <c r="J1229" i="1"/>
  <c r="L1229" i="1" s="1"/>
  <c r="J1230" i="1"/>
  <c r="L1230" i="1" s="1"/>
  <c r="M1230" i="1" s="1" a="1"/>
  <c r="M1230" i="1" s="1"/>
  <c r="J1231" i="1"/>
  <c r="L1231" i="1" s="1"/>
  <c r="J1232" i="1"/>
  <c r="J1233" i="1"/>
  <c r="J1234" i="1"/>
  <c r="L1234" i="1" s="1"/>
  <c r="J1235" i="1"/>
  <c r="L1235" i="1" s="1"/>
  <c r="J1236" i="1"/>
  <c r="L1236" i="1" s="1"/>
  <c r="J1237" i="1"/>
  <c r="L1237" i="1" s="1"/>
  <c r="J1238" i="1"/>
  <c r="L1238" i="1" s="1"/>
  <c r="J1239" i="1"/>
  <c r="L1239" i="1" s="1"/>
  <c r="J1240" i="1"/>
  <c r="J1241" i="1"/>
  <c r="J1242" i="1"/>
  <c r="L1242" i="1" s="1"/>
  <c r="J1243" i="1"/>
  <c r="L1243" i="1" s="1"/>
  <c r="J1244" i="1"/>
  <c r="L1244" i="1" s="1"/>
  <c r="J1245" i="1"/>
  <c r="L1245" i="1" s="1"/>
  <c r="J1246" i="1"/>
  <c r="L1246" i="1" s="1"/>
  <c r="J1247" i="1"/>
  <c r="J1248" i="1"/>
  <c r="J1249" i="1"/>
  <c r="J1250" i="1"/>
  <c r="L1250" i="1" s="1"/>
  <c r="J1251" i="1"/>
  <c r="L1251" i="1" s="1"/>
  <c r="J1252" i="1"/>
  <c r="L1252" i="1" s="1"/>
  <c r="J1253" i="1"/>
  <c r="L1253" i="1" s="1"/>
  <c r="J1254" i="1"/>
  <c r="L1254" i="1" s="1"/>
  <c r="J1255" i="1"/>
  <c r="J1256" i="1"/>
  <c r="J1257" i="1"/>
  <c r="J1258" i="1"/>
  <c r="L1258" i="1" s="1"/>
  <c r="J1259" i="1"/>
  <c r="L1259" i="1" s="1"/>
  <c r="J1260" i="1"/>
  <c r="L1260" i="1" s="1"/>
  <c r="J1261" i="1"/>
  <c r="L1261" i="1" s="1"/>
  <c r="J1262" i="1"/>
  <c r="L1262" i="1" s="1"/>
  <c r="M1262" i="1" s="1" a="1"/>
  <c r="M1262" i="1" s="1"/>
  <c r="J1263" i="1"/>
  <c r="J1264" i="1"/>
  <c r="J1265" i="1"/>
  <c r="J1266" i="1"/>
  <c r="L1266" i="1" s="1"/>
  <c r="J1267" i="1"/>
  <c r="L1267" i="1" s="1"/>
  <c r="J1268" i="1"/>
  <c r="L1268" i="1" s="1"/>
  <c r="J1269" i="1"/>
  <c r="L1269" i="1" s="1"/>
  <c r="J1270" i="1"/>
  <c r="L1270" i="1" s="1"/>
  <c r="J1271" i="1"/>
  <c r="J1272" i="1"/>
  <c r="J1273" i="1"/>
  <c r="J1274" i="1"/>
  <c r="L1274" i="1" s="1"/>
  <c r="J1275" i="1"/>
  <c r="L1275" i="1" s="1"/>
  <c r="J1276" i="1"/>
  <c r="L1276" i="1" s="1"/>
  <c r="J1277" i="1"/>
  <c r="L1277" i="1" s="1"/>
  <c r="J1278" i="1"/>
  <c r="L1278" i="1" s="1"/>
  <c r="M1278" i="1" s="1" a="1"/>
  <c r="M1278" i="1" s="1"/>
  <c r="J1279" i="1"/>
  <c r="L1279" i="1" s="1"/>
  <c r="J1280" i="1"/>
  <c r="J1281" i="1"/>
  <c r="J1282" i="1"/>
  <c r="L1282" i="1" s="1"/>
  <c r="J1283" i="1"/>
  <c r="L1283" i="1" s="1"/>
  <c r="J1284" i="1"/>
  <c r="L1284" i="1" s="1"/>
  <c r="J1285" i="1"/>
  <c r="L1285" i="1" s="1"/>
  <c r="J1286" i="1"/>
  <c r="L1286" i="1" s="1"/>
  <c r="M1286" i="1" s="1" a="1"/>
  <c r="M1286" i="1" s="1"/>
  <c r="J1287" i="1"/>
  <c r="L1287" i="1" s="1"/>
  <c r="J1288" i="1"/>
  <c r="J1289" i="1"/>
  <c r="J1290" i="1"/>
  <c r="L1290" i="1" s="1"/>
  <c r="J1291" i="1"/>
  <c r="L1291" i="1" s="1"/>
  <c r="J1292" i="1"/>
  <c r="L1292" i="1" s="1"/>
  <c r="J1293" i="1"/>
  <c r="L1293" i="1" s="1"/>
  <c r="J1294" i="1"/>
  <c r="L1294" i="1" s="1"/>
  <c r="M1294" i="1" s="1" a="1"/>
  <c r="M1294" i="1" s="1"/>
  <c r="J1295" i="1"/>
  <c r="L1295" i="1" s="1"/>
  <c r="J1296" i="1"/>
  <c r="J1297" i="1"/>
  <c r="J1298" i="1"/>
  <c r="L1298" i="1" s="1"/>
  <c r="J1299" i="1"/>
  <c r="L1299" i="1" s="1"/>
  <c r="J1300" i="1"/>
  <c r="L1300" i="1" s="1"/>
  <c r="J1301" i="1"/>
  <c r="L1301" i="1" s="1"/>
  <c r="J1302" i="1"/>
  <c r="L1302" i="1" s="1"/>
  <c r="J1303" i="1"/>
  <c r="L1303" i="1" s="1"/>
  <c r="J1304" i="1"/>
  <c r="J1305" i="1"/>
  <c r="J1306" i="1"/>
  <c r="L1306" i="1" s="1"/>
  <c r="J1307" i="1"/>
  <c r="L1307" i="1" s="1"/>
  <c r="J1308" i="1"/>
  <c r="L1308" i="1" s="1"/>
  <c r="J1309" i="1"/>
  <c r="L1309" i="1" s="1"/>
  <c r="J1310" i="1"/>
  <c r="L1310" i="1" s="1"/>
  <c r="J1311" i="1"/>
  <c r="J1312" i="1"/>
  <c r="J1313" i="1"/>
  <c r="J1314" i="1"/>
  <c r="L1314" i="1" s="1"/>
  <c r="J1315" i="1"/>
  <c r="L1315" i="1" s="1"/>
  <c r="J1316" i="1"/>
  <c r="L1316" i="1" s="1"/>
  <c r="J1317" i="1"/>
  <c r="L1317" i="1" s="1"/>
  <c r="J1318" i="1"/>
  <c r="L1318" i="1" s="1"/>
  <c r="M1318" i="1" s="1" a="1"/>
  <c r="M1318" i="1" s="1"/>
  <c r="J1319" i="1"/>
  <c r="J1320" i="1"/>
  <c r="J1321" i="1"/>
  <c r="J1322" i="1"/>
  <c r="L1322" i="1" s="1"/>
  <c r="J1323" i="1"/>
  <c r="L1323" i="1" s="1"/>
  <c r="J1324" i="1"/>
  <c r="L1324" i="1" s="1"/>
  <c r="J1325" i="1"/>
  <c r="L1325" i="1" s="1"/>
  <c r="J1326" i="1"/>
  <c r="L1326" i="1" s="1"/>
  <c r="J1327" i="1"/>
  <c r="J1328" i="1"/>
  <c r="J1329" i="1"/>
  <c r="J1330" i="1"/>
  <c r="L1330" i="1" s="1"/>
  <c r="J1331" i="1"/>
  <c r="L1331" i="1" s="1"/>
  <c r="J1332" i="1"/>
  <c r="L1332" i="1" s="1"/>
  <c r="J1333" i="1"/>
  <c r="L1333" i="1" s="1"/>
  <c r="J1334" i="1"/>
  <c r="L1334" i="1" s="1"/>
  <c r="J1335" i="1"/>
  <c r="J1336" i="1"/>
  <c r="J1337" i="1"/>
  <c r="J1338" i="1"/>
  <c r="L1338" i="1" s="1"/>
  <c r="J1339" i="1"/>
  <c r="L1339" i="1" s="1"/>
  <c r="J1340" i="1"/>
  <c r="L1340" i="1" s="1"/>
  <c r="J1341" i="1"/>
  <c r="L1341" i="1" s="1"/>
  <c r="J1342" i="1"/>
  <c r="L1342" i="1" s="1"/>
  <c r="J1343" i="1"/>
  <c r="L1343" i="1" s="1"/>
  <c r="J1344" i="1"/>
  <c r="J1345" i="1"/>
  <c r="J1346" i="1"/>
  <c r="L1346" i="1" s="1"/>
  <c r="J1347" i="1"/>
  <c r="L1347" i="1" s="1"/>
  <c r="J1348" i="1"/>
  <c r="L1348" i="1" s="1"/>
  <c r="J1349" i="1"/>
  <c r="L1349" i="1" s="1"/>
  <c r="J1350" i="1"/>
  <c r="L1350" i="1" s="1"/>
  <c r="J1351" i="1"/>
  <c r="L1351" i="1" s="1"/>
  <c r="J1352" i="1"/>
  <c r="J1353" i="1"/>
  <c r="J1354" i="1"/>
  <c r="L1354" i="1" s="1"/>
  <c r="J1355" i="1"/>
  <c r="L1355" i="1" s="1"/>
  <c r="J1356" i="1"/>
  <c r="L1356" i="1" s="1"/>
  <c r="J1357" i="1"/>
  <c r="L1357" i="1" s="1"/>
  <c r="J1358" i="1"/>
  <c r="L1358" i="1" s="1"/>
  <c r="J1359" i="1"/>
  <c r="L1359" i="1" s="1"/>
  <c r="J1360" i="1"/>
  <c r="J1361" i="1"/>
  <c r="J1362" i="1"/>
  <c r="L1362" i="1" s="1"/>
  <c r="J1363" i="1"/>
  <c r="L1363" i="1" s="1"/>
  <c r="J1364" i="1"/>
  <c r="L1364" i="1" s="1"/>
  <c r="J1365" i="1"/>
  <c r="L1365" i="1" s="1"/>
  <c r="J1366" i="1"/>
  <c r="L1366" i="1" s="1"/>
  <c r="M1366" i="1" s="1" a="1"/>
  <c r="M1366" i="1" s="1"/>
  <c r="J1367" i="1"/>
  <c r="L1367" i="1" s="1"/>
  <c r="J1368" i="1"/>
  <c r="J1369" i="1"/>
  <c r="J1370" i="1"/>
  <c r="L1370" i="1" s="1"/>
  <c r="J1371" i="1"/>
  <c r="L1371" i="1" s="1"/>
  <c r="J1372" i="1"/>
  <c r="L1372" i="1" s="1"/>
  <c r="J1373" i="1"/>
  <c r="L1373" i="1" s="1"/>
  <c r="J1374" i="1"/>
  <c r="L1374" i="1" s="1"/>
  <c r="J1375" i="1"/>
  <c r="J1376" i="1"/>
  <c r="J1377" i="1"/>
  <c r="J1378" i="1"/>
  <c r="L1378" i="1" s="1"/>
  <c r="J1379" i="1"/>
  <c r="L1379" i="1" s="1"/>
  <c r="J1380" i="1"/>
  <c r="L1380" i="1" s="1"/>
  <c r="J1381" i="1"/>
  <c r="L1381" i="1" s="1"/>
  <c r="J1382" i="1"/>
  <c r="L1382" i="1" s="1"/>
  <c r="J1383" i="1"/>
  <c r="J1384" i="1"/>
  <c r="J1385" i="1"/>
  <c r="J1386" i="1"/>
  <c r="L1386" i="1" s="1"/>
  <c r="J1387" i="1"/>
  <c r="L1387" i="1" s="1"/>
  <c r="J1388" i="1"/>
  <c r="L1388" i="1" s="1"/>
  <c r="J1389" i="1"/>
  <c r="L1389" i="1" s="1"/>
  <c r="J1390" i="1"/>
  <c r="L1390" i="1" s="1"/>
  <c r="J1391" i="1"/>
  <c r="J1392" i="1"/>
  <c r="J1393" i="1"/>
  <c r="J1394" i="1"/>
  <c r="L1394" i="1" s="1"/>
  <c r="J1395" i="1"/>
  <c r="L1395" i="1" s="1"/>
  <c r="J1396" i="1"/>
  <c r="L1396" i="1" s="1"/>
  <c r="J1397" i="1"/>
  <c r="L1397" i="1" s="1"/>
  <c r="J1398" i="1"/>
  <c r="L1398" i="1" s="1"/>
  <c r="M1398" i="1" s="1" a="1"/>
  <c r="M1398" i="1" s="1"/>
  <c r="J1399" i="1"/>
  <c r="L1399" i="1" s="1"/>
  <c r="J1400" i="1"/>
  <c r="J1401" i="1"/>
  <c r="L1401" i="1" s="1"/>
  <c r="J1402" i="1"/>
  <c r="L1402" i="1" s="1"/>
  <c r="J1403" i="1"/>
  <c r="L1403" i="1" s="1"/>
  <c r="J1404" i="1"/>
  <c r="L1404" i="1" s="1"/>
  <c r="J1405" i="1"/>
  <c r="L1405" i="1" s="1"/>
  <c r="J1406" i="1"/>
  <c r="L1406" i="1" s="1"/>
  <c r="M1406" i="1" s="1" a="1"/>
  <c r="M1406" i="1" s="1"/>
  <c r="J1407" i="1"/>
  <c r="J1408" i="1"/>
  <c r="J1409" i="1"/>
  <c r="J1410" i="1"/>
  <c r="L1410" i="1" s="1"/>
  <c r="J1411" i="1"/>
  <c r="L1411" i="1" s="1"/>
  <c r="J1412" i="1"/>
  <c r="L1412" i="1" s="1"/>
  <c r="J1413" i="1"/>
  <c r="L1413" i="1" s="1"/>
  <c r="J1414" i="1"/>
  <c r="L1414" i="1" s="1"/>
  <c r="M1414" i="1" s="1" a="1"/>
  <c r="M1414" i="1" s="1"/>
  <c r="J1415" i="1"/>
  <c r="L1415" i="1" s="1"/>
  <c r="J1416" i="1"/>
  <c r="J1417" i="1"/>
  <c r="J1418" i="1"/>
  <c r="L1418" i="1" s="1"/>
  <c r="J1419" i="1"/>
  <c r="L1419" i="1" s="1"/>
  <c r="J1420" i="1"/>
  <c r="L1420" i="1" s="1"/>
  <c r="J1421" i="1"/>
  <c r="L1421" i="1" s="1"/>
  <c r="J1422" i="1"/>
  <c r="L1422" i="1" s="1"/>
  <c r="M1422" i="1" s="1" a="1"/>
  <c r="M1422" i="1" s="1"/>
  <c r="J1423" i="1"/>
  <c r="L1423" i="1" s="1"/>
  <c r="J1424" i="1"/>
  <c r="J1425" i="1"/>
  <c r="J1426" i="1"/>
  <c r="L1426" i="1" s="1"/>
  <c r="J1427" i="1"/>
  <c r="L1427" i="1" s="1"/>
  <c r="J1428" i="1"/>
  <c r="L1428" i="1" s="1"/>
  <c r="J1429" i="1"/>
  <c r="L1429" i="1" s="1"/>
  <c r="J1430" i="1"/>
  <c r="L1430" i="1" s="1"/>
  <c r="J1431" i="1"/>
  <c r="J1432" i="1"/>
  <c r="J1433" i="1"/>
  <c r="J1434" i="1"/>
  <c r="L1434" i="1" s="1"/>
  <c r="J1435" i="1"/>
  <c r="L1435" i="1" s="1"/>
  <c r="J1436" i="1"/>
  <c r="L1436" i="1" s="1"/>
  <c r="J1437" i="1"/>
  <c r="L1437" i="1" s="1"/>
  <c r="J1438" i="1"/>
  <c r="L1438" i="1" s="1"/>
  <c r="J1439" i="1"/>
  <c r="L1439" i="1" s="1"/>
  <c r="J1440" i="1"/>
  <c r="J1441" i="1"/>
  <c r="L1441" i="1" s="1"/>
  <c r="J1442" i="1"/>
  <c r="L1442" i="1" s="1"/>
  <c r="J1443" i="1"/>
  <c r="L1443" i="1" s="1"/>
  <c r="J1444" i="1"/>
  <c r="L1444" i="1" s="1"/>
  <c r="J1445" i="1"/>
  <c r="L1445" i="1" s="1"/>
  <c r="J1446" i="1"/>
  <c r="L1446" i="1" s="1"/>
  <c r="J1447" i="1"/>
  <c r="J1448" i="1"/>
  <c r="J1449" i="1"/>
  <c r="J1450" i="1"/>
  <c r="L1450" i="1" s="1"/>
  <c r="J1451" i="1"/>
  <c r="L1451" i="1" s="1"/>
  <c r="J1452" i="1"/>
  <c r="L1452" i="1" s="1"/>
  <c r="J1453" i="1"/>
  <c r="L1453" i="1" s="1"/>
  <c r="J1454" i="1"/>
  <c r="L1454" i="1" s="1"/>
  <c r="J1455" i="1"/>
  <c r="L1455" i="1" s="1"/>
  <c r="J1456" i="1"/>
  <c r="J1457" i="1"/>
  <c r="J1458" i="1"/>
  <c r="L1458" i="1" s="1"/>
  <c r="J1459" i="1"/>
  <c r="L1459" i="1" s="1"/>
  <c r="J1460" i="1"/>
  <c r="L1460" i="1" s="1"/>
  <c r="J1461" i="1"/>
  <c r="L1461" i="1" s="1"/>
  <c r="J1462" i="1"/>
  <c r="L1462" i="1" s="1"/>
  <c r="J1463" i="1"/>
  <c r="L1463" i="1" s="1"/>
  <c r="J1464" i="1"/>
  <c r="L1464" i="1" s="1"/>
  <c r="J1465" i="1"/>
  <c r="L1465" i="1" s="1"/>
  <c r="J1466" i="1"/>
  <c r="L1466" i="1" s="1"/>
  <c r="J1467" i="1"/>
  <c r="L1467" i="1" s="1"/>
  <c r="J1468" i="1"/>
  <c r="L1468" i="1" s="1"/>
  <c r="J1469" i="1"/>
  <c r="L1469" i="1" s="1"/>
  <c r="J1470" i="1"/>
  <c r="L1470" i="1" s="1"/>
  <c r="J1471" i="1"/>
  <c r="J1472" i="1"/>
  <c r="J1473" i="1"/>
  <c r="J1474" i="1"/>
  <c r="L1474" i="1" s="1"/>
  <c r="J1475" i="1"/>
  <c r="L1475" i="1" s="1"/>
  <c r="J1476" i="1"/>
  <c r="L1476" i="1" s="1"/>
  <c r="J1477" i="1"/>
  <c r="L1477" i="1" s="1"/>
  <c r="J1478" i="1"/>
  <c r="L1478" i="1" s="1"/>
  <c r="J1479" i="1"/>
  <c r="L1479" i="1" s="1"/>
  <c r="J1480" i="1"/>
  <c r="J1481" i="1"/>
  <c r="J1482" i="1"/>
  <c r="L1482" i="1" s="1"/>
  <c r="J1483" i="1"/>
  <c r="L1483" i="1" s="1"/>
  <c r="J1484" i="1"/>
  <c r="L1484" i="1" s="1"/>
  <c r="J1485" i="1"/>
  <c r="L1485" i="1" s="1"/>
  <c r="J1486" i="1"/>
  <c r="L1486" i="1" s="1"/>
  <c r="J1487" i="1"/>
  <c r="L1487" i="1" s="1"/>
  <c r="J1488" i="1"/>
  <c r="L1488" i="1" s="1"/>
  <c r="J1489" i="1"/>
  <c r="L1489" i="1" s="1"/>
  <c r="J1490" i="1"/>
  <c r="L1490" i="1" s="1"/>
  <c r="J1491" i="1"/>
  <c r="L1491" i="1" s="1"/>
  <c r="J1492" i="1"/>
  <c r="L1492" i="1" s="1"/>
  <c r="J1493" i="1"/>
  <c r="L1493" i="1" s="1"/>
  <c r="J1494" i="1"/>
  <c r="L1494" i="1" s="1"/>
  <c r="J1495" i="1"/>
  <c r="J1496" i="1"/>
  <c r="J1497" i="1"/>
  <c r="J1498" i="1"/>
  <c r="L1498" i="1" s="1"/>
  <c r="J1499" i="1"/>
  <c r="L1499" i="1" s="1"/>
  <c r="J1500" i="1"/>
  <c r="L1500" i="1" s="1"/>
  <c r="J1501" i="1"/>
  <c r="L1501" i="1" s="1"/>
  <c r="J1502" i="1"/>
  <c r="L1502" i="1" s="1"/>
  <c r="J1503" i="1"/>
  <c r="J1504" i="1"/>
  <c r="J5" i="1"/>
  <c r="M6" i="1" a="1"/>
  <c r="M6" i="1" s="1"/>
  <c r="M86" i="1" a="1"/>
  <c r="M86" i="1" s="1"/>
  <c r="M166" i="1" a="1"/>
  <c r="M166" i="1" s="1"/>
  <c r="M262" i="1" a="1"/>
  <c r="M262" i="1" s="1"/>
  <c r="M358" i="1" a="1"/>
  <c r="M358" i="1" s="1"/>
  <c r="M470" i="1" a="1"/>
  <c r="M470" i="1" s="1"/>
  <c r="M642" i="1" a="1"/>
  <c r="M642" i="1" s="1"/>
  <c r="M1022" i="1" a="1"/>
  <c r="M1022" i="1" s="1"/>
  <c r="L691" i="1" l="1"/>
  <c r="M691" i="1" s="1" a="1"/>
  <c r="M691" i="1" s="1"/>
  <c r="N691" i="1" s="1" a="1"/>
  <c r="N691" i="1" s="1"/>
  <c r="M1489" i="1" a="1"/>
  <c r="M1489" i="1" s="1"/>
  <c r="M1465" i="1" a="1"/>
  <c r="M1465" i="1" s="1"/>
  <c r="M1441" i="1" a="1"/>
  <c r="M1441" i="1" s="1"/>
  <c r="M1401" i="1" a="1"/>
  <c r="M1401" i="1" s="1"/>
  <c r="N1401" i="1" s="1" a="1"/>
  <c r="N1401" i="1" s="1"/>
  <c r="L1385" i="1"/>
  <c r="M1385" i="1" s="1" a="1"/>
  <c r="M1385" i="1" s="1"/>
  <c r="L1377" i="1"/>
  <c r="M1377" i="1" s="1" a="1"/>
  <c r="M1377" i="1" s="1"/>
  <c r="N1377" i="1" s="1" a="1"/>
  <c r="N1377" i="1" s="1"/>
  <c r="L1369" i="1"/>
  <c r="M1369" i="1" s="1" a="1"/>
  <c r="M1369" i="1" s="1"/>
  <c r="N1369" i="1" s="1" a="1"/>
  <c r="N1369" i="1" s="1"/>
  <c r="M1361" i="1" a="1"/>
  <c r="M1361" i="1" s="1"/>
  <c r="L1361" i="1"/>
  <c r="L1353" i="1"/>
  <c r="M1353" i="1" s="1" a="1"/>
  <c r="M1353" i="1" s="1"/>
  <c r="N1353" i="1" s="1" a="1"/>
  <c r="N1353" i="1" s="1"/>
  <c r="L1345" i="1"/>
  <c r="M1345" i="1" s="1" a="1"/>
  <c r="M1345" i="1" s="1"/>
  <c r="L1337" i="1"/>
  <c r="M1337" i="1" s="1" a="1"/>
  <c r="M1337" i="1" s="1"/>
  <c r="N1337" i="1" s="1" a="1"/>
  <c r="N1337" i="1" s="1"/>
  <c r="L1329" i="1"/>
  <c r="M1329" i="1" s="1" a="1"/>
  <c r="M1329" i="1" s="1"/>
  <c r="N1329" i="1" s="1" a="1"/>
  <c r="N1329" i="1" s="1"/>
  <c r="L1321" i="1"/>
  <c r="M1321" i="1" s="1" a="1"/>
  <c r="M1321" i="1" s="1"/>
  <c r="N1321" i="1" s="1" a="1"/>
  <c r="N1321" i="1" s="1"/>
  <c r="L1313" i="1"/>
  <c r="M1313" i="1" s="1" a="1"/>
  <c r="M1313" i="1" s="1"/>
  <c r="N1313" i="1" s="1" a="1"/>
  <c r="N1313" i="1" s="1"/>
  <c r="L1305" i="1"/>
  <c r="M1305" i="1" s="1" a="1"/>
  <c r="M1305" i="1" s="1"/>
  <c r="L1297" i="1"/>
  <c r="M1297" i="1" s="1" a="1"/>
  <c r="M1297" i="1" s="1"/>
  <c r="N1297" i="1" s="1" a="1"/>
  <c r="N1297" i="1" s="1"/>
  <c r="L1289" i="1"/>
  <c r="M1289" i="1" s="1" a="1"/>
  <c r="M1289" i="1" s="1"/>
  <c r="N1289" i="1" s="1" a="1"/>
  <c r="N1289" i="1" s="1"/>
  <c r="L1281" i="1"/>
  <c r="M1281" i="1" s="1" a="1"/>
  <c r="M1281" i="1" s="1"/>
  <c r="L1273" i="1"/>
  <c r="M1273" i="1" s="1" a="1"/>
  <c r="M1273" i="1" s="1"/>
  <c r="L1265" i="1"/>
  <c r="M1265" i="1" s="1" a="1"/>
  <c r="M1265" i="1" s="1"/>
  <c r="N1265" i="1" s="1" a="1"/>
  <c r="N1265" i="1" s="1"/>
  <c r="L1257" i="1"/>
  <c r="M1257" i="1" s="1" a="1"/>
  <c r="M1257" i="1" s="1"/>
  <c r="N1257" i="1" s="1" a="1"/>
  <c r="N1257" i="1" s="1"/>
  <c r="L1249" i="1"/>
  <c r="M1249" i="1" s="1" a="1"/>
  <c r="M1249" i="1" s="1"/>
  <c r="N1249" i="1" s="1" a="1"/>
  <c r="N1249" i="1" s="1"/>
  <c r="L1241" i="1"/>
  <c r="M1241" i="1" s="1" a="1"/>
  <c r="M1241" i="1" s="1"/>
  <c r="L1233" i="1"/>
  <c r="M1233" i="1" s="1" a="1"/>
  <c r="M1233" i="1" s="1"/>
  <c r="N1233" i="1" s="1" a="1"/>
  <c r="N1233" i="1" s="1"/>
  <c r="L1225" i="1"/>
  <c r="M1225" i="1" s="1" a="1"/>
  <c r="M1225" i="1" s="1"/>
  <c r="L1217" i="1"/>
  <c r="M1217" i="1" s="1" a="1"/>
  <c r="M1217" i="1" s="1"/>
  <c r="N1217" i="1" s="1" a="1"/>
  <c r="N1217" i="1" s="1"/>
  <c r="L1209" i="1"/>
  <c r="M1209" i="1" s="1" a="1"/>
  <c r="M1209" i="1" s="1"/>
  <c r="L1201" i="1"/>
  <c r="M1201" i="1" s="1" a="1"/>
  <c r="M1201" i="1" s="1"/>
  <c r="N1201" i="1" s="1" a="1"/>
  <c r="N1201" i="1" s="1"/>
  <c r="L1193" i="1"/>
  <c r="M1193" i="1" s="1" a="1"/>
  <c r="M1193" i="1" s="1"/>
  <c r="N1193" i="1" s="1" a="1"/>
  <c r="N1193" i="1" s="1"/>
  <c r="L1185" i="1"/>
  <c r="M1185" i="1" s="1" a="1"/>
  <c r="M1185" i="1" s="1"/>
  <c r="N1185" i="1" s="1" a="1"/>
  <c r="N1185" i="1" s="1"/>
  <c r="L1177" i="1"/>
  <c r="M1177" i="1" s="1" a="1"/>
  <c r="M1177" i="1" s="1"/>
  <c r="L1169" i="1"/>
  <c r="M1169" i="1" s="1" a="1"/>
  <c r="M1169" i="1" s="1"/>
  <c r="N1169" i="1" s="1" a="1"/>
  <c r="N1169" i="1" s="1"/>
  <c r="L1161" i="1"/>
  <c r="M1161" i="1" s="1" a="1"/>
  <c r="M1161" i="1" s="1"/>
  <c r="N1161" i="1" s="1" a="1"/>
  <c r="N1161" i="1" s="1"/>
  <c r="L1153" i="1"/>
  <c r="M1153" i="1" s="1" a="1"/>
  <c r="M1153" i="1" s="1"/>
  <c r="N1153" i="1" s="1" a="1"/>
  <c r="N1153" i="1" s="1"/>
  <c r="L1145" i="1"/>
  <c r="M1145" i="1" s="1" a="1"/>
  <c r="M1145" i="1" s="1"/>
  <c r="N1145" i="1" s="1" a="1"/>
  <c r="N1145" i="1" s="1"/>
  <c r="L1137" i="1"/>
  <c r="M1137" i="1" s="1" a="1"/>
  <c r="M1137" i="1" s="1"/>
  <c r="N1137" i="1" s="1" a="1"/>
  <c r="N1137" i="1" s="1"/>
  <c r="L1129" i="1"/>
  <c r="M1129" i="1" s="1" a="1"/>
  <c r="M1129" i="1" s="1"/>
  <c r="N1129" i="1" s="1" a="1"/>
  <c r="N1129" i="1" s="1"/>
  <c r="L1121" i="1"/>
  <c r="M1121" i="1" s="1" a="1"/>
  <c r="M1121" i="1" s="1"/>
  <c r="N1121" i="1" s="1" a="1"/>
  <c r="N1121" i="1" s="1"/>
  <c r="L1113" i="1"/>
  <c r="M1113" i="1" s="1" a="1"/>
  <c r="M1113" i="1" s="1"/>
  <c r="L1105" i="1"/>
  <c r="M1105" i="1" s="1" a="1"/>
  <c r="M1105" i="1" s="1"/>
  <c r="N1105" i="1" s="1" a="1"/>
  <c r="N1105" i="1" s="1"/>
  <c r="L1097" i="1"/>
  <c r="M1097" i="1" s="1" a="1"/>
  <c r="M1097" i="1" s="1"/>
  <c r="N1097" i="1" s="1" a="1"/>
  <c r="N1097" i="1" s="1"/>
  <c r="L1089" i="1"/>
  <c r="M1089" i="1" s="1" a="1"/>
  <c r="M1089" i="1" s="1"/>
  <c r="L1081" i="1"/>
  <c r="M1081" i="1" s="1" a="1"/>
  <c r="M1081" i="1" s="1"/>
  <c r="N1081" i="1" s="1" a="1"/>
  <c r="N1081" i="1" s="1"/>
  <c r="L1073" i="1"/>
  <c r="M1073" i="1" s="1" a="1"/>
  <c r="M1073" i="1" s="1"/>
  <c r="N1073" i="1" s="1" a="1"/>
  <c r="N1073" i="1" s="1"/>
  <c r="L1065" i="1"/>
  <c r="M1065" i="1" s="1" a="1"/>
  <c r="M1065" i="1" s="1"/>
  <c r="N1065" i="1" s="1" a="1"/>
  <c r="N1065" i="1" s="1"/>
  <c r="L1057" i="1"/>
  <c r="M1057" i="1" s="1" a="1"/>
  <c r="M1057" i="1" s="1"/>
  <c r="N1057" i="1" s="1" a="1"/>
  <c r="N1057" i="1" s="1"/>
  <c r="L1049" i="1"/>
  <c r="M1049" i="1" s="1" a="1"/>
  <c r="M1049" i="1" s="1"/>
  <c r="N1049" i="1" s="1" a="1"/>
  <c r="N1049" i="1" s="1"/>
  <c r="L1041" i="1"/>
  <c r="M1041" i="1" s="1" a="1"/>
  <c r="M1041" i="1" s="1"/>
  <c r="N1041" i="1" s="1" a="1"/>
  <c r="N1041" i="1" s="1"/>
  <c r="L1033" i="1"/>
  <c r="M1033" i="1" s="1" a="1"/>
  <c r="M1033" i="1" s="1"/>
  <c r="N1033" i="1" s="1" a="1"/>
  <c r="N1033" i="1" s="1"/>
  <c r="L1025" i="1"/>
  <c r="M1025" i="1" s="1" a="1"/>
  <c r="M1025" i="1" s="1"/>
  <c r="L1017" i="1"/>
  <c r="M1017" i="1" s="1" a="1"/>
  <c r="M1017" i="1" s="1"/>
  <c r="L1009" i="1"/>
  <c r="M1009" i="1" s="1" a="1"/>
  <c r="M1009" i="1" s="1"/>
  <c r="N1009" i="1" s="1" a="1"/>
  <c r="N1009" i="1" s="1"/>
  <c r="L1001" i="1"/>
  <c r="M1001" i="1" s="1" a="1"/>
  <c r="M1001" i="1" s="1"/>
  <c r="N1001" i="1" s="1" a="1"/>
  <c r="N1001" i="1" s="1"/>
  <c r="L993" i="1"/>
  <c r="M993" i="1" s="1" a="1"/>
  <c r="M993" i="1" s="1"/>
  <c r="N993" i="1" s="1" a="1"/>
  <c r="N993" i="1" s="1"/>
  <c r="L985" i="1"/>
  <c r="M985" i="1" s="1" a="1"/>
  <c r="M985" i="1" s="1"/>
  <c r="L977" i="1"/>
  <c r="M977" i="1" s="1" a="1"/>
  <c r="M977" i="1" s="1"/>
  <c r="N977" i="1" s="1" a="1"/>
  <c r="N977" i="1" s="1"/>
  <c r="L969" i="1"/>
  <c r="M969" i="1" s="1" a="1"/>
  <c r="M969" i="1" s="1"/>
  <c r="L961" i="1"/>
  <c r="M961" i="1" s="1" a="1"/>
  <c r="M961" i="1" s="1"/>
  <c r="L953" i="1"/>
  <c r="M953" i="1" s="1" a="1"/>
  <c r="M953" i="1" s="1"/>
  <c r="L945" i="1"/>
  <c r="M945" i="1" s="1" a="1"/>
  <c r="M945" i="1" s="1"/>
  <c r="N945" i="1" s="1" a="1"/>
  <c r="N945" i="1" s="1"/>
  <c r="L937" i="1"/>
  <c r="M937" i="1" s="1" a="1"/>
  <c r="M937" i="1" s="1"/>
  <c r="N937" i="1" s="1" a="1"/>
  <c r="N937" i="1" s="1"/>
  <c r="L929" i="1"/>
  <c r="M929" i="1" s="1" a="1"/>
  <c r="M929" i="1" s="1"/>
  <c r="N929" i="1" s="1" a="1"/>
  <c r="N929" i="1" s="1"/>
  <c r="L921" i="1"/>
  <c r="M921" i="1" s="1" a="1"/>
  <c r="M921" i="1" s="1"/>
  <c r="L913" i="1"/>
  <c r="M913" i="1" s="1" a="1"/>
  <c r="M913" i="1" s="1"/>
  <c r="N913" i="1" s="1" a="1"/>
  <c r="N913" i="1" s="1"/>
  <c r="L905" i="1"/>
  <c r="M905" i="1" s="1" a="1"/>
  <c r="M905" i="1" s="1"/>
  <c r="L897" i="1"/>
  <c r="M897" i="1" s="1" a="1"/>
  <c r="M897" i="1" s="1"/>
  <c r="L889" i="1"/>
  <c r="M889" i="1" s="1" a="1"/>
  <c r="M889" i="1" s="1"/>
  <c r="N889" i="1" s="1" a="1"/>
  <c r="N889" i="1" s="1"/>
  <c r="L881" i="1"/>
  <c r="M881" i="1" s="1" a="1"/>
  <c r="M881" i="1" s="1"/>
  <c r="N881" i="1" s="1" a="1"/>
  <c r="N881" i="1" s="1"/>
  <c r="L873" i="1"/>
  <c r="M873" i="1" s="1" a="1"/>
  <c r="M873" i="1" s="1"/>
  <c r="N873" i="1" s="1" a="1"/>
  <c r="N873" i="1" s="1"/>
  <c r="L865" i="1"/>
  <c r="M865" i="1" s="1" a="1"/>
  <c r="M865" i="1" s="1"/>
  <c r="N865" i="1" s="1" a="1"/>
  <c r="N865" i="1" s="1"/>
  <c r="L857" i="1"/>
  <c r="M857" i="1" s="1" a="1"/>
  <c r="M857" i="1" s="1"/>
  <c r="L849" i="1"/>
  <c r="M849" i="1" s="1" a="1"/>
  <c r="M849" i="1" s="1"/>
  <c r="N849" i="1" s="1" a="1"/>
  <c r="N849" i="1" s="1"/>
  <c r="L841" i="1"/>
  <c r="M841" i="1" s="1" a="1"/>
  <c r="M841" i="1" s="1"/>
  <c r="L833" i="1"/>
  <c r="M833" i="1" s="1" a="1"/>
  <c r="M833" i="1" s="1"/>
  <c r="L825" i="1"/>
  <c r="M825" i="1" s="1" a="1"/>
  <c r="M825" i="1" s="1"/>
  <c r="N825" i="1" s="1" a="1"/>
  <c r="N825" i="1" s="1"/>
  <c r="L817" i="1"/>
  <c r="M817" i="1" s="1" a="1"/>
  <c r="M817" i="1" s="1"/>
  <c r="N817" i="1" s="1" a="1"/>
  <c r="N817" i="1" s="1"/>
  <c r="L809" i="1"/>
  <c r="M809" i="1" s="1" a="1"/>
  <c r="M809" i="1" s="1"/>
  <c r="N809" i="1" s="1" a="1"/>
  <c r="N809" i="1" s="1"/>
  <c r="L801" i="1"/>
  <c r="M801" i="1" s="1" a="1"/>
  <c r="M801" i="1" s="1"/>
  <c r="N801" i="1" s="1" a="1"/>
  <c r="N801" i="1" s="1"/>
  <c r="L793" i="1"/>
  <c r="M793" i="1" s="1" a="1"/>
  <c r="M793" i="1" s="1"/>
  <c r="L785" i="1"/>
  <c r="M785" i="1" s="1" a="1"/>
  <c r="M785" i="1" s="1"/>
  <c r="N785" i="1" s="1" a="1"/>
  <c r="N785" i="1" s="1"/>
  <c r="L777" i="1"/>
  <c r="M777" i="1" s="1" a="1"/>
  <c r="M777" i="1" s="1"/>
  <c r="N777" i="1" s="1" a="1"/>
  <c r="N777" i="1" s="1"/>
  <c r="L769" i="1"/>
  <c r="M769" i="1" s="1" a="1"/>
  <c r="M769" i="1" s="1"/>
  <c r="N769" i="1" s="1" a="1"/>
  <c r="N769" i="1" s="1"/>
  <c r="L761" i="1"/>
  <c r="M761" i="1" s="1" a="1"/>
  <c r="M761" i="1" s="1"/>
  <c r="N761" i="1" s="1" a="1"/>
  <c r="N761" i="1" s="1"/>
  <c r="L753" i="1"/>
  <c r="M753" i="1" s="1" a="1"/>
  <c r="M753" i="1" s="1"/>
  <c r="N753" i="1" s="1" a="1"/>
  <c r="N753" i="1" s="1"/>
  <c r="L745" i="1"/>
  <c r="M745" i="1" s="1" a="1"/>
  <c r="M745" i="1" s="1"/>
  <c r="N745" i="1" s="1" a="1"/>
  <c r="N745" i="1" s="1"/>
  <c r="L737" i="1"/>
  <c r="M737" i="1" s="1" a="1"/>
  <c r="M737" i="1" s="1"/>
  <c r="N737" i="1" s="1" a="1"/>
  <c r="N737" i="1" s="1"/>
  <c r="L729" i="1"/>
  <c r="M729" i="1" s="1" a="1"/>
  <c r="M729" i="1" s="1"/>
  <c r="L721" i="1"/>
  <c r="M721" i="1" s="1" a="1"/>
  <c r="M721" i="1" s="1"/>
  <c r="N721" i="1" s="1" a="1"/>
  <c r="N721" i="1" s="1"/>
  <c r="L713" i="1"/>
  <c r="M713" i="1" s="1" a="1"/>
  <c r="M713" i="1" s="1"/>
  <c r="L705" i="1"/>
  <c r="M705" i="1" s="1" a="1"/>
  <c r="M705" i="1" s="1"/>
  <c r="N705" i="1" s="1" a="1"/>
  <c r="N705" i="1" s="1"/>
  <c r="L697" i="1"/>
  <c r="M697" i="1" s="1" a="1"/>
  <c r="M697" i="1" s="1"/>
  <c r="L689" i="1"/>
  <c r="M689" i="1" s="1" a="1"/>
  <c r="M689" i="1" s="1"/>
  <c r="N689" i="1" s="1" a="1"/>
  <c r="N689" i="1" s="1"/>
  <c r="L681" i="1"/>
  <c r="M681" i="1" s="1" a="1"/>
  <c r="M681" i="1" s="1"/>
  <c r="N681" i="1" s="1" a="1"/>
  <c r="N681" i="1" s="1"/>
  <c r="L673" i="1"/>
  <c r="M673" i="1" s="1" a="1"/>
  <c r="M673" i="1" s="1"/>
  <c r="N673" i="1" s="1" a="1"/>
  <c r="N673" i="1" s="1"/>
  <c r="L665" i="1"/>
  <c r="M665" i="1" s="1" a="1"/>
  <c r="M665" i="1" s="1"/>
  <c r="L657" i="1"/>
  <c r="M657" i="1" s="1" a="1"/>
  <c r="M657" i="1" s="1"/>
  <c r="N657" i="1" s="1" a="1"/>
  <c r="N657" i="1" s="1"/>
  <c r="L649" i="1"/>
  <c r="M649" i="1" s="1" a="1"/>
  <c r="M649" i="1" s="1"/>
  <c r="N649" i="1" s="1" a="1"/>
  <c r="N649" i="1" s="1"/>
  <c r="L641" i="1"/>
  <c r="M641" i="1" s="1" a="1"/>
  <c r="M641" i="1" s="1"/>
  <c r="N641" i="1" s="1" a="1"/>
  <c r="N641" i="1" s="1"/>
  <c r="L633" i="1"/>
  <c r="M633" i="1" s="1" a="1"/>
  <c r="M633" i="1" s="1"/>
  <c r="N633" i="1" s="1" a="1"/>
  <c r="N633" i="1" s="1"/>
  <c r="L625" i="1"/>
  <c r="M625" i="1" s="1" a="1"/>
  <c r="M625" i="1" s="1"/>
  <c r="N625" i="1" s="1" a="1"/>
  <c r="N625" i="1" s="1"/>
  <c r="L617" i="1"/>
  <c r="M617" i="1" s="1" a="1"/>
  <c r="M617" i="1" s="1"/>
  <c r="N617" i="1" s="1" a="1"/>
  <c r="N617" i="1" s="1"/>
  <c r="L609" i="1"/>
  <c r="M609" i="1" s="1" a="1"/>
  <c r="M609" i="1" s="1"/>
  <c r="N609" i="1" s="1" a="1"/>
  <c r="N609" i="1" s="1"/>
  <c r="L601" i="1"/>
  <c r="M601" i="1" s="1" a="1"/>
  <c r="M601" i="1" s="1"/>
  <c r="L593" i="1"/>
  <c r="M593" i="1" s="1" a="1"/>
  <c r="M593" i="1" s="1"/>
  <c r="N593" i="1" s="1" a="1"/>
  <c r="N593" i="1" s="1"/>
  <c r="M577" i="1" a="1"/>
  <c r="M577" i="1" s="1"/>
  <c r="N577" i="1" s="1" a="1"/>
  <c r="N577" i="1" s="1"/>
  <c r="L577" i="1"/>
  <c r="L569" i="1"/>
  <c r="M569" i="1" s="1" a="1"/>
  <c r="M569" i="1" s="1"/>
  <c r="N569" i="1" s="1" a="1"/>
  <c r="N569" i="1" s="1"/>
  <c r="L561" i="1"/>
  <c r="M561" i="1" s="1" a="1"/>
  <c r="M561" i="1" s="1"/>
  <c r="N561" i="1" s="1" a="1"/>
  <c r="N561" i="1" s="1"/>
  <c r="L553" i="1"/>
  <c r="M553" i="1" s="1" a="1"/>
  <c r="M553" i="1" s="1"/>
  <c r="N553" i="1" s="1" a="1"/>
  <c r="N553" i="1" s="1"/>
  <c r="L545" i="1"/>
  <c r="M545" i="1" s="1" a="1"/>
  <c r="M545" i="1" s="1"/>
  <c r="N545" i="1" s="1" a="1"/>
  <c r="N545" i="1" s="1"/>
  <c r="L537" i="1"/>
  <c r="M537" i="1" s="1" a="1"/>
  <c r="M537" i="1" s="1"/>
  <c r="N537" i="1" s="1" a="1"/>
  <c r="N537" i="1" s="1"/>
  <c r="L529" i="1"/>
  <c r="M529" i="1" s="1" a="1"/>
  <c r="M529" i="1" s="1"/>
  <c r="N529" i="1" s="1" a="1"/>
  <c r="N529" i="1" s="1"/>
  <c r="L521" i="1"/>
  <c r="M521" i="1" s="1" a="1"/>
  <c r="M521" i="1" s="1"/>
  <c r="N521" i="1" s="1" a="1"/>
  <c r="N521" i="1" s="1"/>
  <c r="L513" i="1"/>
  <c r="M513" i="1" s="1" a="1"/>
  <c r="M513" i="1" s="1"/>
  <c r="N513" i="1" s="1" a="1"/>
  <c r="N513" i="1" s="1"/>
  <c r="M505" i="1" a="1"/>
  <c r="M505" i="1" s="1"/>
  <c r="L505" i="1"/>
  <c r="L497" i="1"/>
  <c r="M497" i="1" s="1" a="1"/>
  <c r="M497" i="1" s="1"/>
  <c r="N497" i="1" s="1" a="1"/>
  <c r="N497" i="1" s="1"/>
  <c r="L489" i="1"/>
  <c r="M489" i="1" s="1" a="1"/>
  <c r="M489" i="1" s="1"/>
  <c r="N489" i="1" s="1" a="1"/>
  <c r="N489" i="1" s="1"/>
  <c r="L481" i="1"/>
  <c r="M481" i="1" s="1" a="1"/>
  <c r="M481" i="1" s="1"/>
  <c r="N481" i="1" s="1" a="1"/>
  <c r="N481" i="1" s="1"/>
  <c r="L473" i="1"/>
  <c r="M473" i="1" s="1" a="1"/>
  <c r="M473" i="1" s="1"/>
  <c r="N473" i="1" s="1" a="1"/>
  <c r="N473" i="1" s="1"/>
  <c r="L465" i="1"/>
  <c r="M465" i="1" s="1" a="1"/>
  <c r="M465" i="1" s="1"/>
  <c r="N465" i="1" s="1" a="1"/>
  <c r="N465" i="1" s="1"/>
  <c r="M457" i="1" a="1"/>
  <c r="M457" i="1" s="1"/>
  <c r="L457" i="1"/>
  <c r="L449" i="1"/>
  <c r="M449" i="1" s="1" a="1"/>
  <c r="M449" i="1" s="1"/>
  <c r="N449" i="1" s="1" a="1"/>
  <c r="N449" i="1" s="1"/>
  <c r="L441" i="1"/>
  <c r="M441" i="1" s="1" a="1"/>
  <c r="M441" i="1" s="1"/>
  <c r="N441" i="1" s="1" a="1"/>
  <c r="N441" i="1" s="1"/>
  <c r="L433" i="1"/>
  <c r="M433" i="1" s="1" a="1"/>
  <c r="M433" i="1" s="1"/>
  <c r="N433" i="1" s="1" a="1"/>
  <c r="N433" i="1" s="1"/>
  <c r="L425" i="1"/>
  <c r="M425" i="1" s="1" a="1"/>
  <c r="M425" i="1" s="1"/>
  <c r="N425" i="1" s="1" a="1"/>
  <c r="N425" i="1" s="1"/>
  <c r="L417" i="1"/>
  <c r="M417" i="1" s="1" a="1"/>
  <c r="M417" i="1" s="1"/>
  <c r="N417" i="1" s="1" a="1"/>
  <c r="N417" i="1" s="1"/>
  <c r="L409" i="1"/>
  <c r="M409" i="1" s="1" a="1"/>
  <c r="M409" i="1" s="1"/>
  <c r="N409" i="1" s="1" a="1"/>
  <c r="N409" i="1" s="1"/>
  <c r="L401" i="1"/>
  <c r="M401" i="1" s="1" a="1"/>
  <c r="M401" i="1" s="1"/>
  <c r="N401" i="1" s="1" a="1"/>
  <c r="N401" i="1" s="1"/>
  <c r="L393" i="1"/>
  <c r="M393" i="1" s="1" a="1"/>
  <c r="M393" i="1" s="1"/>
  <c r="N393" i="1" s="1" a="1"/>
  <c r="N393" i="1" s="1"/>
  <c r="L385" i="1"/>
  <c r="M385" i="1" s="1" a="1"/>
  <c r="M385" i="1" s="1"/>
  <c r="N385" i="1" s="1" a="1"/>
  <c r="N385" i="1" s="1"/>
  <c r="L377" i="1"/>
  <c r="M377" i="1" s="1" a="1"/>
  <c r="M377" i="1" s="1"/>
  <c r="N377" i="1" s="1" a="1"/>
  <c r="N377" i="1" s="1"/>
  <c r="L369" i="1"/>
  <c r="M369" i="1" s="1" a="1"/>
  <c r="M369" i="1" s="1"/>
  <c r="N369" i="1" s="1" a="1"/>
  <c r="N369" i="1" s="1"/>
  <c r="L361" i="1"/>
  <c r="M361" i="1" s="1" a="1"/>
  <c r="M361" i="1" s="1"/>
  <c r="N361" i="1" s="1" a="1"/>
  <c r="N361" i="1" s="1"/>
  <c r="L353" i="1"/>
  <c r="M353" i="1" s="1" a="1"/>
  <c r="M353" i="1" s="1"/>
  <c r="N353" i="1" s="1" a="1"/>
  <c r="N353" i="1" s="1"/>
  <c r="L345" i="1"/>
  <c r="M345" i="1" s="1" a="1"/>
  <c r="M345" i="1" s="1"/>
  <c r="N345" i="1" s="1" a="1"/>
  <c r="N345" i="1" s="1"/>
  <c r="L337" i="1"/>
  <c r="M337" i="1" s="1" a="1"/>
  <c r="M337" i="1" s="1"/>
  <c r="N337" i="1" s="1" a="1"/>
  <c r="N337" i="1" s="1"/>
  <c r="L329" i="1"/>
  <c r="M329" i="1" s="1" a="1"/>
  <c r="M329" i="1" s="1"/>
  <c r="N329" i="1" s="1" a="1"/>
  <c r="N329" i="1" s="1"/>
  <c r="L321" i="1"/>
  <c r="M321" i="1" s="1" a="1"/>
  <c r="M321" i="1" s="1"/>
  <c r="N321" i="1" s="1" a="1"/>
  <c r="N321" i="1" s="1"/>
  <c r="L313" i="1"/>
  <c r="M313" i="1" s="1" a="1"/>
  <c r="M313" i="1" s="1"/>
  <c r="N313" i="1" s="1" a="1"/>
  <c r="N313" i="1" s="1"/>
  <c r="L305" i="1"/>
  <c r="M305" i="1" s="1" a="1"/>
  <c r="M305" i="1" s="1"/>
  <c r="N305" i="1" s="1" a="1"/>
  <c r="N305" i="1" s="1"/>
  <c r="L289" i="1"/>
  <c r="M289" i="1" s="1" a="1"/>
  <c r="M289" i="1" s="1"/>
  <c r="N289" i="1" s="1" a="1"/>
  <c r="N289" i="1" s="1"/>
  <c r="L281" i="1"/>
  <c r="M281" i="1" s="1" a="1"/>
  <c r="M281" i="1" s="1"/>
  <c r="N281" i="1" s="1" a="1"/>
  <c r="N281" i="1" s="1"/>
  <c r="L273" i="1"/>
  <c r="M273" i="1" s="1" a="1"/>
  <c r="M273" i="1" s="1"/>
  <c r="N273" i="1" s="1" a="1"/>
  <c r="N273" i="1" s="1"/>
  <c r="L265" i="1"/>
  <c r="M265" i="1" s="1" a="1"/>
  <c r="M265" i="1" s="1"/>
  <c r="N265" i="1" s="1" a="1"/>
  <c r="N265" i="1" s="1"/>
  <c r="L257" i="1"/>
  <c r="M257" i="1" s="1" a="1"/>
  <c r="M257" i="1" s="1"/>
  <c r="N257" i="1" s="1" a="1"/>
  <c r="N257" i="1" s="1"/>
  <c r="L249" i="1"/>
  <c r="M249" i="1" s="1" a="1"/>
  <c r="M249" i="1" s="1"/>
  <c r="N249" i="1" s="1" a="1"/>
  <c r="N249" i="1" s="1"/>
  <c r="M241" i="1" a="1"/>
  <c r="M241" i="1" s="1"/>
  <c r="L241" i="1"/>
  <c r="L233" i="1"/>
  <c r="M233" i="1" s="1" a="1"/>
  <c r="M233" i="1" s="1"/>
  <c r="N233" i="1" s="1" a="1"/>
  <c r="N233" i="1" s="1"/>
  <c r="L225" i="1"/>
  <c r="M225" i="1" s="1" a="1"/>
  <c r="M225" i="1" s="1"/>
  <c r="N225" i="1" s="1" a="1"/>
  <c r="N225" i="1" s="1"/>
  <c r="L217" i="1"/>
  <c r="M217" i="1" s="1" a="1"/>
  <c r="M217" i="1" s="1"/>
  <c r="N217" i="1" s="1" a="1"/>
  <c r="N217" i="1" s="1"/>
  <c r="L209" i="1"/>
  <c r="M209" i="1" s="1" a="1"/>
  <c r="M209" i="1" s="1"/>
  <c r="N209" i="1" s="1" a="1"/>
  <c r="N209" i="1" s="1"/>
  <c r="L201" i="1"/>
  <c r="M201" i="1" s="1" a="1"/>
  <c r="M201" i="1" s="1"/>
  <c r="N201" i="1" s="1" a="1"/>
  <c r="N201" i="1" s="1"/>
  <c r="L193" i="1"/>
  <c r="M193" i="1" s="1" a="1"/>
  <c r="M193" i="1" s="1"/>
  <c r="N193" i="1" s="1" a="1"/>
  <c r="N193" i="1" s="1"/>
  <c r="L185" i="1"/>
  <c r="M185" i="1" s="1" a="1"/>
  <c r="M185" i="1" s="1"/>
  <c r="N185" i="1" s="1" a="1"/>
  <c r="N185" i="1" s="1"/>
  <c r="L177" i="1"/>
  <c r="M177" i="1" s="1" a="1"/>
  <c r="M177" i="1" s="1"/>
  <c r="N177" i="1" s="1" a="1"/>
  <c r="N177" i="1" s="1"/>
  <c r="L169" i="1"/>
  <c r="M169" i="1" s="1" a="1"/>
  <c r="M169" i="1" s="1"/>
  <c r="N169" i="1" s="1" a="1"/>
  <c r="N169" i="1" s="1"/>
  <c r="L161" i="1"/>
  <c r="M161" i="1" s="1" a="1"/>
  <c r="M161" i="1" s="1"/>
  <c r="N161" i="1" s="1" a="1"/>
  <c r="N161" i="1" s="1"/>
  <c r="M153" i="1" a="1"/>
  <c r="M153" i="1" s="1"/>
  <c r="L153" i="1"/>
  <c r="L145" i="1"/>
  <c r="M145" i="1" s="1" a="1"/>
  <c r="M145" i="1" s="1"/>
  <c r="N145" i="1" s="1" a="1"/>
  <c r="N145" i="1" s="1"/>
  <c r="L137" i="1"/>
  <c r="M137" i="1" s="1" a="1"/>
  <c r="M137" i="1" s="1"/>
  <c r="N137" i="1" s="1" a="1"/>
  <c r="N137" i="1" s="1"/>
  <c r="L129" i="1"/>
  <c r="M129" i="1" s="1" a="1"/>
  <c r="M129" i="1" s="1"/>
  <c r="N129" i="1" s="1" a="1"/>
  <c r="N129" i="1" s="1"/>
  <c r="L121" i="1"/>
  <c r="M121" i="1" s="1" a="1"/>
  <c r="M121" i="1" s="1"/>
  <c r="N121" i="1" s="1" a="1"/>
  <c r="N121" i="1" s="1"/>
  <c r="M113" i="1" a="1"/>
  <c r="M113" i="1" s="1"/>
  <c r="L113" i="1"/>
  <c r="L105" i="1"/>
  <c r="M105" i="1" s="1" a="1"/>
  <c r="M105" i="1" s="1"/>
  <c r="N105" i="1" s="1" a="1"/>
  <c r="N105" i="1" s="1"/>
  <c r="L97" i="1"/>
  <c r="M97" i="1" s="1" a="1"/>
  <c r="M97" i="1" s="1"/>
  <c r="N97" i="1" s="1" a="1"/>
  <c r="N97" i="1" s="1"/>
  <c r="L89" i="1"/>
  <c r="M89" i="1" s="1" a="1"/>
  <c r="M89" i="1" s="1"/>
  <c r="N89" i="1" s="1" a="1"/>
  <c r="N89" i="1" s="1"/>
  <c r="L81" i="1"/>
  <c r="M81" i="1" s="1" a="1"/>
  <c r="M81" i="1" s="1"/>
  <c r="N81" i="1" s="1" a="1"/>
  <c r="N81" i="1" s="1"/>
  <c r="L73" i="1"/>
  <c r="M73" i="1" s="1" a="1"/>
  <c r="M73" i="1" s="1"/>
  <c r="N73" i="1" s="1" a="1"/>
  <c r="N73" i="1" s="1"/>
  <c r="M65" i="1" a="1"/>
  <c r="M65" i="1" s="1"/>
  <c r="L65" i="1"/>
  <c r="L57" i="1"/>
  <c r="M57" i="1" s="1" a="1"/>
  <c r="M57" i="1" s="1"/>
  <c r="N57" i="1" s="1" a="1"/>
  <c r="N57" i="1" s="1"/>
  <c r="L49" i="1"/>
  <c r="M49" i="1" s="1" a="1"/>
  <c r="M49" i="1" s="1"/>
  <c r="N49" i="1" s="1" a="1"/>
  <c r="N49" i="1" s="1"/>
  <c r="L41" i="1"/>
  <c r="L33" i="1"/>
  <c r="M33" i="1" s="1" a="1"/>
  <c r="M33" i="1" s="1"/>
  <c r="N33" i="1" s="1" a="1"/>
  <c r="N33" i="1" s="1"/>
  <c r="L25" i="1"/>
  <c r="M25" i="1" s="1" a="1"/>
  <c r="M25" i="1" s="1"/>
  <c r="N25" i="1" s="1" a="1"/>
  <c r="N25" i="1" s="1"/>
  <c r="L17" i="1"/>
  <c r="M17" i="1" s="1" a="1"/>
  <c r="M17" i="1" s="1"/>
  <c r="N17" i="1" s="1" a="1"/>
  <c r="N17" i="1" s="1"/>
  <c r="L9" i="1"/>
  <c r="M9" i="1" s="1" a="1"/>
  <c r="M9" i="1" s="1"/>
  <c r="N9" i="1" s="1" a="1"/>
  <c r="N9" i="1" s="1"/>
  <c r="L1497" i="1"/>
  <c r="M1497" i="1" s="1" a="1"/>
  <c r="M1497" i="1" s="1"/>
  <c r="L1417" i="1"/>
  <c r="M1417" i="1" s="1" a="1"/>
  <c r="M1417" i="1" s="1"/>
  <c r="M1488" i="1" a="1"/>
  <c r="M1488" i="1" s="1"/>
  <c r="N1488" i="1" s="1" a="1"/>
  <c r="N1488" i="1" s="1"/>
  <c r="M1464" i="1" a="1"/>
  <c r="M1464" i="1" s="1"/>
  <c r="N1464" i="1" s="1" a="1"/>
  <c r="N1464" i="1" s="1"/>
  <c r="L1440" i="1"/>
  <c r="M1440" i="1" s="1" a="1"/>
  <c r="M1440" i="1" s="1"/>
  <c r="N1440" i="1" s="1" a="1"/>
  <c r="N1440" i="1" s="1"/>
  <c r="L1432" i="1"/>
  <c r="M1432" i="1" s="1" a="1"/>
  <c r="M1432" i="1" s="1"/>
  <c r="N1432" i="1" s="1" a="1"/>
  <c r="N1432" i="1" s="1"/>
  <c r="L1424" i="1"/>
  <c r="M1424" i="1" s="1" a="1"/>
  <c r="M1424" i="1" s="1"/>
  <c r="N1424" i="1" s="1" a="1"/>
  <c r="N1424" i="1" s="1"/>
  <c r="L1416" i="1"/>
  <c r="M1416" i="1" s="1" a="1"/>
  <c r="M1416" i="1" s="1"/>
  <c r="N1416" i="1" s="1" a="1"/>
  <c r="N1416" i="1" s="1"/>
  <c r="L1408" i="1"/>
  <c r="M1408" i="1" s="1" a="1"/>
  <c r="M1408" i="1" s="1"/>
  <c r="N1408" i="1" s="1" a="1"/>
  <c r="N1408" i="1" s="1"/>
  <c r="L1400" i="1"/>
  <c r="M1400" i="1" s="1" a="1"/>
  <c r="M1400" i="1" s="1"/>
  <c r="N1400" i="1" s="1" a="1"/>
  <c r="N1400" i="1" s="1"/>
  <c r="L1392" i="1"/>
  <c r="M1392" i="1" s="1" a="1"/>
  <c r="M1392" i="1" s="1"/>
  <c r="N1392" i="1" s="1" a="1"/>
  <c r="N1392" i="1" s="1"/>
  <c r="L1384" i="1"/>
  <c r="M1384" i="1" s="1" a="1"/>
  <c r="M1384" i="1" s="1"/>
  <c r="N1384" i="1" s="1" a="1"/>
  <c r="N1384" i="1" s="1"/>
  <c r="L1376" i="1"/>
  <c r="M1376" i="1" s="1" a="1"/>
  <c r="M1376" i="1" s="1"/>
  <c r="N1376" i="1" s="1" a="1"/>
  <c r="N1376" i="1" s="1"/>
  <c r="L1368" i="1"/>
  <c r="M1368" i="1" s="1" a="1"/>
  <c r="M1368" i="1" s="1"/>
  <c r="N1368" i="1" s="1" a="1"/>
  <c r="N1368" i="1" s="1"/>
  <c r="L1360" i="1"/>
  <c r="M1360" i="1" s="1" a="1"/>
  <c r="M1360" i="1" s="1"/>
  <c r="N1360" i="1" s="1" a="1"/>
  <c r="N1360" i="1" s="1"/>
  <c r="L1352" i="1"/>
  <c r="M1352" i="1" s="1" a="1"/>
  <c r="M1352" i="1" s="1"/>
  <c r="N1352" i="1" s="1" a="1"/>
  <c r="N1352" i="1" s="1"/>
  <c r="L1344" i="1"/>
  <c r="M1344" i="1" s="1" a="1"/>
  <c r="M1344" i="1" s="1"/>
  <c r="N1344" i="1" s="1" a="1"/>
  <c r="N1344" i="1" s="1"/>
  <c r="L1336" i="1"/>
  <c r="M1336" i="1" s="1" a="1"/>
  <c r="M1336" i="1" s="1"/>
  <c r="N1336" i="1" s="1" a="1"/>
  <c r="N1336" i="1" s="1"/>
  <c r="L1328" i="1"/>
  <c r="M1328" i="1" s="1" a="1"/>
  <c r="M1328" i="1" s="1"/>
  <c r="N1328" i="1" s="1" a="1"/>
  <c r="N1328" i="1" s="1"/>
  <c r="L1320" i="1"/>
  <c r="M1320" i="1" s="1" a="1"/>
  <c r="M1320" i="1" s="1"/>
  <c r="N1320" i="1" s="1" a="1"/>
  <c r="N1320" i="1" s="1"/>
  <c r="M1312" i="1" a="1"/>
  <c r="M1312" i="1" s="1"/>
  <c r="N1312" i="1" s="1" a="1"/>
  <c r="N1312" i="1" s="1"/>
  <c r="L1312" i="1"/>
  <c r="M1304" i="1" a="1"/>
  <c r="M1304" i="1" s="1"/>
  <c r="N1304" i="1" s="1" a="1"/>
  <c r="N1304" i="1" s="1"/>
  <c r="L1304" i="1"/>
  <c r="L1296" i="1"/>
  <c r="M1296" i="1" s="1" a="1"/>
  <c r="M1296" i="1" s="1"/>
  <c r="N1296" i="1" s="1" a="1"/>
  <c r="N1296" i="1" s="1"/>
  <c r="L1288" i="1"/>
  <c r="M1288" i="1" s="1" a="1"/>
  <c r="M1288" i="1" s="1"/>
  <c r="N1288" i="1" s="1" a="1"/>
  <c r="N1288" i="1" s="1"/>
  <c r="L1280" i="1"/>
  <c r="M1280" i="1" s="1" a="1"/>
  <c r="M1280" i="1" s="1"/>
  <c r="N1280" i="1" s="1" a="1"/>
  <c r="N1280" i="1" s="1"/>
  <c r="L1272" i="1"/>
  <c r="M1272" i="1" s="1" a="1"/>
  <c r="M1272" i="1" s="1"/>
  <c r="N1272" i="1" s="1" a="1"/>
  <c r="N1272" i="1" s="1"/>
  <c r="L1264" i="1"/>
  <c r="M1264" i="1" s="1" a="1"/>
  <c r="M1264" i="1" s="1"/>
  <c r="N1264" i="1" s="1" a="1"/>
  <c r="N1264" i="1" s="1"/>
  <c r="L1256" i="1"/>
  <c r="M1256" i="1" s="1" a="1"/>
  <c r="M1256" i="1" s="1"/>
  <c r="N1256" i="1" s="1" a="1"/>
  <c r="N1256" i="1" s="1"/>
  <c r="L1248" i="1"/>
  <c r="M1248" i="1" s="1" a="1"/>
  <c r="M1248" i="1" s="1"/>
  <c r="N1248" i="1" s="1" a="1"/>
  <c r="N1248" i="1" s="1"/>
  <c r="L1240" i="1"/>
  <c r="M1240" i="1" s="1" a="1"/>
  <c r="M1240" i="1" s="1"/>
  <c r="N1240" i="1" s="1" a="1"/>
  <c r="N1240" i="1" s="1"/>
  <c r="L1232" i="1"/>
  <c r="M1232" i="1" s="1" a="1"/>
  <c r="M1232" i="1" s="1"/>
  <c r="N1232" i="1" s="1" a="1"/>
  <c r="N1232" i="1" s="1"/>
  <c r="L1224" i="1"/>
  <c r="M1224" i="1" s="1" a="1"/>
  <c r="M1224" i="1" s="1"/>
  <c r="N1224" i="1" s="1" a="1"/>
  <c r="N1224" i="1" s="1"/>
  <c r="L1216" i="1"/>
  <c r="M1216" i="1" s="1" a="1"/>
  <c r="M1216" i="1" s="1"/>
  <c r="N1216" i="1" s="1" a="1"/>
  <c r="N1216" i="1" s="1"/>
  <c r="L1208" i="1"/>
  <c r="M1208" i="1" s="1" a="1"/>
  <c r="M1208" i="1" s="1"/>
  <c r="N1208" i="1" s="1" a="1"/>
  <c r="N1208" i="1" s="1"/>
  <c r="L1200" i="1"/>
  <c r="M1200" i="1" s="1" a="1"/>
  <c r="M1200" i="1" s="1"/>
  <c r="N1200" i="1" s="1" a="1"/>
  <c r="N1200" i="1" s="1"/>
  <c r="L1192" i="1"/>
  <c r="M1192" i="1" s="1" a="1"/>
  <c r="M1192" i="1" s="1"/>
  <c r="N1192" i="1" s="1" a="1"/>
  <c r="N1192" i="1" s="1"/>
  <c r="M1184" i="1" a="1"/>
  <c r="M1184" i="1" s="1"/>
  <c r="N1184" i="1" s="1" a="1"/>
  <c r="N1184" i="1" s="1"/>
  <c r="L1184" i="1"/>
  <c r="L1176" i="1"/>
  <c r="M1176" i="1" s="1" a="1"/>
  <c r="M1176" i="1" s="1"/>
  <c r="N1176" i="1" s="1" a="1"/>
  <c r="N1176" i="1" s="1"/>
  <c r="L1168" i="1"/>
  <c r="M1168" i="1" s="1" a="1"/>
  <c r="M1168" i="1" s="1"/>
  <c r="N1168" i="1" s="1" a="1"/>
  <c r="N1168" i="1" s="1"/>
  <c r="L1160" i="1"/>
  <c r="M1160" i="1" s="1" a="1"/>
  <c r="M1160" i="1" s="1"/>
  <c r="N1160" i="1" s="1" a="1"/>
  <c r="N1160" i="1" s="1"/>
  <c r="L1152" i="1"/>
  <c r="M1152" i="1" s="1" a="1"/>
  <c r="M1152" i="1" s="1"/>
  <c r="N1152" i="1" s="1" a="1"/>
  <c r="N1152" i="1" s="1"/>
  <c r="L1144" i="1"/>
  <c r="M1144" i="1" s="1" a="1"/>
  <c r="M1144" i="1" s="1"/>
  <c r="N1144" i="1" s="1" a="1"/>
  <c r="N1144" i="1" s="1"/>
  <c r="L1136" i="1"/>
  <c r="M1136" i="1" s="1" a="1"/>
  <c r="M1136" i="1" s="1"/>
  <c r="N1136" i="1" s="1" a="1"/>
  <c r="N1136" i="1" s="1"/>
  <c r="L1128" i="1"/>
  <c r="M1128" i="1" s="1" a="1"/>
  <c r="M1128" i="1" s="1"/>
  <c r="N1128" i="1" s="1" a="1"/>
  <c r="N1128" i="1" s="1"/>
  <c r="L1120" i="1"/>
  <c r="M1120" i="1" s="1" a="1"/>
  <c r="M1120" i="1" s="1"/>
  <c r="N1120" i="1" s="1" a="1"/>
  <c r="N1120" i="1" s="1"/>
  <c r="L1112" i="1"/>
  <c r="M1112" i="1" s="1" a="1"/>
  <c r="M1112" i="1" s="1"/>
  <c r="N1112" i="1" s="1" a="1"/>
  <c r="N1112" i="1" s="1"/>
  <c r="L1104" i="1"/>
  <c r="M1104" i="1" s="1" a="1"/>
  <c r="M1104" i="1" s="1"/>
  <c r="N1104" i="1" s="1" a="1"/>
  <c r="N1104" i="1" s="1"/>
  <c r="L1096" i="1"/>
  <c r="M1096" i="1" s="1" a="1"/>
  <c r="M1096" i="1" s="1"/>
  <c r="N1096" i="1" s="1" a="1"/>
  <c r="N1096" i="1" s="1"/>
  <c r="L1088" i="1"/>
  <c r="M1088" i="1" s="1" a="1"/>
  <c r="M1088" i="1" s="1"/>
  <c r="N1088" i="1" s="1" a="1"/>
  <c r="N1088" i="1" s="1"/>
  <c r="L1080" i="1"/>
  <c r="M1080" i="1" s="1" a="1"/>
  <c r="M1080" i="1" s="1"/>
  <c r="N1080" i="1" s="1" a="1"/>
  <c r="N1080" i="1" s="1"/>
  <c r="L1072" i="1"/>
  <c r="M1072" i="1" s="1" a="1"/>
  <c r="M1072" i="1" s="1"/>
  <c r="N1072" i="1" s="1" a="1"/>
  <c r="N1072" i="1" s="1"/>
  <c r="L1064" i="1"/>
  <c r="M1064" i="1" s="1" a="1"/>
  <c r="M1064" i="1" s="1"/>
  <c r="N1064" i="1" s="1" a="1"/>
  <c r="N1064" i="1" s="1"/>
  <c r="L1056" i="1"/>
  <c r="M1056" i="1" s="1" a="1"/>
  <c r="M1056" i="1" s="1"/>
  <c r="N1056" i="1" s="1" a="1"/>
  <c r="N1056" i="1" s="1"/>
  <c r="L1048" i="1"/>
  <c r="M1048" i="1" s="1" a="1"/>
  <c r="M1048" i="1" s="1"/>
  <c r="N1048" i="1" s="1" a="1"/>
  <c r="N1048" i="1" s="1"/>
  <c r="L1040" i="1"/>
  <c r="M1040" i="1" s="1" a="1"/>
  <c r="M1040" i="1" s="1"/>
  <c r="N1040" i="1" s="1" a="1"/>
  <c r="N1040" i="1" s="1"/>
  <c r="L1032" i="1"/>
  <c r="M1032" i="1" s="1" a="1"/>
  <c r="M1032" i="1" s="1"/>
  <c r="N1032" i="1" s="1" a="1"/>
  <c r="N1032" i="1" s="1"/>
  <c r="L1024" i="1"/>
  <c r="M1024" i="1" s="1" a="1"/>
  <c r="M1024" i="1" s="1"/>
  <c r="N1024" i="1" s="1" a="1"/>
  <c r="N1024" i="1" s="1"/>
  <c r="L1016" i="1"/>
  <c r="M1016" i="1" s="1" a="1"/>
  <c r="M1016" i="1" s="1"/>
  <c r="N1016" i="1" s="1" a="1"/>
  <c r="N1016" i="1" s="1"/>
  <c r="L1008" i="1"/>
  <c r="M1008" i="1" s="1" a="1"/>
  <c r="M1008" i="1" s="1"/>
  <c r="N1008" i="1" s="1" a="1"/>
  <c r="N1008" i="1" s="1"/>
  <c r="L1000" i="1"/>
  <c r="M1000" i="1" s="1" a="1"/>
  <c r="M1000" i="1" s="1"/>
  <c r="N1000" i="1" s="1" a="1"/>
  <c r="N1000" i="1" s="1"/>
  <c r="L992" i="1"/>
  <c r="M992" i="1" s="1" a="1"/>
  <c r="M992" i="1" s="1"/>
  <c r="N992" i="1" s="1" a="1"/>
  <c r="N992" i="1" s="1"/>
  <c r="M984" i="1" a="1"/>
  <c r="M984" i="1" s="1"/>
  <c r="N984" i="1" s="1" a="1"/>
  <c r="N984" i="1" s="1"/>
  <c r="L984" i="1"/>
  <c r="L976" i="1"/>
  <c r="M976" i="1" s="1" a="1"/>
  <c r="M976" i="1" s="1"/>
  <c r="N976" i="1" s="1" a="1"/>
  <c r="N976" i="1" s="1"/>
  <c r="L968" i="1"/>
  <c r="M968" i="1" s="1" a="1"/>
  <c r="M968" i="1" s="1"/>
  <c r="N968" i="1" s="1" a="1"/>
  <c r="N968" i="1" s="1"/>
  <c r="L960" i="1"/>
  <c r="M960" i="1" s="1" a="1"/>
  <c r="M960" i="1" s="1"/>
  <c r="N960" i="1" s="1" a="1"/>
  <c r="N960" i="1" s="1"/>
  <c r="M952" i="1" a="1"/>
  <c r="M952" i="1" s="1"/>
  <c r="L952" i="1"/>
  <c r="L944" i="1"/>
  <c r="M944" i="1" s="1" a="1"/>
  <c r="M944" i="1" s="1"/>
  <c r="N944" i="1" s="1" a="1"/>
  <c r="N944" i="1" s="1"/>
  <c r="M936" i="1" a="1"/>
  <c r="M936" i="1" s="1"/>
  <c r="N936" i="1" s="1" a="1"/>
  <c r="N936" i="1" s="1"/>
  <c r="L936" i="1"/>
  <c r="L928" i="1"/>
  <c r="M928" i="1" s="1" a="1"/>
  <c r="M928" i="1" s="1"/>
  <c r="N928" i="1" s="1" a="1"/>
  <c r="N928" i="1" s="1"/>
  <c r="L920" i="1"/>
  <c r="M920" i="1" s="1" a="1"/>
  <c r="M920" i="1" s="1"/>
  <c r="N920" i="1" s="1" a="1"/>
  <c r="N920" i="1" s="1"/>
  <c r="L912" i="1"/>
  <c r="M912" i="1" s="1" a="1"/>
  <c r="M912" i="1" s="1"/>
  <c r="N912" i="1" s="1" a="1"/>
  <c r="N912" i="1" s="1"/>
  <c r="L904" i="1"/>
  <c r="M904" i="1" s="1" a="1"/>
  <c r="M904" i="1" s="1"/>
  <c r="N904" i="1" s="1" a="1"/>
  <c r="N904" i="1" s="1"/>
  <c r="L896" i="1"/>
  <c r="M896" i="1" s="1" a="1"/>
  <c r="M896" i="1" s="1"/>
  <c r="N896" i="1" s="1" a="1"/>
  <c r="N896" i="1" s="1"/>
  <c r="L888" i="1"/>
  <c r="M888" i="1" s="1" a="1"/>
  <c r="M888" i="1" s="1"/>
  <c r="N888" i="1" s="1" a="1"/>
  <c r="N888" i="1" s="1"/>
  <c r="L880" i="1"/>
  <c r="M880" i="1" s="1" a="1"/>
  <c r="M880" i="1" s="1"/>
  <c r="N880" i="1" s="1" a="1"/>
  <c r="N880" i="1" s="1"/>
  <c r="M872" i="1" a="1"/>
  <c r="M872" i="1" s="1"/>
  <c r="L872" i="1"/>
  <c r="M864" i="1" a="1"/>
  <c r="M864" i="1" s="1"/>
  <c r="L864" i="1"/>
  <c r="L856" i="1"/>
  <c r="M856" i="1" s="1" a="1"/>
  <c r="M856" i="1" s="1"/>
  <c r="N856" i="1" s="1" a="1"/>
  <c r="N856" i="1" s="1"/>
  <c r="L848" i="1"/>
  <c r="M848" i="1" s="1" a="1"/>
  <c r="M848" i="1" s="1"/>
  <c r="N848" i="1" s="1" a="1"/>
  <c r="N848" i="1" s="1"/>
  <c r="L840" i="1"/>
  <c r="M840" i="1" s="1" a="1"/>
  <c r="M840" i="1" s="1"/>
  <c r="N840" i="1" s="1" a="1"/>
  <c r="N840" i="1" s="1"/>
  <c r="L832" i="1"/>
  <c r="M832" i="1" s="1" a="1"/>
  <c r="M832" i="1" s="1"/>
  <c r="N832" i="1" s="1" a="1"/>
  <c r="N832" i="1" s="1"/>
  <c r="L824" i="1"/>
  <c r="M824" i="1" s="1" a="1"/>
  <c r="M824" i="1" s="1"/>
  <c r="N824" i="1" s="1" a="1"/>
  <c r="N824" i="1" s="1"/>
  <c r="L816" i="1"/>
  <c r="M816" i="1" s="1" a="1"/>
  <c r="M816" i="1" s="1"/>
  <c r="N816" i="1" s="1" a="1"/>
  <c r="N816" i="1" s="1"/>
  <c r="L808" i="1"/>
  <c r="M808" i="1" s="1" a="1"/>
  <c r="M808" i="1" s="1"/>
  <c r="N808" i="1" s="1" a="1"/>
  <c r="N808" i="1" s="1"/>
  <c r="L800" i="1"/>
  <c r="M800" i="1" s="1" a="1"/>
  <c r="M800" i="1" s="1"/>
  <c r="N800" i="1" s="1" a="1"/>
  <c r="N800" i="1" s="1"/>
  <c r="M792" i="1" a="1"/>
  <c r="M792" i="1" s="1"/>
  <c r="N792" i="1" s="1" a="1"/>
  <c r="N792" i="1" s="1"/>
  <c r="L792" i="1"/>
  <c r="L784" i="1"/>
  <c r="M784" i="1" s="1" a="1"/>
  <c r="M784" i="1" s="1"/>
  <c r="N784" i="1" s="1" a="1"/>
  <c r="N784" i="1" s="1"/>
  <c r="L776" i="1"/>
  <c r="M776" i="1" s="1" a="1"/>
  <c r="M776" i="1" s="1"/>
  <c r="N776" i="1" s="1" a="1"/>
  <c r="N776" i="1" s="1"/>
  <c r="L768" i="1"/>
  <c r="M768" i="1" s="1" a="1"/>
  <c r="M768" i="1" s="1"/>
  <c r="N768" i="1" s="1" a="1"/>
  <c r="N768" i="1" s="1"/>
  <c r="L760" i="1"/>
  <c r="M760" i="1" s="1" a="1"/>
  <c r="M760" i="1" s="1"/>
  <c r="N760" i="1" s="1" a="1"/>
  <c r="N760" i="1" s="1"/>
  <c r="L752" i="1"/>
  <c r="M752" i="1" s="1" a="1"/>
  <c r="M752" i="1" s="1"/>
  <c r="N752" i="1" s="1" a="1"/>
  <c r="N752" i="1" s="1"/>
  <c r="L744" i="1"/>
  <c r="M744" i="1" s="1" a="1"/>
  <c r="M744" i="1" s="1"/>
  <c r="N744" i="1" s="1" a="1"/>
  <c r="N744" i="1" s="1"/>
  <c r="M736" i="1" a="1"/>
  <c r="M736" i="1" s="1"/>
  <c r="L736" i="1"/>
  <c r="L728" i="1"/>
  <c r="M728" i="1" s="1" a="1"/>
  <c r="M728" i="1" s="1"/>
  <c r="N728" i="1" s="1" a="1"/>
  <c r="N728" i="1" s="1"/>
  <c r="L720" i="1"/>
  <c r="M720" i="1" s="1" a="1"/>
  <c r="M720" i="1" s="1"/>
  <c r="N720" i="1" s="1" a="1"/>
  <c r="N720" i="1" s="1"/>
  <c r="L712" i="1"/>
  <c r="M712" i="1" s="1" a="1"/>
  <c r="M712" i="1" s="1"/>
  <c r="N712" i="1" s="1" a="1"/>
  <c r="N712" i="1" s="1"/>
  <c r="L704" i="1"/>
  <c r="M704" i="1" s="1" a="1"/>
  <c r="M704" i="1" s="1"/>
  <c r="N704" i="1" s="1" a="1"/>
  <c r="N704" i="1" s="1"/>
  <c r="L696" i="1"/>
  <c r="M696" i="1" s="1" a="1"/>
  <c r="M696" i="1" s="1"/>
  <c r="N696" i="1" s="1" a="1"/>
  <c r="N696" i="1" s="1"/>
  <c r="L688" i="1"/>
  <c r="M688" i="1" s="1" a="1"/>
  <c r="M688" i="1" s="1"/>
  <c r="N688" i="1" s="1" a="1"/>
  <c r="N688" i="1" s="1"/>
  <c r="L680" i="1"/>
  <c r="M680" i="1" s="1" a="1"/>
  <c r="M680" i="1" s="1"/>
  <c r="N680" i="1" s="1" a="1"/>
  <c r="N680" i="1" s="1"/>
  <c r="L672" i="1"/>
  <c r="M672" i="1" s="1" a="1"/>
  <c r="M672" i="1" s="1"/>
  <c r="N672" i="1" s="1" a="1"/>
  <c r="N672" i="1" s="1"/>
  <c r="M664" i="1" a="1"/>
  <c r="M664" i="1" s="1"/>
  <c r="N664" i="1" s="1" a="1"/>
  <c r="N664" i="1" s="1"/>
  <c r="L664" i="1"/>
  <c r="L656" i="1"/>
  <c r="M656" i="1" s="1" a="1"/>
  <c r="M656" i="1" s="1"/>
  <c r="N656" i="1" s="1" a="1"/>
  <c r="N656" i="1" s="1"/>
  <c r="L648" i="1"/>
  <c r="M648" i="1" s="1" a="1"/>
  <c r="M648" i="1" s="1"/>
  <c r="N648" i="1" s="1" a="1"/>
  <c r="N648" i="1" s="1"/>
  <c r="L640" i="1"/>
  <c r="M640" i="1" s="1" a="1"/>
  <c r="M640" i="1" s="1"/>
  <c r="N640" i="1" s="1" a="1"/>
  <c r="N640" i="1" s="1"/>
  <c r="L632" i="1"/>
  <c r="M632" i="1" s="1" a="1"/>
  <c r="M632" i="1" s="1"/>
  <c r="N632" i="1" s="1" a="1"/>
  <c r="N632" i="1" s="1"/>
  <c r="L624" i="1"/>
  <c r="M624" i="1" s="1" a="1"/>
  <c r="M624" i="1" s="1"/>
  <c r="N624" i="1" s="1" a="1"/>
  <c r="N624" i="1" s="1"/>
  <c r="L616" i="1"/>
  <c r="M616" i="1" s="1" a="1"/>
  <c r="M616" i="1" s="1"/>
  <c r="N616" i="1" s="1" a="1"/>
  <c r="N616" i="1" s="1"/>
  <c r="L608" i="1"/>
  <c r="M608" i="1" s="1" a="1"/>
  <c r="M608" i="1" s="1"/>
  <c r="N608" i="1" s="1" a="1"/>
  <c r="N608" i="1" s="1"/>
  <c r="L600" i="1"/>
  <c r="M600" i="1" s="1" a="1"/>
  <c r="M600" i="1" s="1"/>
  <c r="N600" i="1" s="1" a="1"/>
  <c r="N600" i="1" s="1"/>
  <c r="L592" i="1"/>
  <c r="M592" i="1" s="1" a="1"/>
  <c r="M592" i="1" s="1"/>
  <c r="N592" i="1" s="1" a="1"/>
  <c r="N592" i="1" s="1"/>
  <c r="L584" i="1"/>
  <c r="M584" i="1" s="1" a="1"/>
  <c r="M584" i="1" s="1"/>
  <c r="N584" i="1" s="1" a="1"/>
  <c r="N584" i="1" s="1"/>
  <c r="L576" i="1"/>
  <c r="M576" i="1" s="1" a="1"/>
  <c r="M576" i="1" s="1"/>
  <c r="N576" i="1" s="1" a="1"/>
  <c r="N576" i="1" s="1"/>
  <c r="L568" i="1"/>
  <c r="M568" i="1" s="1" a="1"/>
  <c r="M568" i="1" s="1"/>
  <c r="N568" i="1" s="1" a="1"/>
  <c r="N568" i="1" s="1"/>
  <c r="L560" i="1"/>
  <c r="M560" i="1" s="1" a="1"/>
  <c r="M560" i="1" s="1"/>
  <c r="N560" i="1" s="1" a="1"/>
  <c r="N560" i="1" s="1"/>
  <c r="L552" i="1"/>
  <c r="M552" i="1" s="1" a="1"/>
  <c r="M552" i="1" s="1"/>
  <c r="N552" i="1" s="1" a="1"/>
  <c r="N552" i="1" s="1"/>
  <c r="M544" i="1" a="1"/>
  <c r="M544" i="1" s="1"/>
  <c r="L544" i="1"/>
  <c r="L536" i="1"/>
  <c r="M536" i="1" s="1" a="1"/>
  <c r="M536" i="1" s="1"/>
  <c r="N536" i="1" s="1" a="1"/>
  <c r="N536" i="1" s="1"/>
  <c r="L528" i="1"/>
  <c r="M528" i="1" s="1" a="1"/>
  <c r="M528" i="1" s="1"/>
  <c r="N528" i="1" s="1" a="1"/>
  <c r="N528" i="1" s="1"/>
  <c r="L520" i="1"/>
  <c r="M520" i="1" s="1" a="1"/>
  <c r="M520" i="1" s="1"/>
  <c r="N520" i="1" s="1" a="1"/>
  <c r="N520" i="1" s="1"/>
  <c r="L512" i="1"/>
  <c r="M512" i="1" s="1" a="1"/>
  <c r="M512" i="1" s="1"/>
  <c r="N512" i="1" s="1" a="1"/>
  <c r="N512" i="1" s="1"/>
  <c r="L504" i="1"/>
  <c r="M504" i="1" s="1" a="1"/>
  <c r="M504" i="1" s="1"/>
  <c r="N504" i="1" s="1" a="1"/>
  <c r="N504" i="1" s="1"/>
  <c r="L496" i="1"/>
  <c r="M496" i="1" s="1" a="1"/>
  <c r="M496" i="1" s="1"/>
  <c r="N496" i="1" s="1" a="1"/>
  <c r="N496" i="1" s="1"/>
  <c r="L488" i="1"/>
  <c r="M488" i="1" s="1" a="1"/>
  <c r="M488" i="1" s="1"/>
  <c r="N488" i="1" s="1" a="1"/>
  <c r="N488" i="1" s="1"/>
  <c r="L480" i="1"/>
  <c r="M480" i="1" s="1" a="1"/>
  <c r="M480" i="1" s="1"/>
  <c r="N480" i="1" s="1" a="1"/>
  <c r="N480" i="1" s="1"/>
  <c r="L472" i="1"/>
  <c r="M472" i="1" s="1" a="1"/>
  <c r="M472" i="1" s="1"/>
  <c r="N472" i="1" s="1" a="1"/>
  <c r="N472" i="1" s="1"/>
  <c r="L464" i="1"/>
  <c r="M464" i="1" s="1" a="1"/>
  <c r="M464" i="1" s="1"/>
  <c r="N464" i="1" s="1" a="1"/>
  <c r="N464" i="1" s="1"/>
  <c r="L456" i="1"/>
  <c r="M456" i="1" s="1" a="1"/>
  <c r="M456" i="1" s="1"/>
  <c r="N456" i="1" s="1" a="1"/>
  <c r="N456" i="1" s="1"/>
  <c r="L448" i="1"/>
  <c r="M448" i="1" s="1" a="1"/>
  <c r="M448" i="1" s="1"/>
  <c r="N448" i="1" s="1" a="1"/>
  <c r="N448" i="1" s="1"/>
  <c r="M440" i="1" a="1"/>
  <c r="M440" i="1" s="1"/>
  <c r="N440" i="1" s="1" a="1"/>
  <c r="N440" i="1" s="1"/>
  <c r="L440" i="1"/>
  <c r="L432" i="1"/>
  <c r="M432" i="1" s="1" a="1"/>
  <c r="M432" i="1" s="1"/>
  <c r="N432" i="1" s="1" a="1"/>
  <c r="N432" i="1" s="1"/>
  <c r="L424" i="1"/>
  <c r="M424" i="1" s="1" a="1"/>
  <c r="M424" i="1" s="1"/>
  <c r="N424" i="1" s="1" a="1"/>
  <c r="N424" i="1" s="1"/>
  <c r="M416" i="1" a="1"/>
  <c r="M416" i="1" s="1"/>
  <c r="L416" i="1"/>
  <c r="L408" i="1"/>
  <c r="M408" i="1" s="1" a="1"/>
  <c r="M408" i="1" s="1"/>
  <c r="N408" i="1" s="1" a="1"/>
  <c r="N408" i="1" s="1"/>
  <c r="L400" i="1"/>
  <c r="M400" i="1" s="1" a="1"/>
  <c r="M400" i="1" s="1"/>
  <c r="N400" i="1" s="1" a="1"/>
  <c r="N400" i="1" s="1"/>
  <c r="L392" i="1"/>
  <c r="M392" i="1" s="1" a="1"/>
  <c r="M392" i="1" s="1"/>
  <c r="N392" i="1" s="1" a="1"/>
  <c r="N392" i="1" s="1"/>
  <c r="L384" i="1"/>
  <c r="M384" i="1" s="1" a="1"/>
  <c r="M384" i="1" s="1"/>
  <c r="N384" i="1" s="1" a="1"/>
  <c r="N384" i="1" s="1"/>
  <c r="L376" i="1"/>
  <c r="M376" i="1" s="1" a="1"/>
  <c r="M376" i="1" s="1"/>
  <c r="N376" i="1" s="1" a="1"/>
  <c r="N376" i="1" s="1"/>
  <c r="L368" i="1"/>
  <c r="M368" i="1" s="1" a="1"/>
  <c r="M368" i="1" s="1"/>
  <c r="N368" i="1" s="1" a="1"/>
  <c r="N368" i="1" s="1"/>
  <c r="L360" i="1"/>
  <c r="M360" i="1" s="1" a="1"/>
  <c r="M360" i="1" s="1"/>
  <c r="N360" i="1" s="1" a="1"/>
  <c r="N360" i="1" s="1"/>
  <c r="M352" i="1" a="1"/>
  <c r="M352" i="1" s="1"/>
  <c r="N352" i="1" s="1" a="1"/>
  <c r="N352" i="1" s="1"/>
  <c r="L352" i="1"/>
  <c r="M344" i="1" a="1"/>
  <c r="M344" i="1" s="1"/>
  <c r="L344" i="1"/>
  <c r="L336" i="1"/>
  <c r="M336" i="1" s="1" a="1"/>
  <c r="M336" i="1" s="1"/>
  <c r="N336" i="1" s="1" a="1"/>
  <c r="N336" i="1" s="1"/>
  <c r="M328" i="1" a="1"/>
  <c r="M328" i="1" s="1"/>
  <c r="L328" i="1"/>
  <c r="L320" i="1"/>
  <c r="M320" i="1" s="1" a="1"/>
  <c r="M320" i="1" s="1"/>
  <c r="N320" i="1" s="1" a="1"/>
  <c r="N320" i="1" s="1"/>
  <c r="L312" i="1"/>
  <c r="M312" i="1" s="1" a="1"/>
  <c r="M312" i="1" s="1"/>
  <c r="N312" i="1" s="1" a="1"/>
  <c r="N312" i="1" s="1"/>
  <c r="L304" i="1"/>
  <c r="M304" i="1" s="1" a="1"/>
  <c r="M304" i="1" s="1"/>
  <c r="N304" i="1" s="1" a="1"/>
  <c r="N304" i="1" s="1"/>
  <c r="M296" i="1" a="1"/>
  <c r="M296" i="1" s="1"/>
  <c r="N296" i="1" s="1" a="1"/>
  <c r="N296" i="1" s="1"/>
  <c r="L296" i="1"/>
  <c r="L288" i="1"/>
  <c r="M288" i="1" s="1" a="1"/>
  <c r="M288" i="1" s="1"/>
  <c r="N288" i="1" s="1" a="1"/>
  <c r="N288" i="1" s="1"/>
  <c r="L280" i="1"/>
  <c r="M280" i="1" s="1" a="1"/>
  <c r="M280" i="1" s="1"/>
  <c r="N280" i="1" s="1" a="1"/>
  <c r="N280" i="1" s="1"/>
  <c r="L272" i="1"/>
  <c r="M272" i="1" s="1" a="1"/>
  <c r="M272" i="1" s="1"/>
  <c r="N272" i="1" s="1" a="1"/>
  <c r="N272" i="1" s="1"/>
  <c r="L264" i="1"/>
  <c r="M264" i="1" s="1" a="1"/>
  <c r="M264" i="1" s="1"/>
  <c r="N264" i="1" s="1" a="1"/>
  <c r="N264" i="1" s="1"/>
  <c r="M256" i="1" a="1"/>
  <c r="M256" i="1" s="1"/>
  <c r="L256" i="1"/>
  <c r="L248" i="1"/>
  <c r="M248" i="1" s="1" a="1"/>
  <c r="M248" i="1" s="1"/>
  <c r="N248" i="1" s="1" a="1"/>
  <c r="N248" i="1" s="1"/>
  <c r="L240" i="1"/>
  <c r="M240" i="1" s="1" a="1"/>
  <c r="M240" i="1" s="1"/>
  <c r="N240" i="1" s="1" a="1"/>
  <c r="N240" i="1" s="1"/>
  <c r="L232" i="1"/>
  <c r="M232" i="1" s="1" a="1"/>
  <c r="M232" i="1" s="1"/>
  <c r="N232" i="1" s="1" a="1"/>
  <c r="N232" i="1" s="1"/>
  <c r="M224" i="1" a="1"/>
  <c r="M224" i="1" s="1"/>
  <c r="N224" i="1" s="1" a="1"/>
  <c r="N224" i="1" s="1"/>
  <c r="L224" i="1"/>
  <c r="M216" i="1" a="1"/>
  <c r="M216" i="1" s="1"/>
  <c r="L216" i="1"/>
  <c r="L208" i="1"/>
  <c r="M208" i="1" s="1" a="1"/>
  <c r="M208" i="1" s="1"/>
  <c r="N208" i="1" s="1" a="1"/>
  <c r="N208" i="1" s="1"/>
  <c r="L200" i="1"/>
  <c r="M200" i="1" s="1" a="1"/>
  <c r="M200" i="1" s="1"/>
  <c r="N200" i="1" s="1" a="1"/>
  <c r="N200" i="1" s="1"/>
  <c r="L192" i="1"/>
  <c r="M192" i="1" s="1" a="1"/>
  <c r="M192" i="1" s="1"/>
  <c r="N192" i="1" s="1" a="1"/>
  <c r="N192" i="1" s="1"/>
  <c r="L184" i="1"/>
  <c r="M184" i="1" s="1" a="1"/>
  <c r="M184" i="1" s="1"/>
  <c r="N184" i="1" s="1" a="1"/>
  <c r="N184" i="1" s="1"/>
  <c r="L176" i="1"/>
  <c r="M176" i="1" s="1" a="1"/>
  <c r="M176" i="1" s="1"/>
  <c r="N176" i="1" s="1" a="1"/>
  <c r="N176" i="1" s="1"/>
  <c r="M168" i="1" a="1"/>
  <c r="M168" i="1" s="1"/>
  <c r="L168" i="1"/>
  <c r="L160" i="1"/>
  <c r="M160" i="1" s="1" a="1"/>
  <c r="M160" i="1" s="1"/>
  <c r="N160" i="1" s="1" a="1"/>
  <c r="N160" i="1" s="1"/>
  <c r="L152" i="1"/>
  <c r="M152" i="1" s="1" a="1"/>
  <c r="M152" i="1" s="1"/>
  <c r="N152" i="1" s="1" a="1"/>
  <c r="N152" i="1" s="1"/>
  <c r="L144" i="1"/>
  <c r="M144" i="1" s="1" a="1"/>
  <c r="M144" i="1" s="1"/>
  <c r="N144" i="1" s="1" a="1"/>
  <c r="N144" i="1" s="1"/>
  <c r="L136" i="1"/>
  <c r="M136" i="1" s="1" a="1"/>
  <c r="M136" i="1" s="1"/>
  <c r="N136" i="1" s="1" a="1"/>
  <c r="N136" i="1" s="1"/>
  <c r="L128" i="1"/>
  <c r="M128" i="1" s="1" a="1"/>
  <c r="M128" i="1" s="1"/>
  <c r="N128" i="1" s="1" a="1"/>
  <c r="N128" i="1" s="1"/>
  <c r="L120" i="1"/>
  <c r="M120" i="1" s="1" a="1"/>
  <c r="M120" i="1" s="1"/>
  <c r="N120" i="1" s="1" a="1"/>
  <c r="N120" i="1" s="1"/>
  <c r="L112" i="1"/>
  <c r="M112" i="1" s="1" a="1"/>
  <c r="M112" i="1" s="1"/>
  <c r="N112" i="1" s="1" a="1"/>
  <c r="N112" i="1" s="1"/>
  <c r="M104" i="1" a="1"/>
  <c r="M104" i="1" s="1"/>
  <c r="L104" i="1"/>
  <c r="L96" i="1"/>
  <c r="M96" i="1" s="1" a="1"/>
  <c r="M96" i="1" s="1"/>
  <c r="N96" i="1" s="1" a="1"/>
  <c r="N96" i="1" s="1"/>
  <c r="L88" i="1"/>
  <c r="M88" i="1" s="1" a="1"/>
  <c r="M88" i="1" s="1"/>
  <c r="N88" i="1" s="1" a="1"/>
  <c r="N88" i="1" s="1"/>
  <c r="L80" i="1"/>
  <c r="M80" i="1" s="1" a="1"/>
  <c r="M80" i="1" s="1"/>
  <c r="N80" i="1" s="1" a="1"/>
  <c r="N80" i="1" s="1"/>
  <c r="L72" i="1"/>
  <c r="M72" i="1" s="1" a="1"/>
  <c r="M72" i="1" s="1"/>
  <c r="N72" i="1" s="1" a="1"/>
  <c r="N72" i="1" s="1"/>
  <c r="L64" i="1"/>
  <c r="M64" i="1" s="1" a="1"/>
  <c r="M64" i="1" s="1"/>
  <c r="N64" i="1" s="1" a="1"/>
  <c r="N64" i="1" s="1"/>
  <c r="L56" i="1"/>
  <c r="M56" i="1" s="1" a="1"/>
  <c r="M56" i="1" s="1"/>
  <c r="N56" i="1" s="1" a="1"/>
  <c r="N56" i="1" s="1"/>
  <c r="L48" i="1"/>
  <c r="M48" i="1" s="1" a="1"/>
  <c r="M48" i="1" s="1"/>
  <c r="N48" i="1" s="1" a="1"/>
  <c r="N48" i="1" s="1"/>
  <c r="L40" i="1"/>
  <c r="M40" i="1" s="1" a="1"/>
  <c r="M40" i="1" s="1"/>
  <c r="N40" i="1" s="1" a="1"/>
  <c r="N40" i="1" s="1"/>
  <c r="L32" i="1"/>
  <c r="M32" i="1" s="1" a="1"/>
  <c r="M32" i="1" s="1"/>
  <c r="N32" i="1" s="1" a="1"/>
  <c r="N32" i="1" s="1"/>
  <c r="M24" i="1" a="1"/>
  <c r="M24" i="1" s="1"/>
  <c r="L24" i="1"/>
  <c r="L16" i="1"/>
  <c r="L8" i="1"/>
  <c r="M8" i="1" s="1" a="1"/>
  <c r="M8" i="1" s="1"/>
  <c r="N8" i="1" s="1" a="1"/>
  <c r="N8" i="1" s="1"/>
  <c r="L1496" i="1"/>
  <c r="M1496" i="1" s="1" a="1"/>
  <c r="M1496" i="1" s="1"/>
  <c r="N1496" i="1" s="1" a="1"/>
  <c r="N1496" i="1" s="1"/>
  <c r="L1449" i="1"/>
  <c r="M1449" i="1" s="1" a="1"/>
  <c r="M1449" i="1" s="1"/>
  <c r="L1393" i="1"/>
  <c r="M1393" i="1" s="1" a="1"/>
  <c r="M1393" i="1" s="1"/>
  <c r="N1393" i="1" s="1" a="1"/>
  <c r="N1393" i="1" s="1"/>
  <c r="L585" i="1"/>
  <c r="M585" i="1" s="1" a="1"/>
  <c r="M585" i="1" s="1"/>
  <c r="M1487" i="1" a="1"/>
  <c r="M1487" i="1" s="1"/>
  <c r="M1479" i="1" a="1"/>
  <c r="M1479" i="1" s="1"/>
  <c r="M1463" i="1" a="1"/>
  <c r="M1463" i="1" s="1"/>
  <c r="N1463" i="1" s="1" a="1"/>
  <c r="N1463" i="1" s="1"/>
  <c r="M1455" i="1" a="1"/>
  <c r="M1455" i="1" s="1"/>
  <c r="N1455" i="1" s="1" a="1"/>
  <c r="N1455" i="1" s="1"/>
  <c r="M1439" i="1" a="1"/>
  <c r="M1439" i="1" s="1"/>
  <c r="N1439" i="1" s="1" a="1"/>
  <c r="N1439" i="1" s="1"/>
  <c r="M1423" i="1" a="1"/>
  <c r="M1423" i="1" s="1"/>
  <c r="M1415" i="1" a="1"/>
  <c r="M1415" i="1" s="1"/>
  <c r="M1399" i="1" a="1"/>
  <c r="M1399" i="1" s="1"/>
  <c r="M1367" i="1" a="1"/>
  <c r="M1367" i="1" s="1"/>
  <c r="M1359" i="1" a="1"/>
  <c r="M1359" i="1" s="1"/>
  <c r="M1351" i="1" a="1"/>
  <c r="M1351" i="1" s="1"/>
  <c r="N1351" i="1" s="1" a="1"/>
  <c r="N1351" i="1" s="1"/>
  <c r="M1343" i="1" a="1"/>
  <c r="M1343" i="1" s="1"/>
  <c r="N1343" i="1" s="1" a="1"/>
  <c r="N1343" i="1" s="1"/>
  <c r="M1303" i="1" a="1"/>
  <c r="M1303" i="1" s="1"/>
  <c r="M1295" i="1" a="1"/>
  <c r="M1295" i="1" s="1"/>
  <c r="M1287" i="1" a="1"/>
  <c r="M1287" i="1" s="1"/>
  <c r="M1279" i="1" a="1"/>
  <c r="M1279" i="1" s="1"/>
  <c r="M1239" i="1" a="1"/>
  <c r="M1239" i="1" s="1"/>
  <c r="M1231" i="1" a="1"/>
  <c r="M1231" i="1" s="1"/>
  <c r="N1231" i="1" s="1" a="1"/>
  <c r="N1231" i="1" s="1"/>
  <c r="M1223" i="1" a="1"/>
  <c r="M1223" i="1" s="1"/>
  <c r="N1223" i="1" s="1" a="1"/>
  <c r="N1223" i="1" s="1"/>
  <c r="M1215" i="1" a="1"/>
  <c r="M1215" i="1" s="1"/>
  <c r="N1215" i="1" s="1" a="1"/>
  <c r="N1215" i="1" s="1"/>
  <c r="M1175" i="1" a="1"/>
  <c r="M1175" i="1" s="1"/>
  <c r="M1167" i="1" a="1"/>
  <c r="M1167" i="1" s="1"/>
  <c r="M1159" i="1" a="1"/>
  <c r="M1159" i="1" s="1"/>
  <c r="M1151" i="1" a="1"/>
  <c r="M1151" i="1" s="1"/>
  <c r="M1111" i="1" a="1"/>
  <c r="M1111" i="1" s="1"/>
  <c r="N1111" i="1" s="1" a="1"/>
  <c r="N1111" i="1" s="1"/>
  <c r="M1103" i="1" a="1"/>
  <c r="M1103" i="1" s="1"/>
  <c r="M1095" i="1" a="1"/>
  <c r="M1095" i="1" s="1"/>
  <c r="M1087" i="1" a="1"/>
  <c r="M1087" i="1" s="1"/>
  <c r="M1047" i="1" a="1"/>
  <c r="M1047" i="1" s="1"/>
  <c r="M1039" i="1" a="1"/>
  <c r="M1039" i="1" s="1"/>
  <c r="N1039" i="1" s="1" a="1"/>
  <c r="N1039" i="1" s="1"/>
  <c r="M1031" i="1" a="1"/>
  <c r="M1031" i="1" s="1"/>
  <c r="M1023" i="1" a="1"/>
  <c r="M1023" i="1" s="1"/>
  <c r="N1023" i="1" s="1" a="1"/>
  <c r="N1023" i="1" s="1"/>
  <c r="M983" i="1" a="1"/>
  <c r="M983" i="1" s="1"/>
  <c r="N983" i="1" s="1" a="1"/>
  <c r="N983" i="1" s="1"/>
  <c r="L975" i="1"/>
  <c r="M975" i="1" s="1" a="1"/>
  <c r="M975" i="1" s="1"/>
  <c r="N975" i="1" s="1" a="1"/>
  <c r="N975" i="1" s="1"/>
  <c r="L967" i="1"/>
  <c r="M967" i="1" s="1" a="1"/>
  <c r="M967" i="1" s="1"/>
  <c r="N967" i="1" s="1" a="1"/>
  <c r="N967" i="1" s="1"/>
  <c r="L959" i="1"/>
  <c r="M959" i="1" s="1" a="1"/>
  <c r="M959" i="1" s="1"/>
  <c r="N959" i="1" s="1" a="1"/>
  <c r="N959" i="1" s="1"/>
  <c r="L951" i="1"/>
  <c r="M951" i="1" s="1" a="1"/>
  <c r="M951" i="1" s="1"/>
  <c r="N951" i="1" s="1" a="1"/>
  <c r="N951" i="1" s="1"/>
  <c r="L943" i="1"/>
  <c r="M943" i="1" s="1" a="1"/>
  <c r="M943" i="1" s="1"/>
  <c r="N943" i="1" s="1" a="1"/>
  <c r="N943" i="1" s="1"/>
  <c r="L935" i="1"/>
  <c r="M935" i="1" s="1" a="1"/>
  <c r="M935" i="1" s="1"/>
  <c r="N935" i="1" s="1" a="1"/>
  <c r="N935" i="1" s="1"/>
  <c r="L927" i="1"/>
  <c r="M927" i="1" s="1" a="1"/>
  <c r="M927" i="1" s="1"/>
  <c r="N927" i="1" s="1" a="1"/>
  <c r="N927" i="1" s="1"/>
  <c r="L919" i="1"/>
  <c r="M919" i="1" s="1" a="1"/>
  <c r="M919" i="1" s="1"/>
  <c r="N919" i="1" s="1" a="1"/>
  <c r="N919" i="1" s="1"/>
  <c r="L911" i="1"/>
  <c r="M911" i="1" s="1" a="1"/>
  <c r="M911" i="1" s="1"/>
  <c r="N911" i="1" s="1" a="1"/>
  <c r="N911" i="1" s="1"/>
  <c r="L903" i="1"/>
  <c r="M903" i="1" s="1" a="1"/>
  <c r="M903" i="1" s="1"/>
  <c r="N903" i="1" s="1" a="1"/>
  <c r="N903" i="1" s="1"/>
  <c r="L895" i="1"/>
  <c r="M895" i="1" s="1" a="1"/>
  <c r="M895" i="1" s="1"/>
  <c r="N895" i="1" s="1" a="1"/>
  <c r="N895" i="1" s="1"/>
  <c r="L887" i="1"/>
  <c r="M887" i="1" s="1" a="1"/>
  <c r="M887" i="1" s="1"/>
  <c r="N887" i="1" s="1" a="1"/>
  <c r="N887" i="1" s="1"/>
  <c r="L879" i="1"/>
  <c r="M879" i="1" s="1" a="1"/>
  <c r="M879" i="1" s="1"/>
  <c r="N879" i="1" s="1" a="1"/>
  <c r="N879" i="1" s="1"/>
  <c r="L871" i="1"/>
  <c r="M871" i="1" s="1" a="1"/>
  <c r="M871" i="1" s="1"/>
  <c r="N871" i="1" s="1" a="1"/>
  <c r="N871" i="1" s="1"/>
  <c r="M863" i="1" a="1"/>
  <c r="M863" i="1" s="1"/>
  <c r="L863" i="1"/>
  <c r="L855" i="1"/>
  <c r="M855" i="1" s="1" a="1"/>
  <c r="M855" i="1" s="1"/>
  <c r="N855" i="1" s="1" a="1"/>
  <c r="N855" i="1" s="1"/>
  <c r="M847" i="1" a="1"/>
  <c r="M847" i="1" s="1"/>
  <c r="L839" i="1"/>
  <c r="M839" i="1" s="1" a="1"/>
  <c r="M839" i="1" s="1"/>
  <c r="N839" i="1" s="1" a="1"/>
  <c r="N839" i="1" s="1"/>
  <c r="L831" i="1"/>
  <c r="M831" i="1" s="1" a="1"/>
  <c r="M831" i="1" s="1"/>
  <c r="L823" i="1"/>
  <c r="M823" i="1" s="1" a="1"/>
  <c r="M823" i="1" s="1"/>
  <c r="N823" i="1" s="1" a="1"/>
  <c r="N823" i="1" s="1"/>
  <c r="L815" i="1"/>
  <c r="M815" i="1" s="1" a="1"/>
  <c r="M815" i="1" s="1"/>
  <c r="N815" i="1" s="1" a="1"/>
  <c r="N815" i="1" s="1"/>
  <c r="L807" i="1"/>
  <c r="M807" i="1" s="1" a="1"/>
  <c r="M807" i="1" s="1"/>
  <c r="N807" i="1" s="1" a="1"/>
  <c r="N807" i="1" s="1"/>
  <c r="L799" i="1"/>
  <c r="M799" i="1" s="1" a="1"/>
  <c r="M799" i="1" s="1"/>
  <c r="L791" i="1"/>
  <c r="M791" i="1" s="1" a="1"/>
  <c r="M791" i="1" s="1"/>
  <c r="N791" i="1" s="1" a="1"/>
  <c r="N791" i="1" s="1"/>
  <c r="L775" i="1"/>
  <c r="M775" i="1" s="1" a="1"/>
  <c r="M775" i="1" s="1"/>
  <c r="N775" i="1" s="1" a="1"/>
  <c r="N775" i="1" s="1"/>
  <c r="L767" i="1"/>
  <c r="M767" i="1" s="1" a="1"/>
  <c r="M767" i="1" s="1"/>
  <c r="N767" i="1" s="1" a="1"/>
  <c r="N767" i="1" s="1"/>
  <c r="L759" i="1"/>
  <c r="M759" i="1" s="1" a="1"/>
  <c r="M759" i="1" s="1"/>
  <c r="N759" i="1" s="1" a="1"/>
  <c r="N759" i="1" s="1"/>
  <c r="L751" i="1"/>
  <c r="M751" i="1" s="1" a="1"/>
  <c r="M751" i="1" s="1"/>
  <c r="N751" i="1" s="1" a="1"/>
  <c r="N751" i="1" s="1"/>
  <c r="L743" i="1"/>
  <c r="M743" i="1" s="1" a="1"/>
  <c r="M743" i="1" s="1"/>
  <c r="N743" i="1" s="1" a="1"/>
  <c r="N743" i="1" s="1"/>
  <c r="L735" i="1"/>
  <c r="M735" i="1" s="1" a="1"/>
  <c r="M735" i="1" s="1"/>
  <c r="N735" i="1" s="1" a="1"/>
  <c r="N735" i="1" s="1"/>
  <c r="L727" i="1"/>
  <c r="M727" i="1" s="1" a="1"/>
  <c r="M727" i="1" s="1"/>
  <c r="N727" i="1" s="1" a="1"/>
  <c r="N727" i="1" s="1"/>
  <c r="L711" i="1"/>
  <c r="M711" i="1" s="1" a="1"/>
  <c r="M711" i="1" s="1"/>
  <c r="N711" i="1" s="1" a="1"/>
  <c r="N711" i="1" s="1"/>
  <c r="L703" i="1"/>
  <c r="M703" i="1" s="1" a="1"/>
  <c r="M703" i="1" s="1"/>
  <c r="L695" i="1"/>
  <c r="M695" i="1" s="1" a="1"/>
  <c r="M695" i="1" s="1"/>
  <c r="N695" i="1" s="1" a="1"/>
  <c r="N695" i="1" s="1"/>
  <c r="L687" i="1"/>
  <c r="M687" i="1" s="1" a="1"/>
  <c r="M687" i="1" s="1"/>
  <c r="N687" i="1" s="1" a="1"/>
  <c r="N687" i="1" s="1"/>
  <c r="L679" i="1"/>
  <c r="M679" i="1" s="1" a="1"/>
  <c r="M679" i="1" s="1"/>
  <c r="N679" i="1" s="1" a="1"/>
  <c r="N679" i="1" s="1"/>
  <c r="L671" i="1"/>
  <c r="M671" i="1" s="1" a="1"/>
  <c r="M671" i="1" s="1"/>
  <c r="N671" i="1" s="1" a="1"/>
  <c r="N671" i="1" s="1"/>
  <c r="L663" i="1"/>
  <c r="M663" i="1" s="1" a="1"/>
  <c r="M663" i="1" s="1"/>
  <c r="N663" i="1" s="1" a="1"/>
  <c r="N663" i="1" s="1"/>
  <c r="L655" i="1"/>
  <c r="M655" i="1" s="1" a="1"/>
  <c r="M655" i="1" s="1"/>
  <c r="N655" i="1" s="1" a="1"/>
  <c r="N655" i="1" s="1"/>
  <c r="M647" i="1" a="1"/>
  <c r="M647" i="1" s="1"/>
  <c r="N647" i="1" s="1" a="1"/>
  <c r="N647" i="1" s="1"/>
  <c r="L647" i="1"/>
  <c r="L639" i="1"/>
  <c r="M639" i="1" s="1" a="1"/>
  <c r="M639" i="1" s="1"/>
  <c r="L631" i="1"/>
  <c r="M631" i="1" s="1" a="1"/>
  <c r="M631" i="1" s="1"/>
  <c r="N631" i="1" s="1" a="1"/>
  <c r="N631" i="1" s="1"/>
  <c r="L623" i="1"/>
  <c r="M623" i="1" s="1" a="1"/>
  <c r="M623" i="1" s="1"/>
  <c r="N623" i="1" s="1" a="1"/>
  <c r="N623" i="1" s="1"/>
  <c r="L615" i="1"/>
  <c r="M615" i="1" s="1" a="1"/>
  <c r="M615" i="1" s="1"/>
  <c r="N615" i="1" s="1" a="1"/>
  <c r="N615" i="1" s="1"/>
  <c r="L607" i="1"/>
  <c r="M607" i="1" s="1" a="1"/>
  <c r="M607" i="1" s="1"/>
  <c r="N607" i="1" s="1" a="1"/>
  <c r="N607" i="1" s="1"/>
  <c r="L599" i="1"/>
  <c r="M599" i="1" s="1" a="1"/>
  <c r="M599" i="1" s="1"/>
  <c r="N599" i="1" s="1" a="1"/>
  <c r="N599" i="1" s="1"/>
  <c r="L591" i="1"/>
  <c r="M591" i="1" s="1" a="1"/>
  <c r="M591" i="1" s="1"/>
  <c r="N591" i="1" s="1" a="1"/>
  <c r="N591" i="1" s="1"/>
  <c r="L583" i="1"/>
  <c r="M583" i="1" s="1" a="1"/>
  <c r="M583" i="1" s="1"/>
  <c r="N583" i="1" s="1" a="1"/>
  <c r="N583" i="1" s="1"/>
  <c r="L575" i="1"/>
  <c r="M575" i="1" s="1" a="1"/>
  <c r="M575" i="1" s="1"/>
  <c r="L567" i="1"/>
  <c r="M567" i="1" s="1" a="1"/>
  <c r="M567" i="1" s="1"/>
  <c r="N567" i="1" s="1" a="1"/>
  <c r="N567" i="1" s="1"/>
  <c r="L559" i="1"/>
  <c r="M559" i="1" s="1" a="1"/>
  <c r="M559" i="1" s="1"/>
  <c r="N559" i="1" s="1" a="1"/>
  <c r="N559" i="1" s="1"/>
  <c r="L551" i="1"/>
  <c r="M551" i="1" s="1" a="1"/>
  <c r="M551" i="1" s="1"/>
  <c r="N551" i="1" s="1" a="1"/>
  <c r="N551" i="1" s="1"/>
  <c r="L543" i="1"/>
  <c r="M543" i="1" s="1" a="1"/>
  <c r="M543" i="1" s="1"/>
  <c r="N543" i="1" s="1" a="1"/>
  <c r="N543" i="1" s="1"/>
  <c r="L535" i="1"/>
  <c r="M535" i="1" s="1" a="1"/>
  <c r="M535" i="1" s="1"/>
  <c r="N535" i="1" s="1" a="1"/>
  <c r="N535" i="1" s="1"/>
  <c r="L527" i="1"/>
  <c r="M527" i="1" s="1" a="1"/>
  <c r="M527" i="1" s="1"/>
  <c r="N527" i="1" s="1" a="1"/>
  <c r="N527" i="1" s="1"/>
  <c r="L519" i="1"/>
  <c r="M519" i="1" s="1" a="1"/>
  <c r="M519" i="1" s="1"/>
  <c r="N519" i="1" s="1" a="1"/>
  <c r="N519" i="1" s="1"/>
  <c r="L511" i="1"/>
  <c r="M511" i="1" s="1" a="1"/>
  <c r="M511" i="1" s="1"/>
  <c r="L503" i="1"/>
  <c r="M503" i="1" s="1" a="1"/>
  <c r="M503" i="1" s="1"/>
  <c r="N503" i="1" s="1" a="1"/>
  <c r="N503" i="1" s="1"/>
  <c r="L495" i="1"/>
  <c r="M495" i="1" s="1" a="1"/>
  <c r="M495" i="1" s="1"/>
  <c r="N495" i="1" s="1" a="1"/>
  <c r="N495" i="1" s="1"/>
  <c r="L487" i="1"/>
  <c r="M487" i="1" s="1" a="1"/>
  <c r="M487" i="1" s="1"/>
  <c r="N487" i="1" s="1" a="1"/>
  <c r="N487" i="1" s="1"/>
  <c r="L479" i="1"/>
  <c r="M479" i="1" s="1" a="1"/>
  <c r="M479" i="1" s="1"/>
  <c r="N479" i="1" s="1" a="1"/>
  <c r="N479" i="1" s="1"/>
  <c r="L471" i="1"/>
  <c r="M471" i="1" s="1" a="1"/>
  <c r="M471" i="1" s="1"/>
  <c r="L463" i="1"/>
  <c r="M463" i="1" s="1" a="1"/>
  <c r="M463" i="1" s="1"/>
  <c r="N463" i="1" s="1" a="1"/>
  <c r="N463" i="1" s="1"/>
  <c r="L455" i="1"/>
  <c r="M455" i="1" s="1" a="1"/>
  <c r="M455" i="1" s="1"/>
  <c r="N455" i="1" s="1" a="1"/>
  <c r="N455" i="1" s="1"/>
  <c r="L447" i="1"/>
  <c r="M447" i="1" s="1" a="1"/>
  <c r="M447" i="1" s="1"/>
  <c r="N447" i="1" s="1" a="1"/>
  <c r="N447" i="1" s="1"/>
  <c r="L439" i="1"/>
  <c r="M439" i="1" s="1" a="1"/>
  <c r="M439" i="1" s="1"/>
  <c r="N439" i="1" s="1" a="1"/>
  <c r="N439" i="1" s="1"/>
  <c r="L431" i="1"/>
  <c r="M431" i="1" s="1" a="1"/>
  <c r="M431" i="1" s="1"/>
  <c r="N431" i="1" s="1" a="1"/>
  <c r="N431" i="1" s="1"/>
  <c r="L423" i="1"/>
  <c r="M423" i="1" s="1" a="1"/>
  <c r="M423" i="1" s="1"/>
  <c r="N423" i="1" s="1" a="1"/>
  <c r="N423" i="1" s="1"/>
  <c r="L415" i="1"/>
  <c r="M415" i="1" s="1" a="1"/>
  <c r="M415" i="1" s="1"/>
  <c r="N415" i="1" s="1" a="1"/>
  <c r="N415" i="1" s="1"/>
  <c r="L407" i="1"/>
  <c r="M407" i="1" s="1" a="1"/>
  <c r="M407" i="1" s="1"/>
  <c r="L399" i="1"/>
  <c r="M399" i="1" s="1" a="1"/>
  <c r="M399" i="1" s="1"/>
  <c r="N399" i="1" s="1" a="1"/>
  <c r="N399" i="1" s="1"/>
  <c r="L391" i="1"/>
  <c r="M391" i="1" s="1" a="1"/>
  <c r="M391" i="1" s="1"/>
  <c r="N391" i="1" s="1" a="1"/>
  <c r="N391" i="1" s="1"/>
  <c r="L383" i="1"/>
  <c r="M383" i="1" s="1" a="1"/>
  <c r="M383" i="1" s="1"/>
  <c r="N383" i="1" s="1" a="1"/>
  <c r="N383" i="1" s="1"/>
  <c r="L375" i="1"/>
  <c r="M375" i="1" s="1" a="1"/>
  <c r="M375" i="1" s="1"/>
  <c r="N375" i="1" s="1" a="1"/>
  <c r="N375" i="1" s="1"/>
  <c r="L367" i="1"/>
  <c r="M367" i="1" s="1" a="1"/>
  <c r="M367" i="1" s="1"/>
  <c r="N367" i="1" s="1" a="1"/>
  <c r="N367" i="1" s="1"/>
  <c r="L359" i="1"/>
  <c r="M359" i="1" s="1" a="1"/>
  <c r="M359" i="1" s="1"/>
  <c r="N359" i="1" s="1" a="1"/>
  <c r="N359" i="1" s="1"/>
  <c r="L351" i="1"/>
  <c r="M351" i="1" s="1" a="1"/>
  <c r="M351" i="1" s="1"/>
  <c r="L343" i="1"/>
  <c r="M343" i="1" s="1" a="1"/>
  <c r="M343" i="1" s="1"/>
  <c r="N343" i="1" s="1" a="1"/>
  <c r="N343" i="1" s="1"/>
  <c r="L335" i="1"/>
  <c r="M335" i="1" s="1" a="1"/>
  <c r="M335" i="1" s="1"/>
  <c r="N335" i="1" s="1" a="1"/>
  <c r="N335" i="1" s="1"/>
  <c r="L327" i="1"/>
  <c r="M327" i="1" s="1" a="1"/>
  <c r="M327" i="1" s="1"/>
  <c r="N327" i="1" s="1" a="1"/>
  <c r="N327" i="1" s="1"/>
  <c r="L319" i="1"/>
  <c r="M319" i="1" s="1" a="1"/>
  <c r="M319" i="1" s="1"/>
  <c r="L311" i="1"/>
  <c r="M311" i="1" s="1" a="1"/>
  <c r="M311" i="1" s="1"/>
  <c r="N311" i="1" s="1" a="1"/>
  <c r="N311" i="1" s="1"/>
  <c r="L303" i="1"/>
  <c r="M303" i="1" s="1" a="1"/>
  <c r="M303" i="1" s="1"/>
  <c r="N303" i="1" s="1" a="1"/>
  <c r="N303" i="1" s="1"/>
  <c r="L295" i="1"/>
  <c r="M295" i="1" s="1" a="1"/>
  <c r="M295" i="1" s="1"/>
  <c r="N295" i="1" s="1" a="1"/>
  <c r="N295" i="1" s="1"/>
  <c r="L287" i="1"/>
  <c r="M287" i="1" s="1" a="1"/>
  <c r="M287" i="1" s="1"/>
  <c r="L279" i="1"/>
  <c r="M279" i="1" s="1" a="1"/>
  <c r="M279" i="1" s="1"/>
  <c r="L271" i="1"/>
  <c r="M271" i="1" s="1" a="1"/>
  <c r="M271" i="1" s="1"/>
  <c r="N271" i="1" s="1" a="1"/>
  <c r="N271" i="1" s="1"/>
  <c r="L263" i="1"/>
  <c r="M263" i="1" s="1" a="1"/>
  <c r="M263" i="1" s="1"/>
  <c r="N263" i="1" s="1" a="1"/>
  <c r="N263" i="1" s="1"/>
  <c r="L255" i="1"/>
  <c r="M255" i="1" s="1" a="1"/>
  <c r="M255" i="1" s="1"/>
  <c r="L247" i="1"/>
  <c r="M247" i="1" s="1" a="1"/>
  <c r="M247" i="1" s="1"/>
  <c r="N247" i="1" s="1" a="1"/>
  <c r="N247" i="1" s="1"/>
  <c r="L239" i="1"/>
  <c r="M239" i="1" s="1" a="1"/>
  <c r="M239" i="1" s="1"/>
  <c r="N239" i="1" s="1" a="1"/>
  <c r="N239" i="1" s="1"/>
  <c r="L231" i="1"/>
  <c r="M231" i="1" s="1" a="1"/>
  <c r="M231" i="1" s="1"/>
  <c r="N231" i="1" s="1" a="1"/>
  <c r="N231" i="1" s="1"/>
  <c r="L223" i="1"/>
  <c r="M223" i="1" s="1" a="1"/>
  <c r="M223" i="1" s="1"/>
  <c r="N223" i="1" s="1" a="1"/>
  <c r="N223" i="1" s="1"/>
  <c r="L215" i="1"/>
  <c r="M215" i="1" s="1" a="1"/>
  <c r="M215" i="1" s="1"/>
  <c r="N215" i="1" s="1" a="1"/>
  <c r="N215" i="1" s="1"/>
  <c r="L207" i="1"/>
  <c r="M207" i="1" s="1" a="1"/>
  <c r="M207" i="1" s="1"/>
  <c r="N207" i="1" s="1" a="1"/>
  <c r="N207" i="1" s="1"/>
  <c r="L199" i="1"/>
  <c r="M199" i="1" s="1" a="1"/>
  <c r="M199" i="1" s="1"/>
  <c r="N199" i="1" s="1" a="1"/>
  <c r="N199" i="1" s="1"/>
  <c r="L191" i="1"/>
  <c r="M191" i="1" s="1" a="1"/>
  <c r="M191" i="1" s="1"/>
  <c r="N191" i="1" s="1" a="1"/>
  <c r="N191" i="1" s="1"/>
  <c r="L183" i="1"/>
  <c r="M183" i="1" s="1" a="1"/>
  <c r="M183" i="1" s="1"/>
  <c r="N183" i="1" s="1" a="1"/>
  <c r="N183" i="1" s="1"/>
  <c r="L175" i="1"/>
  <c r="M175" i="1" s="1" a="1"/>
  <c r="M175" i="1" s="1"/>
  <c r="N175" i="1" s="1" a="1"/>
  <c r="N175" i="1" s="1"/>
  <c r="L167" i="1"/>
  <c r="M167" i="1" s="1" a="1"/>
  <c r="M167" i="1" s="1"/>
  <c r="N167" i="1" s="1" a="1"/>
  <c r="N167" i="1" s="1"/>
  <c r="L159" i="1"/>
  <c r="M159" i="1" s="1" a="1"/>
  <c r="M159" i="1" s="1"/>
  <c r="N159" i="1" s="1" a="1"/>
  <c r="N159" i="1" s="1"/>
  <c r="L151" i="1"/>
  <c r="M151" i="1" s="1" a="1"/>
  <c r="M151" i="1" s="1"/>
  <c r="N151" i="1" s="1" a="1"/>
  <c r="N151" i="1" s="1"/>
  <c r="L143" i="1"/>
  <c r="M143" i="1" s="1" a="1"/>
  <c r="M143" i="1" s="1"/>
  <c r="N143" i="1" s="1" a="1"/>
  <c r="N143" i="1" s="1"/>
  <c r="M135" i="1" a="1"/>
  <c r="M135" i="1" s="1"/>
  <c r="N135" i="1" s="1" a="1"/>
  <c r="N135" i="1" s="1"/>
  <c r="L135" i="1"/>
  <c r="L127" i="1"/>
  <c r="M127" i="1" s="1" a="1"/>
  <c r="M127" i="1" s="1"/>
  <c r="L119" i="1"/>
  <c r="M119" i="1" s="1" a="1"/>
  <c r="M119" i="1" s="1"/>
  <c r="N119" i="1" s="1" a="1"/>
  <c r="N119" i="1" s="1"/>
  <c r="L111" i="1"/>
  <c r="M111" i="1" s="1" a="1"/>
  <c r="M111" i="1" s="1"/>
  <c r="N111" i="1" s="1" a="1"/>
  <c r="N111" i="1" s="1"/>
  <c r="L103" i="1"/>
  <c r="M103" i="1" s="1" a="1"/>
  <c r="M103" i="1" s="1"/>
  <c r="N103" i="1" s="1" a="1"/>
  <c r="N103" i="1" s="1"/>
  <c r="L95" i="1"/>
  <c r="M95" i="1" s="1" a="1"/>
  <c r="M95" i="1" s="1"/>
  <c r="L87" i="1"/>
  <c r="M87" i="1" s="1" a="1"/>
  <c r="M87" i="1" s="1"/>
  <c r="N87" i="1" s="1" a="1"/>
  <c r="N87" i="1" s="1"/>
  <c r="L79" i="1"/>
  <c r="M79" i="1" s="1" a="1"/>
  <c r="M79" i="1" s="1"/>
  <c r="L71" i="1"/>
  <c r="M71" i="1" s="1" a="1"/>
  <c r="M71" i="1" s="1"/>
  <c r="N71" i="1" s="1" a="1"/>
  <c r="N71" i="1" s="1"/>
  <c r="L63" i="1"/>
  <c r="M63" i="1" s="1" a="1"/>
  <c r="M63" i="1" s="1"/>
  <c r="N63" i="1" s="1" a="1"/>
  <c r="N63" i="1" s="1"/>
  <c r="L55" i="1"/>
  <c r="M55" i="1" s="1" a="1"/>
  <c r="M55" i="1" s="1"/>
  <c r="N55" i="1" s="1" a="1"/>
  <c r="N55" i="1" s="1"/>
  <c r="L47" i="1"/>
  <c r="M47" i="1" s="1" a="1"/>
  <c r="M47" i="1" s="1"/>
  <c r="L39" i="1"/>
  <c r="M39" i="1" s="1" a="1"/>
  <c r="M39" i="1" s="1"/>
  <c r="N39" i="1" s="1" a="1"/>
  <c r="N39" i="1" s="1"/>
  <c r="L31" i="1"/>
  <c r="M31" i="1" s="1" a="1"/>
  <c r="M31" i="1" s="1"/>
  <c r="N31" i="1" s="1" a="1"/>
  <c r="N31" i="1" s="1"/>
  <c r="L23" i="1"/>
  <c r="M23" i="1" s="1" a="1"/>
  <c r="M23" i="1" s="1"/>
  <c r="N23" i="1" s="1" a="1"/>
  <c r="N23" i="1" s="1"/>
  <c r="L15" i="1"/>
  <c r="L7" i="1"/>
  <c r="M7" i="1" s="1" a="1"/>
  <c r="M7" i="1" s="1"/>
  <c r="N7" i="1" s="1" a="1"/>
  <c r="N7" i="1" s="1"/>
  <c r="L5" i="1"/>
  <c r="M5" i="1" s="1" a="1"/>
  <c r="M5" i="1" s="1"/>
  <c r="L1495" i="1"/>
  <c r="M1495" i="1" s="1" a="1"/>
  <c r="M1495" i="1" s="1"/>
  <c r="N1495" i="1" s="1" a="1"/>
  <c r="N1495" i="1" s="1"/>
  <c r="L1473" i="1"/>
  <c r="M1473" i="1" s="1" a="1"/>
  <c r="M1473" i="1" s="1"/>
  <c r="N1473" i="1" s="1" a="1"/>
  <c r="N1473" i="1" s="1"/>
  <c r="L1448" i="1"/>
  <c r="M1448" i="1" s="1" a="1"/>
  <c r="M1448" i="1" s="1"/>
  <c r="N1448" i="1" s="1" a="1"/>
  <c r="N1448" i="1" s="1"/>
  <c r="L1433" i="1"/>
  <c r="M1433" i="1" s="1" a="1"/>
  <c r="M1433" i="1" s="1"/>
  <c r="L1391" i="1"/>
  <c r="M1391" i="1" s="1" a="1"/>
  <c r="M1391" i="1" s="1"/>
  <c r="N1391" i="1" s="1" a="1"/>
  <c r="N1391" i="1" s="1"/>
  <c r="L1335" i="1"/>
  <c r="M1335" i="1" s="1" a="1"/>
  <c r="M1335" i="1" s="1"/>
  <c r="L1271" i="1"/>
  <c r="M1271" i="1" s="1" a="1"/>
  <c r="M1271" i="1" s="1"/>
  <c r="N1271" i="1" s="1" a="1"/>
  <c r="N1271" i="1" s="1"/>
  <c r="L1207" i="1"/>
  <c r="M1207" i="1" s="1" a="1"/>
  <c r="M1207" i="1" s="1"/>
  <c r="N1207" i="1" s="1" a="1"/>
  <c r="N1207" i="1" s="1"/>
  <c r="L1143" i="1"/>
  <c r="M1143" i="1" s="1" a="1"/>
  <c r="M1143" i="1" s="1"/>
  <c r="N1143" i="1" s="1" a="1"/>
  <c r="N1143" i="1" s="1"/>
  <c r="L1079" i="1"/>
  <c r="M1079" i="1" s="1" a="1"/>
  <c r="M1079" i="1" s="1"/>
  <c r="N1079" i="1" s="1" a="1"/>
  <c r="N1079" i="1" s="1"/>
  <c r="L1015" i="1"/>
  <c r="M1015" i="1" s="1" a="1"/>
  <c r="M1015" i="1" s="1"/>
  <c r="N1015" i="1" s="1" a="1"/>
  <c r="N1015" i="1" s="1"/>
  <c r="L783" i="1"/>
  <c r="M783" i="1" s="1" a="1"/>
  <c r="M783" i="1" s="1"/>
  <c r="N783" i="1" s="1" a="1"/>
  <c r="N783" i="1" s="1"/>
  <c r="L1504" i="1"/>
  <c r="M1504" i="1" s="1" a="1"/>
  <c r="M1504" i="1" s="1"/>
  <c r="N1504" i="1" s="1" a="1"/>
  <c r="N1504" i="1" s="1"/>
  <c r="L1472" i="1"/>
  <c r="M1472" i="1" s="1" a="1"/>
  <c r="M1472" i="1" s="1"/>
  <c r="N1472" i="1" s="1" a="1"/>
  <c r="N1472" i="1" s="1"/>
  <c r="L1447" i="1"/>
  <c r="M1447" i="1" s="1" a="1"/>
  <c r="M1447" i="1" s="1"/>
  <c r="N1447" i="1" s="1" a="1"/>
  <c r="N1447" i="1" s="1"/>
  <c r="L1431" i="1"/>
  <c r="M1431" i="1" s="1" a="1"/>
  <c r="M1431" i="1" s="1"/>
  <c r="N1431" i="1" s="1" a="1"/>
  <c r="N1431" i="1" s="1"/>
  <c r="L1409" i="1"/>
  <c r="M1409" i="1" s="1" a="1"/>
  <c r="M1409" i="1" s="1"/>
  <c r="N1409" i="1" s="1" a="1"/>
  <c r="N1409" i="1" s="1"/>
  <c r="L1327" i="1"/>
  <c r="M1327" i="1" s="1" a="1"/>
  <c r="M1327" i="1" s="1"/>
  <c r="N1327" i="1" s="1" a="1"/>
  <c r="N1327" i="1" s="1"/>
  <c r="L1263" i="1"/>
  <c r="M1263" i="1" s="1" a="1"/>
  <c r="M1263" i="1" s="1"/>
  <c r="L1199" i="1"/>
  <c r="M1199" i="1" s="1" a="1"/>
  <c r="M1199" i="1" s="1"/>
  <c r="L1135" i="1"/>
  <c r="M1135" i="1" s="1" a="1"/>
  <c r="M1135" i="1" s="1"/>
  <c r="N1135" i="1" s="1" a="1"/>
  <c r="N1135" i="1" s="1"/>
  <c r="L1071" i="1"/>
  <c r="M1071" i="1" s="1" a="1"/>
  <c r="M1071" i="1" s="1"/>
  <c r="L1007" i="1"/>
  <c r="M1007" i="1" s="1" a="1"/>
  <c r="M1007" i="1" s="1"/>
  <c r="N1007" i="1" s="1" a="1"/>
  <c r="N1007" i="1" s="1"/>
  <c r="L1503" i="1"/>
  <c r="M1503" i="1" s="1" a="1"/>
  <c r="M1503" i="1" s="1"/>
  <c r="N1503" i="1" s="1" a="1"/>
  <c r="N1503" i="1" s="1"/>
  <c r="L1481" i="1"/>
  <c r="M1481" i="1" s="1" a="1"/>
  <c r="M1481" i="1" s="1"/>
  <c r="N1481" i="1" s="1" a="1"/>
  <c r="N1481" i="1" s="1"/>
  <c r="L1471" i="1"/>
  <c r="M1471" i="1" s="1" a="1"/>
  <c r="M1471" i="1" s="1"/>
  <c r="N1471" i="1" s="1" a="1"/>
  <c r="N1471" i="1" s="1"/>
  <c r="L1457" i="1"/>
  <c r="M1457" i="1" s="1" a="1"/>
  <c r="M1457" i="1" s="1"/>
  <c r="L1407" i="1"/>
  <c r="M1407" i="1" s="1" a="1"/>
  <c r="M1407" i="1" s="1"/>
  <c r="N1407" i="1" s="1" a="1"/>
  <c r="N1407" i="1" s="1"/>
  <c r="L1383" i="1"/>
  <c r="M1383" i="1" s="1" a="1"/>
  <c r="M1383" i="1" s="1"/>
  <c r="N1383" i="1" s="1" a="1"/>
  <c r="N1383" i="1" s="1"/>
  <c r="L1319" i="1"/>
  <c r="M1319" i="1" s="1" a="1"/>
  <c r="M1319" i="1" s="1"/>
  <c r="N1319" i="1" s="1" a="1"/>
  <c r="N1319" i="1" s="1"/>
  <c r="L1255" i="1"/>
  <c r="M1255" i="1" s="1" a="1"/>
  <c r="M1255" i="1" s="1"/>
  <c r="N1255" i="1" s="1" a="1"/>
  <c r="N1255" i="1" s="1"/>
  <c r="L1191" i="1"/>
  <c r="M1191" i="1" s="1" a="1"/>
  <c r="M1191" i="1" s="1"/>
  <c r="N1191" i="1" s="1" a="1"/>
  <c r="N1191" i="1" s="1"/>
  <c r="L1127" i="1"/>
  <c r="M1127" i="1" s="1" a="1"/>
  <c r="M1127" i="1" s="1"/>
  <c r="N1127" i="1" s="1" a="1"/>
  <c r="N1127" i="1" s="1"/>
  <c r="L1063" i="1"/>
  <c r="M1063" i="1" s="1" a="1"/>
  <c r="M1063" i="1" s="1"/>
  <c r="N1063" i="1" s="1" a="1"/>
  <c r="N1063" i="1" s="1"/>
  <c r="L999" i="1"/>
  <c r="M999" i="1" s="1" a="1"/>
  <c r="M999" i="1" s="1"/>
  <c r="N999" i="1" s="1" a="1"/>
  <c r="N999" i="1" s="1"/>
  <c r="L1480" i="1"/>
  <c r="M1480" i="1" s="1" a="1"/>
  <c r="M1480" i="1" s="1"/>
  <c r="N1480" i="1" s="1" a="1"/>
  <c r="N1480" i="1" s="1"/>
  <c r="L1456" i="1"/>
  <c r="M1456" i="1" s="1" a="1"/>
  <c r="M1456" i="1" s="1"/>
  <c r="N1456" i="1" s="1" a="1"/>
  <c r="N1456" i="1" s="1"/>
  <c r="L1425" i="1"/>
  <c r="M1425" i="1" s="1" a="1"/>
  <c r="M1425" i="1" s="1"/>
  <c r="L1375" i="1"/>
  <c r="M1375" i="1" s="1" a="1"/>
  <c r="M1375" i="1" s="1"/>
  <c r="N1375" i="1" s="1" a="1"/>
  <c r="N1375" i="1" s="1"/>
  <c r="L1311" i="1"/>
  <c r="M1311" i="1" s="1" a="1"/>
  <c r="M1311" i="1" s="1"/>
  <c r="N1311" i="1" s="1" a="1"/>
  <c r="N1311" i="1" s="1"/>
  <c r="L1247" i="1"/>
  <c r="M1247" i="1" s="1" a="1"/>
  <c r="M1247" i="1" s="1"/>
  <c r="N1247" i="1" s="1" a="1"/>
  <c r="N1247" i="1" s="1"/>
  <c r="L1183" i="1"/>
  <c r="M1183" i="1" s="1" a="1"/>
  <c r="M1183" i="1" s="1"/>
  <c r="N1183" i="1" s="1" a="1"/>
  <c r="N1183" i="1" s="1"/>
  <c r="L1119" i="1"/>
  <c r="M1119" i="1" s="1" a="1"/>
  <c r="M1119" i="1" s="1"/>
  <c r="N1119" i="1" s="1" a="1"/>
  <c r="N1119" i="1" s="1"/>
  <c r="L991" i="1"/>
  <c r="M991" i="1" s="1" a="1"/>
  <c r="M991" i="1" s="1"/>
  <c r="N991" i="1" s="1" a="1"/>
  <c r="N991" i="1" s="1"/>
  <c r="L719" i="1"/>
  <c r="M719" i="1" s="1" a="1"/>
  <c r="M719" i="1" s="1"/>
  <c r="N719" i="1" s="1" a="1"/>
  <c r="N719" i="1" s="1"/>
  <c r="M1493" i="1" a="1"/>
  <c r="M1493" i="1" s="1"/>
  <c r="M1477" i="1" a="1"/>
  <c r="M1477" i="1" s="1"/>
  <c r="M1461" i="1" a="1"/>
  <c r="M1461" i="1" s="1"/>
  <c r="M1445" i="1" a="1"/>
  <c r="M1445" i="1" s="1"/>
  <c r="N1445" i="1" s="1" a="1"/>
  <c r="N1445" i="1" s="1"/>
  <c r="M1429" i="1" a="1"/>
  <c r="M1429" i="1" s="1"/>
  <c r="N1429" i="1" s="1" a="1"/>
  <c r="N1429" i="1" s="1"/>
  <c r="M1413" i="1" a="1"/>
  <c r="M1413" i="1" s="1"/>
  <c r="M1397" i="1" a="1"/>
  <c r="M1397" i="1" s="1"/>
  <c r="N1397" i="1" s="1" a="1"/>
  <c r="N1397" i="1" s="1"/>
  <c r="M1381" i="1" a="1"/>
  <c r="M1381" i="1" s="1"/>
  <c r="N1381" i="1" s="1" a="1"/>
  <c r="N1381" i="1" s="1"/>
  <c r="M1365" i="1" a="1"/>
  <c r="M1365" i="1" s="1"/>
  <c r="N1365" i="1" s="1" a="1"/>
  <c r="N1365" i="1" s="1"/>
  <c r="M1341" i="1" a="1"/>
  <c r="M1341" i="1" s="1"/>
  <c r="M1325" i="1" a="1"/>
  <c r="M1325" i="1" s="1"/>
  <c r="M1309" i="1" a="1"/>
  <c r="M1309" i="1" s="1"/>
  <c r="N1309" i="1" s="1" a="1"/>
  <c r="N1309" i="1" s="1"/>
  <c r="M1293" i="1" a="1"/>
  <c r="M1293" i="1" s="1"/>
  <c r="N1293" i="1" s="1" a="1"/>
  <c r="N1293" i="1" s="1"/>
  <c r="M1277" i="1" a="1"/>
  <c r="M1277" i="1" s="1"/>
  <c r="M1261" i="1" a="1"/>
  <c r="M1261" i="1" s="1"/>
  <c r="M1245" i="1" a="1"/>
  <c r="M1245" i="1" s="1"/>
  <c r="N1245" i="1" s="1" a="1"/>
  <c r="N1245" i="1" s="1"/>
  <c r="M1229" i="1" a="1"/>
  <c r="M1229" i="1" s="1"/>
  <c r="M1213" i="1" a="1"/>
  <c r="M1213" i="1" s="1"/>
  <c r="M1197" i="1" a="1"/>
  <c r="M1197" i="1" s="1"/>
  <c r="M1181" i="1" a="1"/>
  <c r="M1181" i="1" s="1"/>
  <c r="N1181" i="1" s="1" a="1"/>
  <c r="N1181" i="1" s="1"/>
  <c r="M1165" i="1" a="1"/>
  <c r="M1165" i="1" s="1"/>
  <c r="N1165" i="1" s="1" a="1"/>
  <c r="N1165" i="1" s="1"/>
  <c r="M1149" i="1" a="1"/>
  <c r="M1149" i="1" s="1"/>
  <c r="M1133" i="1" a="1"/>
  <c r="M1133" i="1" s="1"/>
  <c r="M1117" i="1" a="1"/>
  <c r="M1117" i="1" s="1"/>
  <c r="N1117" i="1" s="1" a="1"/>
  <c r="N1117" i="1" s="1"/>
  <c r="M1093" i="1" a="1"/>
  <c r="M1093" i="1" s="1"/>
  <c r="M1077" i="1" a="1"/>
  <c r="M1077" i="1" s="1"/>
  <c r="M1061" i="1" a="1"/>
  <c r="M1061" i="1" s="1"/>
  <c r="M1045" i="1" a="1"/>
  <c r="M1045" i="1" s="1"/>
  <c r="N1045" i="1" s="1" a="1"/>
  <c r="N1045" i="1" s="1"/>
  <c r="M1029" i="1" a="1"/>
  <c r="M1029" i="1" s="1"/>
  <c r="N1029" i="1" s="1" a="1"/>
  <c r="N1029" i="1" s="1"/>
  <c r="M1013" i="1" a="1"/>
  <c r="M1013" i="1" s="1"/>
  <c r="M997" i="1" a="1"/>
  <c r="M997" i="1" s="1"/>
  <c r="M981" i="1" a="1"/>
  <c r="M981" i="1" s="1"/>
  <c r="N981" i="1" s="1" a="1"/>
  <c r="N981" i="1" s="1"/>
  <c r="M965" i="1" a="1"/>
  <c r="M965" i="1" s="1"/>
  <c r="N965" i="1" s="1" a="1"/>
  <c r="N965" i="1" s="1"/>
  <c r="M949" i="1" a="1"/>
  <c r="M949" i="1" s="1"/>
  <c r="M933" i="1" a="1"/>
  <c r="M933" i="1" s="1"/>
  <c r="M917" i="1" a="1"/>
  <c r="M917" i="1" s="1"/>
  <c r="N917" i="1" s="1" a="1"/>
  <c r="N917" i="1" s="1"/>
  <c r="M909" i="1" a="1"/>
  <c r="M909" i="1" s="1"/>
  <c r="N909" i="1" s="1" a="1"/>
  <c r="N909" i="1" s="1"/>
  <c r="M893" i="1" a="1"/>
  <c r="M893" i="1" s="1"/>
  <c r="M885" i="1" a="1"/>
  <c r="M885" i="1" s="1"/>
  <c r="N885" i="1" s="1" a="1"/>
  <c r="N885" i="1" s="1"/>
  <c r="M877" i="1" a="1"/>
  <c r="M877" i="1" s="1"/>
  <c r="N877" i="1" s="1" a="1"/>
  <c r="N877" i="1" s="1"/>
  <c r="M869" i="1" a="1"/>
  <c r="M869" i="1" s="1"/>
  <c r="M861" i="1" a="1"/>
  <c r="M861" i="1" s="1"/>
  <c r="M853" i="1" a="1"/>
  <c r="M853" i="1" s="1"/>
  <c r="M845" i="1" a="1"/>
  <c r="M845" i="1" s="1"/>
  <c r="N845" i="1" s="1" a="1"/>
  <c r="N845" i="1" s="1"/>
  <c r="M837" i="1" a="1"/>
  <c r="M837" i="1" s="1"/>
  <c r="N837" i="1" s="1" a="1"/>
  <c r="N837" i="1" s="1"/>
  <c r="M829" i="1" a="1"/>
  <c r="M829" i="1" s="1"/>
  <c r="M821" i="1" a="1"/>
  <c r="M821" i="1" s="1"/>
  <c r="N821" i="1" s="1" a="1"/>
  <c r="N821" i="1" s="1"/>
  <c r="M805" i="1" a="1"/>
  <c r="M805" i="1" s="1"/>
  <c r="N805" i="1" s="1" a="1"/>
  <c r="N805" i="1" s="1"/>
  <c r="M797" i="1" a="1"/>
  <c r="M797" i="1" s="1"/>
  <c r="M789" i="1" a="1"/>
  <c r="M789" i="1" s="1"/>
  <c r="M781" i="1" a="1"/>
  <c r="M781" i="1" s="1"/>
  <c r="M773" i="1" a="1"/>
  <c r="M773" i="1" s="1"/>
  <c r="N773" i="1" s="1" a="1"/>
  <c r="N773" i="1" s="1"/>
  <c r="M765" i="1" a="1"/>
  <c r="M765" i="1" s="1"/>
  <c r="N765" i="1" s="1" a="1"/>
  <c r="N765" i="1" s="1"/>
  <c r="M757" i="1" a="1"/>
  <c r="M757" i="1" s="1"/>
  <c r="M749" i="1" a="1"/>
  <c r="M749" i="1" s="1"/>
  <c r="M741" i="1" a="1"/>
  <c r="M741" i="1" s="1"/>
  <c r="N741" i="1" s="1" a="1"/>
  <c r="N741" i="1" s="1"/>
  <c r="M733" i="1" a="1"/>
  <c r="M733" i="1" s="1"/>
  <c r="M725" i="1" a="1"/>
  <c r="M725" i="1" s="1"/>
  <c r="M717" i="1" a="1"/>
  <c r="M717" i="1" s="1"/>
  <c r="M709" i="1" a="1"/>
  <c r="M709" i="1" s="1"/>
  <c r="N709" i="1" s="1" a="1"/>
  <c r="N709" i="1" s="1"/>
  <c r="M701" i="1" a="1"/>
  <c r="M701" i="1" s="1"/>
  <c r="N701" i="1" s="1" a="1"/>
  <c r="N701" i="1" s="1"/>
  <c r="M669" i="1" a="1"/>
  <c r="M669" i="1" s="1"/>
  <c r="M629" i="1" a="1"/>
  <c r="M629" i="1" s="1"/>
  <c r="M1501" i="1" a="1"/>
  <c r="M1501" i="1" s="1"/>
  <c r="N1501" i="1" s="1" a="1"/>
  <c r="N1501" i="1" s="1"/>
  <c r="M1485" i="1" a="1"/>
  <c r="M1485" i="1" s="1"/>
  <c r="N1485" i="1" s="1" a="1"/>
  <c r="N1485" i="1" s="1"/>
  <c r="M1469" i="1" a="1"/>
  <c r="M1469" i="1" s="1"/>
  <c r="M1453" i="1" a="1"/>
  <c r="M1453" i="1" s="1"/>
  <c r="M1437" i="1" a="1"/>
  <c r="M1437" i="1" s="1"/>
  <c r="N1437" i="1" s="1" a="1"/>
  <c r="N1437" i="1" s="1"/>
  <c r="M1421" i="1" a="1"/>
  <c r="M1421" i="1" s="1"/>
  <c r="N1421" i="1" s="1" a="1"/>
  <c r="N1421" i="1" s="1"/>
  <c r="M1405" i="1" a="1"/>
  <c r="M1405" i="1" s="1"/>
  <c r="M1389" i="1" a="1"/>
  <c r="M1389" i="1" s="1"/>
  <c r="M1373" i="1" a="1"/>
  <c r="M1373" i="1" s="1"/>
  <c r="N1373" i="1" s="1" a="1"/>
  <c r="N1373" i="1" s="1"/>
  <c r="M1357" i="1" a="1"/>
  <c r="M1357" i="1" s="1"/>
  <c r="M1349" i="1" a="1"/>
  <c r="M1349" i="1" s="1"/>
  <c r="M1333" i="1" a="1"/>
  <c r="M1333" i="1" s="1"/>
  <c r="M1317" i="1" a="1"/>
  <c r="M1317" i="1" s="1"/>
  <c r="N1317" i="1" s="1" a="1"/>
  <c r="N1317" i="1" s="1"/>
  <c r="M1301" i="1" a="1"/>
  <c r="M1301" i="1" s="1"/>
  <c r="N1301" i="1" s="1" a="1"/>
  <c r="N1301" i="1" s="1"/>
  <c r="M1285" i="1" a="1"/>
  <c r="M1285" i="1" s="1"/>
  <c r="M1269" i="1" a="1"/>
  <c r="M1269" i="1" s="1"/>
  <c r="N1269" i="1" s="1" a="1"/>
  <c r="N1269" i="1" s="1"/>
  <c r="M1253" i="1" a="1"/>
  <c r="M1253" i="1" s="1"/>
  <c r="M1237" i="1" a="1"/>
  <c r="M1237" i="1" s="1"/>
  <c r="M1221" i="1" a="1"/>
  <c r="M1221" i="1" s="1"/>
  <c r="M1205" i="1" a="1"/>
  <c r="M1205" i="1" s="1"/>
  <c r="M1189" i="1" a="1"/>
  <c r="M1189" i="1" s="1"/>
  <c r="N1189" i="1" s="1" a="1"/>
  <c r="N1189" i="1" s="1"/>
  <c r="M1173" i="1" a="1"/>
  <c r="M1173" i="1" s="1"/>
  <c r="N1173" i="1" s="1" a="1"/>
  <c r="N1173" i="1" s="1"/>
  <c r="M1157" i="1" a="1"/>
  <c r="M1157" i="1" s="1"/>
  <c r="M1141" i="1" a="1"/>
  <c r="M1141" i="1" s="1"/>
  <c r="N1141" i="1" s="1" a="1"/>
  <c r="N1141" i="1" s="1"/>
  <c r="M1125" i="1" a="1"/>
  <c r="M1125" i="1" s="1"/>
  <c r="N1125" i="1" s="1" a="1"/>
  <c r="N1125" i="1" s="1"/>
  <c r="M1109" i="1" a="1"/>
  <c r="M1109" i="1" s="1"/>
  <c r="N1109" i="1" s="1" a="1"/>
  <c r="N1109" i="1" s="1"/>
  <c r="M1101" i="1" a="1"/>
  <c r="M1101" i="1" s="1"/>
  <c r="M1085" i="1" a="1"/>
  <c r="M1085" i="1" s="1"/>
  <c r="M1069" i="1" a="1"/>
  <c r="M1069" i="1" s="1"/>
  <c r="N1069" i="1" s="1" a="1"/>
  <c r="N1069" i="1" s="1"/>
  <c r="M1053" i="1" a="1"/>
  <c r="M1053" i="1" s="1"/>
  <c r="N1053" i="1" s="1" a="1"/>
  <c r="N1053" i="1" s="1"/>
  <c r="M1037" i="1" a="1"/>
  <c r="M1037" i="1" s="1"/>
  <c r="M1021" i="1" a="1"/>
  <c r="M1021" i="1" s="1"/>
  <c r="N1021" i="1" s="1" a="1"/>
  <c r="N1021" i="1" s="1"/>
  <c r="M1005" i="1" a="1"/>
  <c r="M1005" i="1" s="1"/>
  <c r="N1005" i="1" s="1" a="1"/>
  <c r="N1005" i="1" s="1"/>
  <c r="M989" i="1" a="1"/>
  <c r="M989" i="1" s="1"/>
  <c r="M973" i="1" a="1"/>
  <c r="M973" i="1" s="1"/>
  <c r="M957" i="1" a="1"/>
  <c r="M957" i="1" s="1"/>
  <c r="M941" i="1" a="1"/>
  <c r="M941" i="1" s="1"/>
  <c r="N941" i="1" s="1" a="1"/>
  <c r="N941" i="1" s="1"/>
  <c r="M925" i="1" a="1"/>
  <c r="M925" i="1" s="1"/>
  <c r="N925" i="1" s="1" a="1"/>
  <c r="N925" i="1" s="1"/>
  <c r="M901" i="1" a="1"/>
  <c r="M901" i="1" s="1"/>
  <c r="M813" i="1" a="1"/>
  <c r="M813" i="1" s="1"/>
  <c r="M693" i="1" a="1"/>
  <c r="M693" i="1" s="1"/>
  <c r="N693" i="1" s="1" a="1"/>
  <c r="N693" i="1" s="1"/>
  <c r="M685" i="1" a="1"/>
  <c r="M685" i="1" s="1"/>
  <c r="M677" i="1" a="1"/>
  <c r="M677" i="1" s="1"/>
  <c r="M661" i="1" a="1"/>
  <c r="M661" i="1" s="1"/>
  <c r="M653" i="1" a="1"/>
  <c r="M653" i="1" s="1"/>
  <c r="N653" i="1" s="1" a="1"/>
  <c r="N653" i="1" s="1"/>
  <c r="M645" i="1" a="1"/>
  <c r="M645" i="1" s="1"/>
  <c r="N645" i="1" s="1" a="1"/>
  <c r="N645" i="1" s="1"/>
  <c r="M637" i="1" a="1"/>
  <c r="M637" i="1" s="1"/>
  <c r="M621" i="1" a="1"/>
  <c r="M621" i="1" s="1"/>
  <c r="M613" i="1" a="1"/>
  <c r="M613" i="1" s="1"/>
  <c r="N613" i="1" s="1" a="1"/>
  <c r="N613" i="1" s="1"/>
  <c r="M605" i="1" a="1"/>
  <c r="M605" i="1" s="1"/>
  <c r="M597" i="1" a="1"/>
  <c r="M597" i="1" s="1"/>
  <c r="M589" i="1" a="1"/>
  <c r="M589" i="1" s="1"/>
  <c r="M581" i="1" a="1"/>
  <c r="M581" i="1" s="1"/>
  <c r="N581" i="1" s="1" a="1"/>
  <c r="N581" i="1" s="1"/>
  <c r="M573" i="1" a="1"/>
  <c r="M573" i="1" s="1"/>
  <c r="N573" i="1" s="1" a="1"/>
  <c r="N573" i="1" s="1"/>
  <c r="M565" i="1" a="1"/>
  <c r="M565" i="1" s="1"/>
  <c r="M557" i="1" a="1"/>
  <c r="M557" i="1" s="1"/>
  <c r="M549" i="1" a="1"/>
  <c r="M549" i="1" s="1"/>
  <c r="N549" i="1" s="1" a="1"/>
  <c r="N549" i="1" s="1"/>
  <c r="M541" i="1" a="1"/>
  <c r="M541" i="1" s="1"/>
  <c r="M533" i="1" a="1"/>
  <c r="M533" i="1" s="1"/>
  <c r="M525" i="1" a="1"/>
  <c r="M525" i="1" s="1"/>
  <c r="M517" i="1" a="1"/>
  <c r="M517" i="1" s="1"/>
  <c r="N517" i="1" s="1" a="1"/>
  <c r="N517" i="1" s="1"/>
  <c r="M509" i="1" a="1"/>
  <c r="M509" i="1" s="1"/>
  <c r="N509" i="1" s="1" a="1"/>
  <c r="N509" i="1" s="1"/>
  <c r="M501" i="1" a="1"/>
  <c r="M501" i="1" s="1"/>
  <c r="M493" i="1" a="1"/>
  <c r="M493" i="1" s="1"/>
  <c r="M485" i="1" a="1"/>
  <c r="M485" i="1" s="1"/>
  <c r="N485" i="1" s="1" a="1"/>
  <c r="N485" i="1" s="1"/>
  <c r="M477" i="1" a="1"/>
  <c r="M477" i="1" s="1"/>
  <c r="M469" i="1" a="1"/>
  <c r="M469" i="1" s="1"/>
  <c r="M461" i="1" a="1"/>
  <c r="M461" i="1" s="1"/>
  <c r="M453" i="1" a="1"/>
  <c r="M453" i="1" s="1"/>
  <c r="N453" i="1" s="1" a="1"/>
  <c r="N453" i="1" s="1"/>
  <c r="M445" i="1" a="1"/>
  <c r="M445" i="1" s="1"/>
  <c r="N445" i="1" s="1" a="1"/>
  <c r="N445" i="1" s="1"/>
  <c r="M437" i="1" a="1"/>
  <c r="M437" i="1" s="1"/>
  <c r="M429" i="1" a="1"/>
  <c r="M429" i="1" s="1"/>
  <c r="M421" i="1" a="1"/>
  <c r="M421" i="1" s="1"/>
  <c r="N421" i="1" s="1" a="1"/>
  <c r="N421" i="1" s="1"/>
  <c r="M413" i="1" a="1"/>
  <c r="M413" i="1" s="1"/>
  <c r="M405" i="1" a="1"/>
  <c r="M405" i="1" s="1"/>
  <c r="M397" i="1" a="1"/>
  <c r="M397" i="1" s="1"/>
  <c r="M389" i="1" a="1"/>
  <c r="M389" i="1" s="1"/>
  <c r="N389" i="1" s="1" a="1"/>
  <c r="N389" i="1" s="1"/>
  <c r="M381" i="1" a="1"/>
  <c r="M381" i="1" s="1"/>
  <c r="N381" i="1" s="1" a="1"/>
  <c r="N381" i="1" s="1"/>
  <c r="M373" i="1" a="1"/>
  <c r="M373" i="1" s="1"/>
  <c r="M365" i="1" a="1"/>
  <c r="M365" i="1" s="1"/>
  <c r="M357" i="1" a="1"/>
  <c r="M357" i="1" s="1"/>
  <c r="N357" i="1" s="1" a="1"/>
  <c r="N357" i="1" s="1"/>
  <c r="M349" i="1" a="1"/>
  <c r="M349" i="1" s="1"/>
  <c r="M341" i="1" a="1"/>
  <c r="M341" i="1" s="1"/>
  <c r="M333" i="1" a="1"/>
  <c r="M333" i="1" s="1"/>
  <c r="M325" i="1" a="1"/>
  <c r="M325" i="1" s="1"/>
  <c r="N325" i="1" s="1" a="1"/>
  <c r="N325" i="1" s="1"/>
  <c r="M317" i="1" a="1"/>
  <c r="M317" i="1" s="1"/>
  <c r="N317" i="1" s="1" a="1"/>
  <c r="N317" i="1" s="1"/>
  <c r="M309" i="1" a="1"/>
  <c r="M309" i="1" s="1"/>
  <c r="M301" i="1" a="1"/>
  <c r="M301" i="1" s="1"/>
  <c r="M293" i="1" a="1"/>
  <c r="M293" i="1" s="1"/>
  <c r="N293" i="1" s="1" a="1"/>
  <c r="N293" i="1" s="1"/>
  <c r="M285" i="1" a="1"/>
  <c r="M285" i="1" s="1"/>
  <c r="N285" i="1" s="1" a="1"/>
  <c r="N285" i="1" s="1"/>
  <c r="M277" i="1" a="1"/>
  <c r="M277" i="1" s="1"/>
  <c r="M269" i="1" a="1"/>
  <c r="M269" i="1" s="1"/>
  <c r="M261" i="1" a="1"/>
  <c r="M261" i="1" s="1"/>
  <c r="N261" i="1" s="1" a="1"/>
  <c r="N261" i="1" s="1"/>
  <c r="M253" i="1" a="1"/>
  <c r="M253" i="1" s="1"/>
  <c r="N253" i="1" s="1" a="1"/>
  <c r="N253" i="1" s="1"/>
  <c r="M245" i="1" a="1"/>
  <c r="M245" i="1" s="1"/>
  <c r="M237" i="1" a="1"/>
  <c r="M237" i="1" s="1"/>
  <c r="M229" i="1" a="1"/>
  <c r="M229" i="1" s="1"/>
  <c r="N229" i="1" s="1" a="1"/>
  <c r="N229" i="1" s="1"/>
  <c r="M221" i="1" a="1"/>
  <c r="M221" i="1" s="1"/>
  <c r="M213" i="1" a="1"/>
  <c r="M213" i="1" s="1"/>
  <c r="M205" i="1" a="1"/>
  <c r="M205" i="1" s="1"/>
  <c r="M197" i="1" a="1"/>
  <c r="M197" i="1" s="1"/>
  <c r="N197" i="1" s="1" a="1"/>
  <c r="N197" i="1" s="1"/>
  <c r="M189" i="1" a="1"/>
  <c r="M189" i="1" s="1"/>
  <c r="N189" i="1" s="1" a="1"/>
  <c r="N189" i="1" s="1"/>
  <c r="M181" i="1" a="1"/>
  <c r="M181" i="1" s="1"/>
  <c r="M173" i="1" a="1"/>
  <c r="M173" i="1" s="1"/>
  <c r="M165" i="1" a="1"/>
  <c r="M165" i="1" s="1"/>
  <c r="N165" i="1" s="1" a="1"/>
  <c r="N165" i="1" s="1"/>
  <c r="M157" i="1" a="1"/>
  <c r="M157" i="1" s="1"/>
  <c r="M149" i="1" a="1"/>
  <c r="M149" i="1" s="1"/>
  <c r="M141" i="1" a="1"/>
  <c r="M141" i="1" s="1"/>
  <c r="M133" i="1" a="1"/>
  <c r="M133" i="1" s="1"/>
  <c r="N133" i="1" s="1" a="1"/>
  <c r="N133" i="1" s="1"/>
  <c r="M125" i="1" a="1"/>
  <c r="M125" i="1" s="1"/>
  <c r="N125" i="1" s="1" a="1"/>
  <c r="N125" i="1" s="1"/>
  <c r="M117" i="1" a="1"/>
  <c r="M117" i="1" s="1"/>
  <c r="M109" i="1" a="1"/>
  <c r="M109" i="1" s="1"/>
  <c r="M101" i="1" a="1"/>
  <c r="M101" i="1" s="1"/>
  <c r="N101" i="1" s="1" a="1"/>
  <c r="N101" i="1" s="1"/>
  <c r="M93" i="1" a="1"/>
  <c r="M93" i="1" s="1"/>
  <c r="M85" i="1" a="1"/>
  <c r="M85" i="1" s="1"/>
  <c r="M77" i="1" a="1"/>
  <c r="M77" i="1" s="1"/>
  <c r="M69" i="1" a="1"/>
  <c r="M69" i="1" s="1"/>
  <c r="N69" i="1" s="1" a="1"/>
  <c r="N69" i="1" s="1"/>
  <c r="M61" i="1" a="1"/>
  <c r="M61" i="1" s="1"/>
  <c r="N61" i="1" s="1" a="1"/>
  <c r="N61" i="1" s="1"/>
  <c r="M53" i="1" a="1"/>
  <c r="M53" i="1" s="1"/>
  <c r="M45" i="1" a="1"/>
  <c r="M45" i="1" s="1"/>
  <c r="M37" i="1" a="1"/>
  <c r="M37" i="1" s="1"/>
  <c r="N37" i="1" s="1" a="1"/>
  <c r="N37" i="1" s="1"/>
  <c r="M29" i="1" a="1"/>
  <c r="M29" i="1" s="1"/>
  <c r="M21" i="1" a="1"/>
  <c r="M21" i="1" s="1"/>
  <c r="M13" i="1" a="1"/>
  <c r="M13" i="1" s="1"/>
  <c r="M980" i="1" a="1"/>
  <c r="M980" i="1" s="1"/>
  <c r="N980" i="1" s="1" a="1"/>
  <c r="N980" i="1" s="1"/>
  <c r="M1474" i="1" a="1"/>
  <c r="M1474" i="1" s="1"/>
  <c r="N1474" i="1" s="1" a="1"/>
  <c r="N1474" i="1" s="1"/>
  <c r="M1434" i="1" a="1"/>
  <c r="M1434" i="1" s="1"/>
  <c r="M1402" i="1" a="1"/>
  <c r="M1402" i="1" s="1"/>
  <c r="M1370" i="1" a="1"/>
  <c r="M1370" i="1" s="1"/>
  <c r="N1370" i="1" s="1" a="1"/>
  <c r="N1370" i="1" s="1"/>
  <c r="M1330" i="1" a="1"/>
  <c r="M1330" i="1" s="1"/>
  <c r="N1330" i="1" s="1" a="1"/>
  <c r="N1330" i="1" s="1"/>
  <c r="M1290" i="1" a="1"/>
  <c r="M1290" i="1" s="1"/>
  <c r="M1234" i="1" a="1"/>
  <c r="M1234" i="1" s="1"/>
  <c r="N1234" i="1" s="1" a="1"/>
  <c r="N1234" i="1" s="1"/>
  <c r="M1202" i="1" a="1"/>
  <c r="M1202" i="1" s="1"/>
  <c r="N1202" i="1" s="1" a="1"/>
  <c r="N1202" i="1" s="1"/>
  <c r="M1162" i="1" a="1"/>
  <c r="M1162" i="1" s="1"/>
  <c r="N1162" i="1" s="1" a="1"/>
  <c r="N1162" i="1" s="1"/>
  <c r="M1114" i="1" a="1"/>
  <c r="M1114" i="1" s="1"/>
  <c r="M1074" i="1" a="1"/>
  <c r="M1074" i="1" s="1"/>
  <c r="M1034" i="1" a="1"/>
  <c r="M1034" i="1" s="1"/>
  <c r="N1034" i="1" s="1" a="1"/>
  <c r="N1034" i="1" s="1"/>
  <c r="M994" i="1" a="1"/>
  <c r="M994" i="1" s="1"/>
  <c r="N994" i="1" s="1" a="1"/>
  <c r="N994" i="1" s="1"/>
  <c r="M954" i="1" a="1"/>
  <c r="M954" i="1" s="1"/>
  <c r="M922" i="1" a="1"/>
  <c r="M922" i="1" s="1"/>
  <c r="M882" i="1" a="1"/>
  <c r="M882" i="1" s="1"/>
  <c r="N882" i="1" s="1" a="1"/>
  <c r="N882" i="1" s="1"/>
  <c r="M834" i="1" a="1"/>
  <c r="M834" i="1" s="1"/>
  <c r="N834" i="1" s="1" a="1"/>
  <c r="N834" i="1" s="1"/>
  <c r="M778" i="1" a="1"/>
  <c r="M778" i="1" s="1"/>
  <c r="M714" i="1" a="1"/>
  <c r="M714" i="1" s="1"/>
  <c r="M1498" i="1" a="1"/>
  <c r="M1498" i="1" s="1"/>
  <c r="N1498" i="1" s="1" a="1"/>
  <c r="N1498" i="1" s="1"/>
  <c r="M1466" i="1" a="1"/>
  <c r="M1466" i="1" s="1"/>
  <c r="N1466" i="1" s="1" a="1"/>
  <c r="N1466" i="1" s="1"/>
  <c r="M1442" i="1" a="1"/>
  <c r="M1442" i="1" s="1"/>
  <c r="M1410" i="1" a="1"/>
  <c r="M1410" i="1" s="1"/>
  <c r="N1410" i="1" s="1" a="1"/>
  <c r="N1410" i="1" s="1"/>
  <c r="M1386" i="1" a="1"/>
  <c r="M1386" i="1" s="1"/>
  <c r="N1386" i="1" s="1" a="1"/>
  <c r="N1386" i="1" s="1"/>
  <c r="M1354" i="1" a="1"/>
  <c r="M1354" i="1" s="1"/>
  <c r="N1354" i="1" s="1" a="1"/>
  <c r="N1354" i="1" s="1"/>
  <c r="M1322" i="1" a="1"/>
  <c r="M1322" i="1" s="1"/>
  <c r="M1298" i="1" a="1"/>
  <c r="M1298" i="1" s="1"/>
  <c r="M1266" i="1" a="1"/>
  <c r="M1266" i="1" s="1"/>
  <c r="N1266" i="1" s="1" a="1"/>
  <c r="N1266" i="1" s="1"/>
  <c r="M1258" i="1" a="1"/>
  <c r="M1258" i="1" s="1"/>
  <c r="N1258" i="1" s="1" a="1"/>
  <c r="N1258" i="1" s="1"/>
  <c r="M1226" i="1" a="1"/>
  <c r="M1226" i="1" s="1"/>
  <c r="M1194" i="1" a="1"/>
  <c r="M1194" i="1" s="1"/>
  <c r="N1194" i="1" s="1" a="1"/>
  <c r="N1194" i="1" s="1"/>
  <c r="M1170" i="1" a="1"/>
  <c r="M1170" i="1" s="1"/>
  <c r="N1170" i="1" s="1" a="1"/>
  <c r="N1170" i="1" s="1"/>
  <c r="M1146" i="1" a="1"/>
  <c r="M1146" i="1" s="1"/>
  <c r="N1146" i="1" s="1" a="1"/>
  <c r="N1146" i="1" s="1"/>
  <c r="M1122" i="1" a="1"/>
  <c r="M1122" i="1" s="1"/>
  <c r="M1090" i="1" a="1"/>
  <c r="M1090" i="1" s="1"/>
  <c r="N1090" i="1" s="1" a="1"/>
  <c r="N1090" i="1" s="1"/>
  <c r="M1058" i="1" a="1"/>
  <c r="M1058" i="1" s="1"/>
  <c r="N1058" i="1" s="1" a="1"/>
  <c r="N1058" i="1" s="1"/>
  <c r="M1026" i="1" a="1"/>
  <c r="M1026" i="1" s="1"/>
  <c r="N1026" i="1" s="1" a="1"/>
  <c r="N1026" i="1" s="1"/>
  <c r="M1002" i="1" a="1"/>
  <c r="M1002" i="1" s="1"/>
  <c r="M978" i="1" a="1"/>
  <c r="M978" i="1" s="1"/>
  <c r="N978" i="1" s="1" a="1"/>
  <c r="N978" i="1" s="1"/>
  <c r="M946" i="1" a="1"/>
  <c r="M946" i="1" s="1"/>
  <c r="N946" i="1" s="1" a="1"/>
  <c r="N946" i="1" s="1"/>
  <c r="M914" i="1" a="1"/>
  <c r="M914" i="1" s="1"/>
  <c r="N914" i="1" s="1" a="1"/>
  <c r="N914" i="1" s="1"/>
  <c r="M890" i="1" a="1"/>
  <c r="M890" i="1" s="1"/>
  <c r="M866" i="1" a="1"/>
  <c r="M866" i="1" s="1"/>
  <c r="M842" i="1" a="1"/>
  <c r="M842" i="1" s="1"/>
  <c r="N842" i="1" s="1" a="1"/>
  <c r="N842" i="1" s="1"/>
  <c r="M818" i="1" a="1"/>
  <c r="M818" i="1" s="1"/>
  <c r="N818" i="1" s="1" a="1"/>
  <c r="N818" i="1" s="1"/>
  <c r="M794" i="1" a="1"/>
  <c r="M794" i="1" s="1"/>
  <c r="M770" i="1" a="1"/>
  <c r="M770" i="1" s="1"/>
  <c r="N770" i="1" s="1" a="1"/>
  <c r="N770" i="1" s="1"/>
  <c r="M754" i="1" a="1"/>
  <c r="M754" i="1" s="1"/>
  <c r="N754" i="1" s="1" a="1"/>
  <c r="N754" i="1" s="1"/>
  <c r="M738" i="1" a="1"/>
  <c r="M738" i="1" s="1"/>
  <c r="N738" i="1" s="1" a="1"/>
  <c r="N738" i="1" s="1"/>
  <c r="M698" i="1" a="1"/>
  <c r="M698" i="1" s="1"/>
  <c r="M1490" i="1" a="1"/>
  <c r="M1490" i="1" s="1"/>
  <c r="N1490" i="1" s="1" a="1"/>
  <c r="N1490" i="1" s="1"/>
  <c r="M1458" i="1" a="1"/>
  <c r="M1458" i="1" s="1"/>
  <c r="N1458" i="1" s="1" a="1"/>
  <c r="N1458" i="1" s="1"/>
  <c r="M1426" i="1" a="1"/>
  <c r="M1426" i="1" s="1"/>
  <c r="N1426" i="1" s="1" a="1"/>
  <c r="N1426" i="1" s="1"/>
  <c r="M1394" i="1" a="1"/>
  <c r="M1394" i="1" s="1"/>
  <c r="M1362" i="1" a="1"/>
  <c r="M1362" i="1" s="1"/>
  <c r="M1338" i="1" a="1"/>
  <c r="M1338" i="1" s="1"/>
  <c r="N1338" i="1" s="1" a="1"/>
  <c r="N1338" i="1" s="1"/>
  <c r="M1306" i="1" a="1"/>
  <c r="M1306" i="1" s="1"/>
  <c r="M1282" i="1" a="1"/>
  <c r="M1282" i="1" s="1"/>
  <c r="M1250" i="1" a="1"/>
  <c r="M1250" i="1" s="1"/>
  <c r="N1250" i="1" s="1" a="1"/>
  <c r="N1250" i="1" s="1"/>
  <c r="M1218" i="1" a="1"/>
  <c r="M1218" i="1" s="1"/>
  <c r="N1218" i="1" s="1" a="1"/>
  <c r="N1218" i="1" s="1"/>
  <c r="M1186" i="1" a="1"/>
  <c r="M1186" i="1" s="1"/>
  <c r="M1154" i="1" a="1"/>
  <c r="M1154" i="1" s="1"/>
  <c r="M1130" i="1" a="1"/>
  <c r="M1130" i="1" s="1"/>
  <c r="M1098" i="1" a="1"/>
  <c r="M1098" i="1" s="1"/>
  <c r="N1098" i="1" s="1" a="1"/>
  <c r="N1098" i="1" s="1"/>
  <c r="M1066" i="1" a="1"/>
  <c r="M1066" i="1" s="1"/>
  <c r="N1066" i="1" s="1" a="1"/>
  <c r="N1066" i="1" s="1"/>
  <c r="M1042" i="1" a="1"/>
  <c r="M1042" i="1" s="1"/>
  <c r="M1018" i="1" a="1"/>
  <c r="M1018" i="1" s="1"/>
  <c r="N1018" i="1" s="1" a="1"/>
  <c r="N1018" i="1" s="1"/>
  <c r="M986" i="1" a="1"/>
  <c r="M986" i="1" s="1"/>
  <c r="N986" i="1" s="1" a="1"/>
  <c r="N986" i="1" s="1"/>
  <c r="M962" i="1" a="1"/>
  <c r="M962" i="1" s="1"/>
  <c r="N962" i="1" s="1" a="1"/>
  <c r="N962" i="1" s="1"/>
  <c r="M930" i="1" a="1"/>
  <c r="M930" i="1" s="1"/>
  <c r="M898" i="1" a="1"/>
  <c r="M898" i="1" s="1"/>
  <c r="N898" i="1" s="1" a="1"/>
  <c r="N898" i="1" s="1"/>
  <c r="M874" i="1" a="1"/>
  <c r="M874" i="1" s="1"/>
  <c r="N874" i="1" s="1" a="1"/>
  <c r="N874" i="1" s="1"/>
  <c r="M850" i="1" a="1"/>
  <c r="M850" i="1" s="1"/>
  <c r="N850" i="1" s="1" a="1"/>
  <c r="N850" i="1" s="1"/>
  <c r="M826" i="1" a="1"/>
  <c r="M826" i="1" s="1"/>
  <c r="M802" i="1" a="1"/>
  <c r="M802" i="1" s="1"/>
  <c r="N802" i="1" s="1" a="1"/>
  <c r="N802" i="1" s="1"/>
  <c r="M786" i="1" a="1"/>
  <c r="M786" i="1" s="1"/>
  <c r="N786" i="1" s="1" a="1"/>
  <c r="N786" i="1" s="1"/>
  <c r="M762" i="1" a="1"/>
  <c r="M762" i="1" s="1"/>
  <c r="N762" i="1" s="1" a="1"/>
  <c r="N762" i="1" s="1"/>
  <c r="M746" i="1" a="1"/>
  <c r="M746" i="1" s="1"/>
  <c r="M722" i="1" a="1"/>
  <c r="M722" i="1" s="1"/>
  <c r="M706" i="1" a="1"/>
  <c r="M706" i="1" s="1"/>
  <c r="N706" i="1" s="1" a="1"/>
  <c r="N706" i="1" s="1"/>
  <c r="M1482" i="1" a="1"/>
  <c r="M1482" i="1" s="1"/>
  <c r="N1482" i="1" s="1" a="1"/>
  <c r="N1482" i="1" s="1"/>
  <c r="M1450" i="1" a="1"/>
  <c r="M1450" i="1" s="1"/>
  <c r="M1418" i="1" a="1"/>
  <c r="M1418" i="1" s="1"/>
  <c r="M1378" i="1" a="1"/>
  <c r="M1378" i="1" s="1"/>
  <c r="N1378" i="1" s="1" a="1"/>
  <c r="N1378" i="1" s="1"/>
  <c r="M1346" i="1" a="1"/>
  <c r="M1346" i="1" s="1"/>
  <c r="M1314" i="1" a="1"/>
  <c r="M1314" i="1" s="1"/>
  <c r="M1274" i="1" a="1"/>
  <c r="M1274" i="1" s="1"/>
  <c r="N1274" i="1" s="1" a="1"/>
  <c r="N1274" i="1" s="1"/>
  <c r="M1242" i="1" a="1"/>
  <c r="M1242" i="1" s="1"/>
  <c r="N1242" i="1" s="1" a="1"/>
  <c r="N1242" i="1" s="1"/>
  <c r="M1210" i="1" a="1"/>
  <c r="M1210" i="1" s="1"/>
  <c r="N1210" i="1" s="1" a="1"/>
  <c r="N1210" i="1" s="1"/>
  <c r="M1178" i="1" a="1"/>
  <c r="M1178" i="1" s="1"/>
  <c r="M1138" i="1" a="1"/>
  <c r="M1138" i="1" s="1"/>
  <c r="N1138" i="1" s="1" a="1"/>
  <c r="N1138" i="1" s="1"/>
  <c r="M1106" i="1" a="1"/>
  <c r="M1106" i="1" s="1"/>
  <c r="N1106" i="1" s="1" a="1"/>
  <c r="N1106" i="1" s="1"/>
  <c r="M1082" i="1" a="1"/>
  <c r="M1082" i="1" s="1"/>
  <c r="N1082" i="1" s="1" a="1"/>
  <c r="N1082" i="1" s="1"/>
  <c r="M1050" i="1" a="1"/>
  <c r="M1050" i="1" s="1"/>
  <c r="M1010" i="1" a="1"/>
  <c r="M1010" i="1" s="1"/>
  <c r="N1010" i="1" s="1" a="1"/>
  <c r="N1010" i="1" s="1"/>
  <c r="M970" i="1" a="1"/>
  <c r="M970" i="1" s="1"/>
  <c r="N970" i="1" s="1" a="1"/>
  <c r="N970" i="1" s="1"/>
  <c r="M938" i="1" a="1"/>
  <c r="M938" i="1" s="1"/>
  <c r="N938" i="1" s="1" a="1"/>
  <c r="N938" i="1" s="1"/>
  <c r="M906" i="1" a="1"/>
  <c r="M906" i="1" s="1"/>
  <c r="M858" i="1" a="1"/>
  <c r="M858" i="1" s="1"/>
  <c r="N858" i="1" s="1" a="1"/>
  <c r="N858" i="1" s="1"/>
  <c r="M810" i="1" a="1"/>
  <c r="M810" i="1" s="1"/>
  <c r="N810" i="1" s="1" a="1"/>
  <c r="N810" i="1" s="1"/>
  <c r="M730" i="1" a="1"/>
  <c r="M730" i="1" s="1"/>
  <c r="M690" i="1" a="1"/>
  <c r="M690" i="1" s="1"/>
  <c r="M682" i="1" a="1"/>
  <c r="M682" i="1" s="1"/>
  <c r="N682" i="1" s="1" a="1"/>
  <c r="N682" i="1" s="1"/>
  <c r="M674" i="1" a="1"/>
  <c r="M674" i="1" s="1"/>
  <c r="N674" i="1" s="1" a="1"/>
  <c r="N674" i="1" s="1"/>
  <c r="M666" i="1" a="1"/>
  <c r="M666" i="1" s="1"/>
  <c r="N666" i="1" s="1" a="1"/>
  <c r="N666" i="1" s="1"/>
  <c r="M658" i="1" a="1"/>
  <c r="M658" i="1" s="1"/>
  <c r="M650" i="1" a="1"/>
  <c r="M650" i="1" s="1"/>
  <c r="N650" i="1" s="1" a="1"/>
  <c r="N650" i="1" s="1"/>
  <c r="M634" i="1" a="1"/>
  <c r="M634" i="1" s="1"/>
  <c r="N634" i="1" s="1" a="1"/>
  <c r="N634" i="1" s="1"/>
  <c r="M626" i="1" a="1"/>
  <c r="M626" i="1" s="1"/>
  <c r="M618" i="1" a="1"/>
  <c r="M618" i="1" s="1"/>
  <c r="M610" i="1" a="1"/>
  <c r="M610" i="1" s="1"/>
  <c r="N610" i="1" s="1" a="1"/>
  <c r="N610" i="1" s="1"/>
  <c r="M602" i="1" a="1"/>
  <c r="M602" i="1" s="1"/>
  <c r="N602" i="1" s="1" a="1"/>
  <c r="N602" i="1" s="1"/>
  <c r="M594" i="1" a="1"/>
  <c r="M594" i="1" s="1"/>
  <c r="N594" i="1" s="1" a="1"/>
  <c r="N594" i="1" s="1"/>
  <c r="M586" i="1" a="1"/>
  <c r="M586" i="1" s="1"/>
  <c r="M578" i="1" a="1"/>
  <c r="M578" i="1" s="1"/>
  <c r="N578" i="1" s="1" a="1"/>
  <c r="N578" i="1" s="1"/>
  <c r="M570" i="1" a="1"/>
  <c r="M570" i="1" s="1"/>
  <c r="N570" i="1" s="1" a="1"/>
  <c r="N570" i="1" s="1"/>
  <c r="M562" i="1" a="1"/>
  <c r="M562" i="1" s="1"/>
  <c r="N562" i="1" s="1" a="1"/>
  <c r="N562" i="1" s="1"/>
  <c r="M554" i="1" a="1"/>
  <c r="M554" i="1" s="1"/>
  <c r="M546" i="1" a="1"/>
  <c r="M546" i="1" s="1"/>
  <c r="N546" i="1" s="1" a="1"/>
  <c r="N546" i="1" s="1"/>
  <c r="M538" i="1" a="1"/>
  <c r="M538" i="1" s="1"/>
  <c r="N538" i="1" s="1" a="1"/>
  <c r="N538" i="1" s="1"/>
  <c r="M530" i="1" a="1"/>
  <c r="M530" i="1" s="1"/>
  <c r="N530" i="1" s="1" a="1"/>
  <c r="N530" i="1" s="1"/>
  <c r="M522" i="1" a="1"/>
  <c r="M522" i="1" s="1"/>
  <c r="M514" i="1" a="1"/>
  <c r="M514" i="1" s="1"/>
  <c r="M506" i="1" a="1"/>
  <c r="M506" i="1" s="1"/>
  <c r="N506" i="1" s="1" a="1"/>
  <c r="N506" i="1" s="1"/>
  <c r="M498" i="1" a="1"/>
  <c r="M498" i="1" s="1"/>
  <c r="N498" i="1" s="1" a="1"/>
  <c r="N498" i="1" s="1"/>
  <c r="M490" i="1" a="1"/>
  <c r="M490" i="1" s="1"/>
  <c r="M482" i="1" a="1"/>
  <c r="M482" i="1" s="1"/>
  <c r="N482" i="1" s="1" a="1"/>
  <c r="N482" i="1" s="1"/>
  <c r="M474" i="1" a="1"/>
  <c r="M474" i="1" s="1"/>
  <c r="N474" i="1" s="1" a="1"/>
  <c r="N474" i="1" s="1"/>
  <c r="M466" i="1" a="1"/>
  <c r="M466" i="1" s="1"/>
  <c r="N466" i="1" s="1" a="1"/>
  <c r="N466" i="1" s="1"/>
  <c r="M458" i="1" a="1"/>
  <c r="M458" i="1" s="1"/>
  <c r="M450" i="1" a="1"/>
  <c r="M450" i="1" s="1"/>
  <c r="N450" i="1" s="1" a="1"/>
  <c r="N450" i="1" s="1"/>
  <c r="M442" i="1" a="1"/>
  <c r="M442" i="1" s="1"/>
  <c r="N442" i="1" s="1" a="1"/>
  <c r="N442" i="1" s="1"/>
  <c r="M434" i="1" a="1"/>
  <c r="M434" i="1" s="1"/>
  <c r="N434" i="1" s="1" a="1"/>
  <c r="N434" i="1" s="1"/>
  <c r="M426" i="1" a="1"/>
  <c r="M426" i="1" s="1"/>
  <c r="M418" i="1" a="1"/>
  <c r="M418" i="1" s="1"/>
  <c r="N418" i="1" s="1" a="1"/>
  <c r="N418" i="1" s="1"/>
  <c r="M410" i="1" a="1"/>
  <c r="M410" i="1" s="1"/>
  <c r="N410" i="1" s="1" a="1"/>
  <c r="N410" i="1" s="1"/>
  <c r="M402" i="1" a="1"/>
  <c r="M402" i="1" s="1"/>
  <c r="N402" i="1" s="1" a="1"/>
  <c r="N402" i="1" s="1"/>
  <c r="M394" i="1" a="1"/>
  <c r="M394" i="1" s="1"/>
  <c r="M386" i="1" a="1"/>
  <c r="M386" i="1" s="1"/>
  <c r="N386" i="1" s="1" a="1"/>
  <c r="N386" i="1" s="1"/>
  <c r="M378" i="1" a="1"/>
  <c r="M378" i="1" s="1"/>
  <c r="N378" i="1" s="1" a="1"/>
  <c r="N378" i="1" s="1"/>
  <c r="M370" i="1" a="1"/>
  <c r="M370" i="1" s="1"/>
  <c r="N370" i="1" s="1" a="1"/>
  <c r="N370" i="1" s="1"/>
  <c r="M362" i="1" a="1"/>
  <c r="M362" i="1" s="1"/>
  <c r="M354" i="1" a="1"/>
  <c r="M354" i="1" s="1"/>
  <c r="N354" i="1" s="1" a="1"/>
  <c r="N354" i="1" s="1"/>
  <c r="M346" i="1" a="1"/>
  <c r="M346" i="1" s="1"/>
  <c r="N346" i="1" s="1" a="1"/>
  <c r="N346" i="1" s="1"/>
  <c r="M338" i="1" a="1"/>
  <c r="M338" i="1" s="1"/>
  <c r="N338" i="1" s="1" a="1"/>
  <c r="N338" i="1" s="1"/>
  <c r="M330" i="1" a="1"/>
  <c r="M330" i="1" s="1"/>
  <c r="M322" i="1" a="1"/>
  <c r="M322" i="1" s="1"/>
  <c r="N322" i="1" s="1" a="1"/>
  <c r="N322" i="1" s="1"/>
  <c r="M314" i="1" a="1"/>
  <c r="M314" i="1" s="1"/>
  <c r="N314" i="1" s="1" a="1"/>
  <c r="N314" i="1" s="1"/>
  <c r="M306" i="1" a="1"/>
  <c r="M306" i="1" s="1"/>
  <c r="N306" i="1" s="1" a="1"/>
  <c r="N306" i="1" s="1"/>
  <c r="M298" i="1" a="1"/>
  <c r="M298" i="1" s="1"/>
  <c r="M290" i="1" a="1"/>
  <c r="M290" i="1" s="1"/>
  <c r="N290" i="1" s="1" a="1"/>
  <c r="N290" i="1" s="1"/>
  <c r="M282" i="1" a="1"/>
  <c r="M282" i="1" s="1"/>
  <c r="N282" i="1" s="1" a="1"/>
  <c r="N282" i="1" s="1"/>
  <c r="M274" i="1" a="1"/>
  <c r="M274" i="1" s="1"/>
  <c r="N274" i="1" s="1" a="1"/>
  <c r="N274" i="1" s="1"/>
  <c r="M266" i="1" a="1"/>
  <c r="M266" i="1" s="1"/>
  <c r="M258" i="1" a="1"/>
  <c r="M258" i="1" s="1"/>
  <c r="N258" i="1" s="1" a="1"/>
  <c r="N258" i="1" s="1"/>
  <c r="M250" i="1" a="1"/>
  <c r="M250" i="1" s="1"/>
  <c r="N250" i="1" s="1" a="1"/>
  <c r="N250" i="1" s="1"/>
  <c r="M242" i="1" a="1"/>
  <c r="M242" i="1" s="1"/>
  <c r="N242" i="1" s="1" a="1"/>
  <c r="N242" i="1" s="1"/>
  <c r="M234" i="1" a="1"/>
  <c r="M234" i="1" s="1"/>
  <c r="M226" i="1" a="1"/>
  <c r="M226" i="1" s="1"/>
  <c r="N226" i="1" s="1" a="1"/>
  <c r="N226" i="1" s="1"/>
  <c r="M218" i="1" a="1"/>
  <c r="M218" i="1" s="1"/>
  <c r="N218" i="1" s="1" a="1"/>
  <c r="N218" i="1" s="1"/>
  <c r="M210" i="1" a="1"/>
  <c r="M210" i="1" s="1"/>
  <c r="N210" i="1" s="1" a="1"/>
  <c r="N210" i="1" s="1"/>
  <c r="M202" i="1" a="1"/>
  <c r="M202" i="1" s="1"/>
  <c r="M194" i="1" a="1"/>
  <c r="M194" i="1" s="1"/>
  <c r="N194" i="1" s="1" a="1"/>
  <c r="N194" i="1" s="1"/>
  <c r="M186" i="1" a="1"/>
  <c r="M186" i="1" s="1"/>
  <c r="N186" i="1" s="1" a="1"/>
  <c r="N186" i="1" s="1"/>
  <c r="M178" i="1" a="1"/>
  <c r="M178" i="1" s="1"/>
  <c r="M170" i="1" a="1"/>
  <c r="M170" i="1" s="1"/>
  <c r="M162" i="1" a="1"/>
  <c r="M162" i="1" s="1"/>
  <c r="N162" i="1" s="1" a="1"/>
  <c r="N162" i="1" s="1"/>
  <c r="M154" i="1" a="1"/>
  <c r="M154" i="1" s="1"/>
  <c r="N154" i="1" s="1" a="1"/>
  <c r="N154" i="1" s="1"/>
  <c r="M146" i="1" a="1"/>
  <c r="M146" i="1" s="1"/>
  <c r="N146" i="1" s="1" a="1"/>
  <c r="N146" i="1" s="1"/>
  <c r="M138" i="1" a="1"/>
  <c r="M138" i="1" s="1"/>
  <c r="M130" i="1" a="1"/>
  <c r="M130" i="1" s="1"/>
  <c r="M122" i="1" a="1"/>
  <c r="M122" i="1" s="1"/>
  <c r="N122" i="1" s="1" a="1"/>
  <c r="N122" i="1" s="1"/>
  <c r="M114" i="1" a="1"/>
  <c r="M114" i="1" s="1"/>
  <c r="M106" i="1" a="1"/>
  <c r="M106" i="1" s="1"/>
  <c r="M98" i="1" a="1"/>
  <c r="M98" i="1" s="1"/>
  <c r="N98" i="1" s="1" a="1"/>
  <c r="N98" i="1" s="1"/>
  <c r="M90" i="1" a="1"/>
  <c r="M90" i="1" s="1"/>
  <c r="N90" i="1" s="1" a="1"/>
  <c r="N90" i="1" s="1"/>
  <c r="M82" i="1" a="1"/>
  <c r="M82" i="1" s="1"/>
  <c r="N82" i="1" s="1" a="1"/>
  <c r="N82" i="1" s="1"/>
  <c r="M74" i="1" a="1"/>
  <c r="M74" i="1" s="1"/>
  <c r="M66" i="1" a="1"/>
  <c r="M66" i="1" s="1"/>
  <c r="M58" i="1" a="1"/>
  <c r="M58" i="1" s="1"/>
  <c r="N58" i="1" s="1" a="1"/>
  <c r="N58" i="1" s="1"/>
  <c r="M50" i="1" a="1"/>
  <c r="M50" i="1" s="1"/>
  <c r="M42" i="1" a="1"/>
  <c r="M42" i="1" s="1"/>
  <c r="M34" i="1" a="1"/>
  <c r="M34" i="1" s="1"/>
  <c r="N34" i="1" s="1" a="1"/>
  <c r="N34" i="1" s="1"/>
  <c r="M26" i="1" a="1"/>
  <c r="M26" i="1" s="1"/>
  <c r="N26" i="1" s="1" a="1"/>
  <c r="N26" i="1" s="1"/>
  <c r="M18" i="1" a="1"/>
  <c r="M18" i="1" s="1"/>
  <c r="N18" i="1" s="1" a="1"/>
  <c r="N18" i="1" s="1"/>
  <c r="M10" i="1" a="1"/>
  <c r="M10" i="1" s="1"/>
  <c r="M1502" i="1" a="1"/>
  <c r="M1502" i="1" s="1"/>
  <c r="M1494" i="1" a="1"/>
  <c r="M1494" i="1" s="1"/>
  <c r="N1494" i="1" s="1" a="1"/>
  <c r="N1494" i="1" s="1"/>
  <c r="M1486" i="1" a="1"/>
  <c r="M1486" i="1" s="1"/>
  <c r="N1486" i="1" s="1" a="1"/>
  <c r="N1486" i="1" s="1"/>
  <c r="M1478" i="1" a="1"/>
  <c r="M1478" i="1" s="1"/>
  <c r="M1470" i="1" a="1"/>
  <c r="M1470" i="1" s="1"/>
  <c r="M1462" i="1" a="1"/>
  <c r="M1462" i="1" s="1"/>
  <c r="N1462" i="1" s="1" a="1"/>
  <c r="N1462" i="1" s="1"/>
  <c r="M1454" i="1" a="1"/>
  <c r="M1454" i="1" s="1"/>
  <c r="N1454" i="1" s="1" a="1"/>
  <c r="N1454" i="1" s="1"/>
  <c r="M1446" i="1" a="1"/>
  <c r="M1446" i="1" s="1"/>
  <c r="M1438" i="1" a="1"/>
  <c r="M1438" i="1" s="1"/>
  <c r="M1430" i="1" a="1"/>
  <c r="M1430" i="1" s="1"/>
  <c r="N1430" i="1" s="1" a="1"/>
  <c r="N1430" i="1" s="1"/>
  <c r="M1390" i="1" a="1"/>
  <c r="M1390" i="1" s="1"/>
  <c r="M1382" i="1" a="1"/>
  <c r="M1382" i="1" s="1"/>
  <c r="M1374" i="1" a="1"/>
  <c r="M1374" i="1" s="1"/>
  <c r="N1374" i="1" s="1" a="1"/>
  <c r="N1374" i="1" s="1"/>
  <c r="M1358" i="1" a="1"/>
  <c r="M1358" i="1" s="1"/>
  <c r="N1358" i="1" s="1" a="1"/>
  <c r="N1358" i="1" s="1"/>
  <c r="M1350" i="1" a="1"/>
  <c r="M1350" i="1" s="1"/>
  <c r="N1350" i="1" s="1" a="1"/>
  <c r="N1350" i="1" s="1"/>
  <c r="M1342" i="1" a="1"/>
  <c r="M1342" i="1" s="1"/>
  <c r="M1334" i="1" a="1"/>
  <c r="M1334" i="1" s="1"/>
  <c r="N1334" i="1" s="1" a="1"/>
  <c r="N1334" i="1" s="1"/>
  <c r="M1326" i="1" a="1"/>
  <c r="M1326" i="1" s="1"/>
  <c r="N1326" i="1" s="1" a="1"/>
  <c r="N1326" i="1" s="1"/>
  <c r="M1310" i="1" a="1"/>
  <c r="M1310" i="1" s="1"/>
  <c r="M1302" i="1" a="1"/>
  <c r="M1302" i="1" s="1"/>
  <c r="M1270" i="1" a="1"/>
  <c r="M1270" i="1" s="1"/>
  <c r="M1254" i="1" a="1"/>
  <c r="M1254" i="1" s="1"/>
  <c r="N1254" i="1" s="1" a="1"/>
  <c r="N1254" i="1" s="1"/>
  <c r="M1246" i="1" a="1"/>
  <c r="M1246" i="1" s="1"/>
  <c r="M1238" i="1" a="1"/>
  <c r="M1238" i="1" s="1"/>
  <c r="M1206" i="1" a="1"/>
  <c r="M1206" i="1" s="1"/>
  <c r="N1206" i="1" s="1" a="1"/>
  <c r="N1206" i="1" s="1"/>
  <c r="M1182" i="1" a="1"/>
  <c r="M1182" i="1" s="1"/>
  <c r="N1182" i="1" s="1" a="1"/>
  <c r="N1182" i="1" s="1"/>
  <c r="M1174" i="1" a="1"/>
  <c r="M1174" i="1" s="1"/>
  <c r="N1174" i="1" s="1" a="1"/>
  <c r="N1174" i="1" s="1"/>
  <c r="M1166" i="1" a="1"/>
  <c r="M1166" i="1" s="1"/>
  <c r="M1142" i="1" a="1"/>
  <c r="M1142" i="1" s="1"/>
  <c r="M1110" i="1" a="1"/>
  <c r="M1110" i="1" s="1"/>
  <c r="N1110" i="1" s="1" a="1"/>
  <c r="N1110" i="1" s="1"/>
  <c r="M1102" i="1" a="1"/>
  <c r="M1102" i="1" s="1"/>
  <c r="N1102" i="1" s="1" a="1"/>
  <c r="N1102" i="1" s="1"/>
  <c r="M1094" i="1" a="1"/>
  <c r="M1094" i="1" s="1"/>
  <c r="M1046" i="1" a="1"/>
  <c r="M1046" i="1" s="1"/>
  <c r="N1046" i="1" s="1" a="1"/>
  <c r="N1046" i="1" s="1"/>
  <c r="M1038" i="1" a="1"/>
  <c r="M1038" i="1" s="1"/>
  <c r="N1038" i="1" s="1" a="1"/>
  <c r="N1038" i="1" s="1"/>
  <c r="M1030" i="1" a="1"/>
  <c r="M1030" i="1" s="1"/>
  <c r="M982" i="1" a="1"/>
  <c r="M982" i="1" s="1"/>
  <c r="M974" i="1" a="1"/>
  <c r="M974" i="1" s="1"/>
  <c r="N974" i="1" s="1" a="1"/>
  <c r="N974" i="1" s="1"/>
  <c r="M966" i="1" a="1"/>
  <c r="M966" i="1" s="1"/>
  <c r="N966" i="1" s="1" a="1"/>
  <c r="N966" i="1" s="1"/>
  <c r="M950" i="1" a="1"/>
  <c r="M950" i="1" s="1"/>
  <c r="N950" i="1" s="1" a="1"/>
  <c r="N950" i="1" s="1"/>
  <c r="M910" i="1" a="1"/>
  <c r="M910" i="1" s="1"/>
  <c r="M902" i="1" a="1"/>
  <c r="M902" i="1" s="1"/>
  <c r="M894" i="1" a="1"/>
  <c r="M894" i="1" s="1"/>
  <c r="N894" i="1" s="1" a="1"/>
  <c r="N894" i="1" s="1"/>
  <c r="M846" i="1" a="1"/>
  <c r="M846" i="1" s="1"/>
  <c r="N846" i="1" s="1" a="1"/>
  <c r="N846" i="1" s="1"/>
  <c r="M838" i="1" a="1"/>
  <c r="M838" i="1" s="1"/>
  <c r="M830" i="1" a="1"/>
  <c r="M830" i="1" s="1"/>
  <c r="M774" i="1" a="1"/>
  <c r="M774" i="1" s="1"/>
  <c r="N774" i="1" s="1" a="1"/>
  <c r="N774" i="1" s="1"/>
  <c r="M766" i="1" a="1"/>
  <c r="M766" i="1" s="1"/>
  <c r="N766" i="1" s="1" a="1"/>
  <c r="N766" i="1" s="1"/>
  <c r="M948" i="1" a="1"/>
  <c r="M948" i="1" s="1"/>
  <c r="M1492" i="1" a="1"/>
  <c r="M1492" i="1" s="1"/>
  <c r="N1492" i="1" s="1" a="1"/>
  <c r="N1492" i="1" s="1"/>
  <c r="M1468" i="1" a="1"/>
  <c r="M1468" i="1" s="1"/>
  <c r="N1468" i="1" s="1" a="1"/>
  <c r="N1468" i="1" s="1"/>
  <c r="M1436" i="1" a="1"/>
  <c r="M1436" i="1" s="1"/>
  <c r="N1436" i="1" s="1" a="1"/>
  <c r="N1436" i="1" s="1"/>
  <c r="M1412" i="1" a="1"/>
  <c r="M1412" i="1" s="1"/>
  <c r="M1388" i="1" a="1"/>
  <c r="M1388" i="1" s="1"/>
  <c r="M1364" i="1" a="1"/>
  <c r="M1364" i="1" s="1"/>
  <c r="N1364" i="1" s="1" a="1"/>
  <c r="N1364" i="1" s="1"/>
  <c r="M1340" i="1" a="1"/>
  <c r="M1340" i="1" s="1"/>
  <c r="N1340" i="1" s="1" a="1"/>
  <c r="N1340" i="1" s="1"/>
  <c r="M1316" i="1" a="1"/>
  <c r="M1316" i="1" s="1"/>
  <c r="M1300" i="1" a="1"/>
  <c r="M1300" i="1" s="1"/>
  <c r="N1300" i="1" s="1" a="1"/>
  <c r="N1300" i="1" s="1"/>
  <c r="M1276" i="1" a="1"/>
  <c r="M1276" i="1" s="1"/>
  <c r="N1276" i="1" s="1" a="1"/>
  <c r="N1276" i="1" s="1"/>
  <c r="M1252" i="1" a="1"/>
  <c r="M1252" i="1" s="1"/>
  <c r="N1252" i="1" s="1" a="1"/>
  <c r="N1252" i="1" s="1"/>
  <c r="M1228" i="1" a="1"/>
  <c r="M1228" i="1" s="1"/>
  <c r="M1212" i="1" a="1"/>
  <c r="M1212" i="1" s="1"/>
  <c r="N1212" i="1" s="1" a="1"/>
  <c r="N1212" i="1" s="1"/>
  <c r="M1196" i="1" a="1"/>
  <c r="M1196" i="1" s="1"/>
  <c r="N1196" i="1" s="1" a="1"/>
  <c r="N1196" i="1" s="1"/>
  <c r="M1164" i="1" a="1"/>
  <c r="M1164" i="1" s="1"/>
  <c r="N1164" i="1" s="1" a="1"/>
  <c r="N1164" i="1" s="1"/>
  <c r="M1140" i="1" a="1"/>
  <c r="M1140" i="1" s="1"/>
  <c r="M1108" i="1" a="1"/>
  <c r="M1108" i="1" s="1"/>
  <c r="N1108" i="1" s="1" a="1"/>
  <c r="N1108" i="1" s="1"/>
  <c r="M964" i="1" a="1"/>
  <c r="M964" i="1" s="1"/>
  <c r="N964" i="1" s="1" a="1"/>
  <c r="N964" i="1" s="1"/>
  <c r="M1484" i="1" a="1"/>
  <c r="M1484" i="1" s="1"/>
  <c r="N1484" i="1" s="1" a="1"/>
  <c r="N1484" i="1" s="1"/>
  <c r="M1460" i="1" a="1"/>
  <c r="M1460" i="1" s="1"/>
  <c r="M1420" i="1" a="1"/>
  <c r="M1420" i="1" s="1"/>
  <c r="M1396" i="1" a="1"/>
  <c r="M1396" i="1" s="1"/>
  <c r="N1396" i="1" s="1" a="1"/>
  <c r="N1396" i="1" s="1"/>
  <c r="M1372" i="1" a="1"/>
  <c r="M1372" i="1" s="1"/>
  <c r="N1372" i="1" s="1" a="1"/>
  <c r="N1372" i="1" s="1"/>
  <c r="M1348" i="1" a="1"/>
  <c r="M1348" i="1" s="1"/>
  <c r="M1324" i="1" a="1"/>
  <c r="M1324" i="1" s="1"/>
  <c r="M1292" i="1" a="1"/>
  <c r="M1292" i="1" s="1"/>
  <c r="N1292" i="1" s="1" a="1"/>
  <c r="N1292" i="1" s="1"/>
  <c r="M1268" i="1" a="1"/>
  <c r="M1268" i="1" s="1"/>
  <c r="N1268" i="1" s="1" a="1"/>
  <c r="N1268" i="1" s="1"/>
  <c r="M1244" i="1" a="1"/>
  <c r="M1244" i="1" s="1"/>
  <c r="M1204" i="1" a="1"/>
  <c r="M1204" i="1" s="1"/>
  <c r="N1204" i="1" s="1" a="1"/>
  <c r="N1204" i="1" s="1"/>
  <c r="M1180" i="1" a="1"/>
  <c r="M1180" i="1" s="1"/>
  <c r="N1180" i="1" s="1" a="1"/>
  <c r="N1180" i="1" s="1"/>
  <c r="M1156" i="1" a="1"/>
  <c r="M1156" i="1" s="1"/>
  <c r="N1156" i="1" s="1" a="1"/>
  <c r="N1156" i="1" s="1"/>
  <c r="M1124" i="1" a="1"/>
  <c r="M1124" i="1" s="1"/>
  <c r="M1100" i="1" a="1"/>
  <c r="M1100" i="1" s="1"/>
  <c r="N1100" i="1" s="1" a="1"/>
  <c r="N1100" i="1" s="1"/>
  <c r="M1084" i="1" a="1"/>
  <c r="M1084" i="1" s="1"/>
  <c r="N1084" i="1" s="1" a="1"/>
  <c r="N1084" i="1" s="1"/>
  <c r="M1060" i="1" a="1"/>
  <c r="M1060" i="1" s="1"/>
  <c r="N1060" i="1" s="1" a="1"/>
  <c r="N1060" i="1" s="1"/>
  <c r="M972" i="1" a="1"/>
  <c r="M972" i="1" s="1"/>
  <c r="M1500" i="1" a="1"/>
  <c r="M1500" i="1" s="1"/>
  <c r="N1500" i="1" s="1" a="1"/>
  <c r="N1500" i="1" s="1"/>
  <c r="M1476" i="1" a="1"/>
  <c r="M1476" i="1" s="1"/>
  <c r="N1476" i="1" s="1" a="1"/>
  <c r="N1476" i="1" s="1"/>
  <c r="M1452" i="1" a="1"/>
  <c r="M1452" i="1" s="1"/>
  <c r="N1452" i="1" s="1" a="1"/>
  <c r="N1452" i="1" s="1"/>
  <c r="M1444" i="1" a="1"/>
  <c r="M1444" i="1" s="1"/>
  <c r="M1428" i="1" a="1"/>
  <c r="M1428" i="1" s="1"/>
  <c r="M1404" i="1" a="1"/>
  <c r="M1404" i="1" s="1"/>
  <c r="N1404" i="1" s="1" a="1"/>
  <c r="N1404" i="1" s="1"/>
  <c r="M1380" i="1" a="1"/>
  <c r="M1380" i="1" s="1"/>
  <c r="M1356" i="1" a="1"/>
  <c r="M1356" i="1" s="1"/>
  <c r="M1332" i="1" a="1"/>
  <c r="M1332" i="1" s="1"/>
  <c r="N1332" i="1" s="1" a="1"/>
  <c r="N1332" i="1" s="1"/>
  <c r="M1308" i="1" a="1"/>
  <c r="M1308" i="1" s="1"/>
  <c r="N1308" i="1" s="1" a="1"/>
  <c r="N1308" i="1" s="1"/>
  <c r="M1284" i="1" a="1"/>
  <c r="M1284" i="1" s="1"/>
  <c r="N1284" i="1" s="1" a="1"/>
  <c r="N1284" i="1" s="1"/>
  <c r="M1260" i="1" a="1"/>
  <c r="M1260" i="1" s="1"/>
  <c r="M1236" i="1" a="1"/>
  <c r="M1236" i="1" s="1"/>
  <c r="M1220" i="1" a="1"/>
  <c r="M1220" i="1" s="1"/>
  <c r="N1220" i="1" s="1" a="1"/>
  <c r="N1220" i="1" s="1"/>
  <c r="M1188" i="1" a="1"/>
  <c r="M1188" i="1" s="1"/>
  <c r="N1188" i="1" s="1" a="1"/>
  <c r="N1188" i="1" s="1"/>
  <c r="M1172" i="1" a="1"/>
  <c r="M1172" i="1" s="1"/>
  <c r="M1148" i="1" a="1"/>
  <c r="M1148" i="1" s="1"/>
  <c r="N1148" i="1" s="1" a="1"/>
  <c r="N1148" i="1" s="1"/>
  <c r="M1132" i="1" a="1"/>
  <c r="M1132" i="1" s="1"/>
  <c r="N1132" i="1" s="1" a="1"/>
  <c r="N1132" i="1" s="1"/>
  <c r="M1116" i="1" a="1"/>
  <c r="M1116" i="1" s="1"/>
  <c r="N1116" i="1" s="1" a="1"/>
  <c r="N1116" i="1" s="1"/>
  <c r="M1092" i="1" a="1"/>
  <c r="M1092" i="1" s="1"/>
  <c r="M1076" i="1" a="1"/>
  <c r="M1076" i="1" s="1"/>
  <c r="M1068" i="1" a="1"/>
  <c r="M1068" i="1" s="1"/>
  <c r="N1068" i="1" s="1" a="1"/>
  <c r="N1068" i="1" s="1"/>
  <c r="M1052" i="1" a="1"/>
  <c r="M1052" i="1" s="1"/>
  <c r="N1052" i="1" s="1" a="1"/>
  <c r="N1052" i="1" s="1"/>
  <c r="M1044" i="1" a="1"/>
  <c r="M1044" i="1" s="1"/>
  <c r="M1036" i="1" a="1"/>
  <c r="M1036" i="1" s="1"/>
  <c r="N1036" i="1" s="1" a="1"/>
  <c r="N1036" i="1" s="1"/>
  <c r="M1028" i="1" a="1"/>
  <c r="M1028" i="1" s="1"/>
  <c r="N1028" i="1" s="1" a="1"/>
  <c r="N1028" i="1" s="1"/>
  <c r="M1020" i="1" a="1"/>
  <c r="M1020" i="1" s="1"/>
  <c r="N1020" i="1" s="1" a="1"/>
  <c r="N1020" i="1" s="1"/>
  <c r="M1012" i="1" a="1"/>
  <c r="M1012" i="1" s="1"/>
  <c r="M1004" i="1" a="1"/>
  <c r="M1004" i="1" s="1"/>
  <c r="N1004" i="1" s="1" a="1"/>
  <c r="N1004" i="1" s="1"/>
  <c r="M996" i="1" a="1"/>
  <c r="M996" i="1" s="1"/>
  <c r="N996" i="1" s="1" a="1"/>
  <c r="N996" i="1" s="1"/>
  <c r="M988" i="1" a="1"/>
  <c r="M988" i="1" s="1"/>
  <c r="N988" i="1" s="1" a="1"/>
  <c r="N988" i="1" s="1"/>
  <c r="M956" i="1" a="1"/>
  <c r="M956" i="1" s="1"/>
  <c r="M940" i="1" a="1"/>
  <c r="M940" i="1" s="1"/>
  <c r="N940" i="1" s="1" a="1"/>
  <c r="N940" i="1" s="1"/>
  <c r="M932" i="1" a="1"/>
  <c r="M932" i="1" s="1"/>
  <c r="N932" i="1" s="1" a="1"/>
  <c r="N932" i="1" s="1"/>
  <c r="M924" i="1" a="1"/>
  <c r="M924" i="1" s="1"/>
  <c r="N924" i="1" s="1" a="1"/>
  <c r="N924" i="1" s="1"/>
  <c r="M916" i="1" a="1"/>
  <c r="M916" i="1" s="1"/>
  <c r="M908" i="1" a="1"/>
  <c r="M908" i="1" s="1"/>
  <c r="N908" i="1" s="1" a="1"/>
  <c r="N908" i="1" s="1"/>
  <c r="M900" i="1" a="1"/>
  <c r="M900" i="1" s="1"/>
  <c r="N900" i="1" s="1" a="1"/>
  <c r="N900" i="1" s="1"/>
  <c r="M892" i="1" a="1"/>
  <c r="M892" i="1" s="1"/>
  <c r="N892" i="1" s="1" a="1"/>
  <c r="N892" i="1" s="1"/>
  <c r="M884" i="1" a="1"/>
  <c r="M884" i="1" s="1"/>
  <c r="M876" i="1" a="1"/>
  <c r="M876" i="1" s="1"/>
  <c r="M868" i="1" a="1"/>
  <c r="M868" i="1" s="1"/>
  <c r="N868" i="1" s="1" a="1"/>
  <c r="N868" i="1" s="1"/>
  <c r="M860" i="1" a="1"/>
  <c r="M860" i="1" s="1"/>
  <c r="N860" i="1" s="1" a="1"/>
  <c r="N860" i="1" s="1"/>
  <c r="M852" i="1" a="1"/>
  <c r="M852" i="1" s="1"/>
  <c r="M844" i="1" a="1"/>
  <c r="M844" i="1" s="1"/>
  <c r="N844" i="1" s="1" a="1"/>
  <c r="N844" i="1" s="1"/>
  <c r="M836" i="1" a="1"/>
  <c r="M836" i="1" s="1"/>
  <c r="N836" i="1" s="1" a="1"/>
  <c r="N836" i="1" s="1"/>
  <c r="M828" i="1" a="1"/>
  <c r="M828" i="1" s="1"/>
  <c r="N828" i="1" s="1" a="1"/>
  <c r="N828" i="1" s="1"/>
  <c r="M820" i="1" a="1"/>
  <c r="M820" i="1" s="1"/>
  <c r="M812" i="1" a="1"/>
  <c r="M812" i="1" s="1"/>
  <c r="N812" i="1" s="1" a="1"/>
  <c r="N812" i="1" s="1"/>
  <c r="M804" i="1" a="1"/>
  <c r="M804" i="1" s="1"/>
  <c r="N804" i="1" s="1" a="1"/>
  <c r="N804" i="1" s="1"/>
  <c r="M796" i="1" a="1"/>
  <c r="M796" i="1" s="1"/>
  <c r="N796" i="1" s="1" a="1"/>
  <c r="N796" i="1" s="1"/>
  <c r="M788" i="1" a="1"/>
  <c r="M788" i="1" s="1"/>
  <c r="N788" i="1" s="1" a="1"/>
  <c r="N788" i="1" s="1"/>
  <c r="M780" i="1" a="1"/>
  <c r="M780" i="1" s="1"/>
  <c r="N780" i="1" s="1" a="1"/>
  <c r="N780" i="1" s="1"/>
  <c r="M772" i="1" a="1"/>
  <c r="M772" i="1" s="1"/>
  <c r="N772" i="1" s="1" a="1"/>
  <c r="N772" i="1" s="1"/>
  <c r="M764" i="1" a="1"/>
  <c r="M764" i="1" s="1"/>
  <c r="N764" i="1" s="1" a="1"/>
  <c r="N764" i="1" s="1"/>
  <c r="M756" i="1" a="1"/>
  <c r="M756" i="1" s="1"/>
  <c r="M748" i="1" a="1"/>
  <c r="M748" i="1" s="1"/>
  <c r="N748" i="1" s="1" a="1"/>
  <c r="N748" i="1" s="1"/>
  <c r="M740" i="1" a="1"/>
  <c r="M740" i="1" s="1"/>
  <c r="N740" i="1" s="1" a="1"/>
  <c r="N740" i="1" s="1"/>
  <c r="M724" i="1" a="1"/>
  <c r="M724" i="1" s="1"/>
  <c r="N724" i="1" s="1" a="1"/>
  <c r="N724" i="1" s="1"/>
  <c r="M716" i="1" a="1"/>
  <c r="M716" i="1" s="1"/>
  <c r="M708" i="1" a="1"/>
  <c r="M708" i="1" s="1"/>
  <c r="N708" i="1" s="1" a="1"/>
  <c r="N708" i="1" s="1"/>
  <c r="M700" i="1" a="1"/>
  <c r="M700" i="1" s="1"/>
  <c r="N700" i="1" s="1" a="1"/>
  <c r="N700" i="1" s="1"/>
  <c r="M692" i="1" a="1"/>
  <c r="M692" i="1" s="1"/>
  <c r="N692" i="1" s="1" a="1"/>
  <c r="N692" i="1" s="1"/>
  <c r="M684" i="1" a="1"/>
  <c r="M684" i="1" s="1"/>
  <c r="M676" i="1" a="1"/>
  <c r="M676" i="1" s="1"/>
  <c r="N676" i="1" s="1" a="1"/>
  <c r="N676" i="1" s="1"/>
  <c r="M668" i="1" a="1"/>
  <c r="M668" i="1" s="1"/>
  <c r="N668" i="1" s="1" a="1"/>
  <c r="N668" i="1" s="1"/>
  <c r="M652" i="1" a="1"/>
  <c r="M652" i="1" s="1"/>
  <c r="N652" i="1" s="1" a="1"/>
  <c r="N652" i="1" s="1"/>
  <c r="M644" i="1" a="1"/>
  <c r="M644" i="1" s="1"/>
  <c r="M636" i="1" a="1"/>
  <c r="M636" i="1" s="1"/>
  <c r="N636" i="1" s="1" a="1"/>
  <c r="N636" i="1" s="1"/>
  <c r="M628" i="1" a="1"/>
  <c r="M628" i="1" s="1"/>
  <c r="N628" i="1" s="1" a="1"/>
  <c r="N628" i="1" s="1"/>
  <c r="M620" i="1" a="1"/>
  <c r="M620" i="1" s="1"/>
  <c r="N620" i="1" s="1" a="1"/>
  <c r="N620" i="1" s="1"/>
  <c r="M612" i="1" a="1"/>
  <c r="M612" i="1" s="1"/>
  <c r="M604" i="1" a="1"/>
  <c r="M604" i="1" s="1"/>
  <c r="N604" i="1" s="1" a="1"/>
  <c r="N604" i="1" s="1"/>
  <c r="M596" i="1" a="1"/>
  <c r="M596" i="1" s="1"/>
  <c r="N596" i="1" s="1" a="1"/>
  <c r="N596" i="1" s="1"/>
  <c r="M588" i="1" a="1"/>
  <c r="M588" i="1" s="1"/>
  <c r="N588" i="1" s="1" a="1"/>
  <c r="N588" i="1" s="1"/>
  <c r="M572" i="1" a="1"/>
  <c r="M572" i="1" s="1"/>
  <c r="M564" i="1" a="1"/>
  <c r="M564" i="1" s="1"/>
  <c r="N564" i="1" s="1" a="1"/>
  <c r="N564" i="1" s="1"/>
  <c r="M556" i="1" a="1"/>
  <c r="M556" i="1" s="1"/>
  <c r="N556" i="1" s="1" a="1"/>
  <c r="N556" i="1" s="1"/>
  <c r="M548" i="1" a="1"/>
  <c r="M548" i="1" s="1"/>
  <c r="N548" i="1" s="1" a="1"/>
  <c r="N548" i="1" s="1"/>
  <c r="M540" i="1" a="1"/>
  <c r="M540" i="1" s="1"/>
  <c r="M524" i="1" a="1"/>
  <c r="M524" i="1" s="1"/>
  <c r="M516" i="1" a="1"/>
  <c r="M516" i="1" s="1"/>
  <c r="N516" i="1" s="1" a="1"/>
  <c r="N516" i="1" s="1"/>
  <c r="M508" i="1" a="1"/>
  <c r="M508" i="1" s="1"/>
  <c r="N508" i="1" s="1" a="1"/>
  <c r="N508" i="1" s="1"/>
  <c r="M500" i="1" a="1"/>
  <c r="M500" i="1" s="1"/>
  <c r="M492" i="1" a="1"/>
  <c r="M492" i="1" s="1"/>
  <c r="N492" i="1" s="1" a="1"/>
  <c r="N492" i="1" s="1"/>
  <c r="M484" i="1" a="1"/>
  <c r="M484" i="1" s="1"/>
  <c r="N484" i="1" s="1" a="1"/>
  <c r="N484" i="1" s="1"/>
  <c r="M476" i="1" a="1"/>
  <c r="M476" i="1" s="1"/>
  <c r="N476" i="1" s="1" a="1"/>
  <c r="N476" i="1" s="1"/>
  <c r="M468" i="1" a="1"/>
  <c r="M468" i="1" s="1"/>
  <c r="M460" i="1" a="1"/>
  <c r="M460" i="1" s="1"/>
  <c r="M452" i="1" a="1"/>
  <c r="M452" i="1" s="1"/>
  <c r="N452" i="1" s="1" a="1"/>
  <c r="N452" i="1" s="1"/>
  <c r="M444" i="1" a="1"/>
  <c r="M444" i="1" s="1"/>
  <c r="N444" i="1" s="1" a="1"/>
  <c r="N444" i="1" s="1"/>
  <c r="M436" i="1" a="1"/>
  <c r="M436" i="1" s="1"/>
  <c r="M420" i="1" a="1"/>
  <c r="M420" i="1" s="1"/>
  <c r="N420" i="1" s="1" a="1"/>
  <c r="N420" i="1" s="1"/>
  <c r="M412" i="1" a="1"/>
  <c r="M412" i="1" s="1"/>
  <c r="N412" i="1" s="1" a="1"/>
  <c r="N412" i="1" s="1"/>
  <c r="M404" i="1" a="1"/>
  <c r="M404" i="1" s="1"/>
  <c r="N404" i="1" s="1" a="1"/>
  <c r="N404" i="1" s="1"/>
  <c r="M396" i="1" a="1"/>
  <c r="M396" i="1" s="1"/>
  <c r="M388" i="1" a="1"/>
  <c r="M388" i="1" s="1"/>
  <c r="M372" i="1" a="1"/>
  <c r="M372" i="1" s="1"/>
  <c r="N372" i="1" s="1" a="1"/>
  <c r="N372" i="1" s="1"/>
  <c r="M364" i="1" a="1"/>
  <c r="M364" i="1" s="1"/>
  <c r="N364" i="1" s="1" a="1"/>
  <c r="N364" i="1" s="1"/>
  <c r="M348" i="1" a="1"/>
  <c r="M348" i="1" s="1"/>
  <c r="M340" i="1" a="1"/>
  <c r="M340" i="1" s="1"/>
  <c r="N340" i="1" s="1" a="1"/>
  <c r="N340" i="1" s="1"/>
  <c r="M332" i="1" a="1"/>
  <c r="M332" i="1" s="1"/>
  <c r="N332" i="1" s="1" a="1"/>
  <c r="N332" i="1" s="1"/>
  <c r="M324" i="1" a="1"/>
  <c r="M324" i="1" s="1"/>
  <c r="N324" i="1" s="1" a="1"/>
  <c r="N324" i="1" s="1"/>
  <c r="M316" i="1" a="1"/>
  <c r="M316" i="1" s="1"/>
  <c r="M308" i="1" a="1"/>
  <c r="M308" i="1" s="1"/>
  <c r="M300" i="1" a="1"/>
  <c r="M300" i="1" s="1"/>
  <c r="N300" i="1" s="1" a="1"/>
  <c r="N300" i="1" s="1"/>
  <c r="M292" i="1" a="1"/>
  <c r="M292" i="1" s="1"/>
  <c r="N292" i="1" s="1" a="1"/>
  <c r="N292" i="1" s="1"/>
  <c r="M284" i="1" a="1"/>
  <c r="M284" i="1" s="1"/>
  <c r="M268" i="1" a="1"/>
  <c r="M268" i="1" s="1"/>
  <c r="N268" i="1" s="1" a="1"/>
  <c r="N268" i="1" s="1"/>
  <c r="M260" i="1" a="1"/>
  <c r="M260" i="1" s="1"/>
  <c r="N260" i="1" s="1" a="1"/>
  <c r="N260" i="1" s="1"/>
  <c r="M252" i="1" a="1"/>
  <c r="M252" i="1" s="1"/>
  <c r="N252" i="1" s="1" a="1"/>
  <c r="N252" i="1" s="1"/>
  <c r="M244" i="1" a="1"/>
  <c r="M244" i="1" s="1"/>
  <c r="M236" i="1" a="1"/>
  <c r="M236" i="1" s="1"/>
  <c r="M228" i="1" a="1"/>
  <c r="M228" i="1" s="1"/>
  <c r="N228" i="1" s="1" a="1"/>
  <c r="N228" i="1" s="1"/>
  <c r="M204" i="1" a="1"/>
  <c r="M204" i="1" s="1"/>
  <c r="N204" i="1" s="1" a="1"/>
  <c r="N204" i="1" s="1"/>
  <c r="M132" i="1" a="1"/>
  <c r="M132" i="1" s="1"/>
  <c r="M36" i="1" a="1"/>
  <c r="M36" i="1" s="1"/>
  <c r="N36" i="1" s="1" a="1"/>
  <c r="N36" i="1" s="1"/>
  <c r="M188" i="1" a="1"/>
  <c r="M188" i="1" s="1"/>
  <c r="N188" i="1" s="1" a="1"/>
  <c r="N188" i="1" s="1"/>
  <c r="M148" i="1" a="1"/>
  <c r="M148" i="1" s="1"/>
  <c r="N148" i="1" s="1" a="1"/>
  <c r="N148" i="1" s="1"/>
  <c r="M108" i="1" a="1"/>
  <c r="M108" i="1" s="1"/>
  <c r="M44" i="1" a="1"/>
  <c r="M44" i="1" s="1"/>
  <c r="M156" i="1" a="1"/>
  <c r="M156" i="1" s="1"/>
  <c r="N156" i="1" s="1" a="1"/>
  <c r="N156" i="1" s="1"/>
  <c r="M116" i="1" a="1"/>
  <c r="M116" i="1" s="1"/>
  <c r="N116" i="1" s="1" a="1"/>
  <c r="N116" i="1" s="1"/>
  <c r="M76" i="1" a="1"/>
  <c r="M76" i="1" s="1"/>
  <c r="M52" i="1" a="1"/>
  <c r="M52" i="1" s="1"/>
  <c r="M20" i="1" a="1"/>
  <c r="M20" i="1" s="1"/>
  <c r="N20" i="1" s="1" a="1"/>
  <c r="N20" i="1" s="1"/>
  <c r="M1491" i="1" a="1"/>
  <c r="M1491" i="1" s="1"/>
  <c r="N1491" i="1" s="1" a="1"/>
  <c r="N1491" i="1" s="1"/>
  <c r="M1475" i="1" a="1"/>
  <c r="M1475" i="1" s="1"/>
  <c r="M1459" i="1" a="1"/>
  <c r="M1459" i="1" s="1"/>
  <c r="N1459" i="1" s="1" a="1"/>
  <c r="N1459" i="1" s="1"/>
  <c r="M1443" i="1" a="1"/>
  <c r="M1443" i="1" s="1"/>
  <c r="N1443" i="1" s="1" a="1"/>
  <c r="N1443" i="1" s="1"/>
  <c r="M1419" i="1" a="1"/>
  <c r="M1419" i="1" s="1"/>
  <c r="N1419" i="1" s="1" a="1"/>
  <c r="N1419" i="1" s="1"/>
  <c r="M1403" i="1" a="1"/>
  <c r="M1403" i="1" s="1"/>
  <c r="N1403" i="1" s="1" a="1"/>
  <c r="N1403" i="1" s="1"/>
  <c r="M1387" i="1" a="1"/>
  <c r="M1387" i="1" s="1"/>
  <c r="N1387" i="1" s="1" a="1"/>
  <c r="N1387" i="1" s="1"/>
  <c r="M1371" i="1" a="1"/>
  <c r="M1371" i="1" s="1"/>
  <c r="N1371" i="1" s="1" a="1"/>
  <c r="N1371" i="1" s="1"/>
  <c r="M1355" i="1" a="1"/>
  <c r="M1355" i="1" s="1"/>
  <c r="N1355" i="1" s="1" a="1"/>
  <c r="N1355" i="1" s="1"/>
  <c r="M1339" i="1" a="1"/>
  <c r="M1339" i="1" s="1"/>
  <c r="M1323" i="1" a="1"/>
  <c r="M1323" i="1" s="1"/>
  <c r="N1323" i="1" s="1" a="1"/>
  <c r="N1323" i="1" s="1"/>
  <c r="M1307" i="1" a="1"/>
  <c r="M1307" i="1" s="1"/>
  <c r="N1307" i="1" s="1" a="1"/>
  <c r="N1307" i="1" s="1"/>
  <c r="M1291" i="1" a="1"/>
  <c r="M1291" i="1" s="1"/>
  <c r="N1291" i="1" s="1" a="1"/>
  <c r="N1291" i="1" s="1"/>
  <c r="M1267" i="1" a="1"/>
  <c r="M1267" i="1" s="1"/>
  <c r="M1251" i="1" a="1"/>
  <c r="M1251" i="1" s="1"/>
  <c r="N1251" i="1" s="1" a="1"/>
  <c r="N1251" i="1" s="1"/>
  <c r="M1235" i="1" a="1"/>
  <c r="M1235" i="1" s="1"/>
  <c r="N1235" i="1" s="1" a="1"/>
  <c r="N1235" i="1" s="1"/>
  <c r="M1219" i="1" a="1"/>
  <c r="M1219" i="1" s="1"/>
  <c r="N1219" i="1" s="1" a="1"/>
  <c r="N1219" i="1" s="1"/>
  <c r="M1203" i="1" a="1"/>
  <c r="M1203" i="1" s="1"/>
  <c r="M1187" i="1" a="1"/>
  <c r="M1187" i="1" s="1"/>
  <c r="M1179" i="1" a="1"/>
  <c r="M1179" i="1" s="1"/>
  <c r="N1179" i="1" s="1" a="1"/>
  <c r="N1179" i="1" s="1"/>
  <c r="M1171" i="1" a="1"/>
  <c r="M1171" i="1" s="1"/>
  <c r="N1171" i="1" s="1" a="1"/>
  <c r="N1171" i="1" s="1"/>
  <c r="M1155" i="1" a="1"/>
  <c r="M1155" i="1" s="1"/>
  <c r="M1147" i="1" a="1"/>
  <c r="M1147" i="1" s="1"/>
  <c r="N1147" i="1" s="1" a="1"/>
  <c r="N1147" i="1" s="1"/>
  <c r="M1139" i="1" a="1"/>
  <c r="M1139" i="1" s="1"/>
  <c r="N1139" i="1" s="1" a="1"/>
  <c r="N1139" i="1" s="1"/>
  <c r="M1131" i="1" a="1"/>
  <c r="M1131" i="1" s="1"/>
  <c r="N1131" i="1" s="1" a="1"/>
  <c r="N1131" i="1" s="1"/>
  <c r="M1123" i="1" a="1"/>
  <c r="M1123" i="1" s="1"/>
  <c r="M1115" i="1" a="1"/>
  <c r="M1115" i="1" s="1"/>
  <c r="N1115" i="1" s="1" a="1"/>
  <c r="N1115" i="1" s="1"/>
  <c r="M1107" i="1" a="1"/>
  <c r="M1107" i="1" s="1"/>
  <c r="N1107" i="1" s="1" a="1"/>
  <c r="N1107" i="1" s="1"/>
  <c r="M1099" i="1" a="1"/>
  <c r="M1099" i="1" s="1"/>
  <c r="N1099" i="1" s="1" a="1"/>
  <c r="N1099" i="1" s="1"/>
  <c r="M1091" i="1" a="1"/>
  <c r="M1091" i="1" s="1"/>
  <c r="M1083" i="1" a="1"/>
  <c r="M1083" i="1" s="1"/>
  <c r="N1083" i="1" s="1" a="1"/>
  <c r="N1083" i="1" s="1"/>
  <c r="M1075" i="1" a="1"/>
  <c r="M1075" i="1" s="1"/>
  <c r="N1075" i="1" s="1" a="1"/>
  <c r="N1075" i="1" s="1"/>
  <c r="M1067" i="1" a="1"/>
  <c r="M1067" i="1" s="1"/>
  <c r="N1067" i="1" s="1" a="1"/>
  <c r="N1067" i="1" s="1"/>
  <c r="M1059" i="1" a="1"/>
  <c r="M1059" i="1" s="1"/>
  <c r="M1051" i="1" a="1"/>
  <c r="M1051" i="1" s="1"/>
  <c r="N1051" i="1" s="1" a="1"/>
  <c r="N1051" i="1" s="1"/>
  <c r="M1043" i="1" a="1"/>
  <c r="M1043" i="1" s="1"/>
  <c r="N1043" i="1" s="1" a="1"/>
  <c r="N1043" i="1" s="1"/>
  <c r="M1035" i="1" a="1"/>
  <c r="M1035" i="1" s="1"/>
  <c r="N1035" i="1" s="1" a="1"/>
  <c r="N1035" i="1" s="1"/>
  <c r="M1027" i="1" a="1"/>
  <c r="M1027" i="1" s="1"/>
  <c r="N1027" i="1" s="1" a="1"/>
  <c r="N1027" i="1" s="1"/>
  <c r="M1019" i="1" a="1"/>
  <c r="M1019" i="1" s="1"/>
  <c r="N1019" i="1" s="1" a="1"/>
  <c r="N1019" i="1" s="1"/>
  <c r="M1003" i="1" a="1"/>
  <c r="M1003" i="1" s="1"/>
  <c r="N1003" i="1" s="1" a="1"/>
  <c r="N1003" i="1" s="1"/>
  <c r="M995" i="1" a="1"/>
  <c r="M995" i="1" s="1"/>
  <c r="M987" i="1" a="1"/>
  <c r="M987" i="1" s="1"/>
  <c r="M979" i="1" a="1"/>
  <c r="M979" i="1" s="1"/>
  <c r="N979" i="1" s="1" a="1"/>
  <c r="N979" i="1" s="1"/>
  <c r="M971" i="1" a="1"/>
  <c r="M971" i="1" s="1"/>
  <c r="N971" i="1" s="1" a="1"/>
  <c r="N971" i="1" s="1"/>
  <c r="M963" i="1" a="1"/>
  <c r="M963" i="1" s="1"/>
  <c r="N963" i="1" s="1" a="1"/>
  <c r="N963" i="1" s="1"/>
  <c r="M955" i="1" a="1"/>
  <c r="M955" i="1" s="1"/>
  <c r="M947" i="1" a="1"/>
  <c r="M947" i="1" s="1"/>
  <c r="N947" i="1" s="1" a="1"/>
  <c r="N947" i="1" s="1"/>
  <c r="M939" i="1" a="1"/>
  <c r="M939" i="1" s="1"/>
  <c r="N939" i="1" s="1" a="1"/>
  <c r="N939" i="1" s="1"/>
  <c r="M931" i="1" a="1"/>
  <c r="M931" i="1" s="1"/>
  <c r="N931" i="1" s="1" a="1"/>
  <c r="N931" i="1" s="1"/>
  <c r="M923" i="1" a="1"/>
  <c r="M923" i="1" s="1"/>
  <c r="M915" i="1" a="1"/>
  <c r="M915" i="1" s="1"/>
  <c r="N915" i="1" s="1" a="1"/>
  <c r="N915" i="1" s="1"/>
  <c r="M907" i="1" a="1"/>
  <c r="M907" i="1" s="1"/>
  <c r="N907" i="1" s="1" a="1"/>
  <c r="N907" i="1" s="1"/>
  <c r="M899" i="1" a="1"/>
  <c r="M899" i="1" s="1"/>
  <c r="N899" i="1" s="1" a="1"/>
  <c r="N899" i="1" s="1"/>
  <c r="M891" i="1" a="1"/>
  <c r="M891" i="1" s="1"/>
  <c r="M883" i="1" a="1"/>
  <c r="M883" i="1" s="1"/>
  <c r="N883" i="1" s="1" a="1"/>
  <c r="N883" i="1" s="1"/>
  <c r="M875" i="1" a="1"/>
  <c r="M875" i="1" s="1"/>
  <c r="N875" i="1" s="1" a="1"/>
  <c r="N875" i="1" s="1"/>
  <c r="M867" i="1" a="1"/>
  <c r="M867" i="1" s="1"/>
  <c r="N867" i="1" s="1" a="1"/>
  <c r="N867" i="1" s="1"/>
  <c r="M859" i="1" a="1"/>
  <c r="M859" i="1" s="1"/>
  <c r="M851" i="1" a="1"/>
  <c r="M851" i="1" s="1"/>
  <c r="N851" i="1" s="1" a="1"/>
  <c r="N851" i="1" s="1"/>
  <c r="M843" i="1" a="1"/>
  <c r="M843" i="1" s="1"/>
  <c r="N843" i="1" s="1" a="1"/>
  <c r="N843" i="1" s="1"/>
  <c r="M835" i="1" a="1"/>
  <c r="M835" i="1" s="1"/>
  <c r="N835" i="1" s="1" a="1"/>
  <c r="N835" i="1" s="1"/>
  <c r="M827" i="1" a="1"/>
  <c r="M827" i="1" s="1"/>
  <c r="N827" i="1" s="1" a="1"/>
  <c r="N827" i="1" s="1"/>
  <c r="M819" i="1" a="1"/>
  <c r="M819" i="1" s="1"/>
  <c r="N819" i="1" s="1" a="1"/>
  <c r="N819" i="1" s="1"/>
  <c r="M811" i="1" a="1"/>
  <c r="M811" i="1" s="1"/>
  <c r="N811" i="1" s="1" a="1"/>
  <c r="N811" i="1" s="1"/>
  <c r="M803" i="1" a="1"/>
  <c r="M803" i="1" s="1"/>
  <c r="N803" i="1" s="1" a="1"/>
  <c r="N803" i="1" s="1"/>
  <c r="M795" i="1" a="1"/>
  <c r="M795" i="1" s="1"/>
  <c r="M787" i="1" a="1"/>
  <c r="M787" i="1" s="1"/>
  <c r="N787" i="1" s="1" a="1"/>
  <c r="N787" i="1" s="1"/>
  <c r="M779" i="1" a="1"/>
  <c r="M779" i="1" s="1"/>
  <c r="N779" i="1" s="1" a="1"/>
  <c r="N779" i="1" s="1"/>
  <c r="M771" i="1" a="1"/>
  <c r="M771" i="1" s="1"/>
  <c r="N771" i="1" s="1" a="1"/>
  <c r="N771" i="1" s="1"/>
  <c r="M763" i="1" a="1"/>
  <c r="M763" i="1" s="1"/>
  <c r="M755" i="1" a="1"/>
  <c r="M755" i="1" s="1"/>
  <c r="N755" i="1" s="1" a="1"/>
  <c r="N755" i="1" s="1"/>
  <c r="M747" i="1" a="1"/>
  <c r="M747" i="1" s="1"/>
  <c r="N747" i="1" s="1" a="1"/>
  <c r="N747" i="1" s="1"/>
  <c r="M739" i="1" a="1"/>
  <c r="M739" i="1" s="1"/>
  <c r="N739" i="1" s="1" a="1"/>
  <c r="N739" i="1" s="1"/>
  <c r="M731" i="1" a="1"/>
  <c r="M731" i="1" s="1"/>
  <c r="M723" i="1" a="1"/>
  <c r="M723" i="1" s="1"/>
  <c r="N723" i="1" s="1" a="1"/>
  <c r="N723" i="1" s="1"/>
  <c r="M715" i="1" a="1"/>
  <c r="M715" i="1" s="1"/>
  <c r="N715" i="1" s="1" a="1"/>
  <c r="N715" i="1" s="1"/>
  <c r="M707" i="1" a="1"/>
  <c r="M707" i="1" s="1"/>
  <c r="N707" i="1" s="1" a="1"/>
  <c r="N707" i="1" s="1"/>
  <c r="M699" i="1" a="1"/>
  <c r="M699" i="1" s="1"/>
  <c r="M212" i="1" a="1"/>
  <c r="M212" i="1" s="1"/>
  <c r="N212" i="1" s="1" a="1"/>
  <c r="N212" i="1" s="1"/>
  <c r="M180" i="1" a="1"/>
  <c r="M180" i="1" s="1"/>
  <c r="N180" i="1" s="1" a="1"/>
  <c r="N180" i="1" s="1"/>
  <c r="M140" i="1" a="1"/>
  <c r="M140" i="1" s="1"/>
  <c r="N140" i="1" s="1" a="1"/>
  <c r="N140" i="1" s="1"/>
  <c r="M100" i="1" a="1"/>
  <c r="M100" i="1" s="1"/>
  <c r="M68" i="1" a="1"/>
  <c r="M68" i="1" s="1"/>
  <c r="N68" i="1" s="1" a="1"/>
  <c r="N68" i="1" s="1"/>
  <c r="M28" i="1" a="1"/>
  <c r="M28" i="1" s="1"/>
  <c r="N28" i="1" s="1" a="1"/>
  <c r="N28" i="1" s="1"/>
  <c r="M1499" i="1" a="1"/>
  <c r="M1499" i="1" s="1"/>
  <c r="N1499" i="1" s="1" a="1"/>
  <c r="N1499" i="1" s="1"/>
  <c r="M1483" i="1" a="1"/>
  <c r="M1483" i="1" s="1"/>
  <c r="M1467" i="1" a="1"/>
  <c r="M1467" i="1" s="1"/>
  <c r="N1467" i="1" s="1" a="1"/>
  <c r="N1467" i="1" s="1"/>
  <c r="M1451" i="1" a="1"/>
  <c r="M1451" i="1" s="1"/>
  <c r="N1451" i="1" s="1" a="1"/>
  <c r="N1451" i="1" s="1"/>
  <c r="M1435" i="1" a="1"/>
  <c r="M1435" i="1" s="1"/>
  <c r="N1435" i="1" s="1" a="1"/>
  <c r="N1435" i="1" s="1"/>
  <c r="M1427" i="1" a="1"/>
  <c r="M1427" i="1" s="1"/>
  <c r="M1411" i="1" a="1"/>
  <c r="M1411" i="1" s="1"/>
  <c r="M1395" i="1" a="1"/>
  <c r="M1395" i="1" s="1"/>
  <c r="N1395" i="1" s="1" a="1"/>
  <c r="N1395" i="1" s="1"/>
  <c r="M1379" i="1" a="1"/>
  <c r="M1379" i="1" s="1"/>
  <c r="N1379" i="1" s="1" a="1"/>
  <c r="N1379" i="1" s="1"/>
  <c r="M1363" i="1" a="1"/>
  <c r="M1363" i="1" s="1"/>
  <c r="N1363" i="1" s="1" a="1"/>
  <c r="N1363" i="1" s="1"/>
  <c r="M1347" i="1" a="1"/>
  <c r="M1347" i="1" s="1"/>
  <c r="N1347" i="1" s="1" a="1"/>
  <c r="N1347" i="1" s="1"/>
  <c r="M1331" i="1" a="1"/>
  <c r="M1331" i="1" s="1"/>
  <c r="N1331" i="1" s="1" a="1"/>
  <c r="N1331" i="1" s="1"/>
  <c r="M1315" i="1" a="1"/>
  <c r="M1315" i="1" s="1"/>
  <c r="N1315" i="1" s="1" a="1"/>
  <c r="N1315" i="1" s="1"/>
  <c r="M1299" i="1" a="1"/>
  <c r="M1299" i="1" s="1"/>
  <c r="M1283" i="1" a="1"/>
  <c r="M1283" i="1" s="1"/>
  <c r="N1283" i="1" s="1" a="1"/>
  <c r="N1283" i="1" s="1"/>
  <c r="M1275" i="1" a="1"/>
  <c r="M1275" i="1" s="1"/>
  <c r="N1275" i="1" s="1" a="1"/>
  <c r="N1275" i="1" s="1"/>
  <c r="M1259" i="1" a="1"/>
  <c r="M1259" i="1" s="1"/>
  <c r="N1259" i="1" s="1" a="1"/>
  <c r="N1259" i="1" s="1"/>
  <c r="M1243" i="1" a="1"/>
  <c r="M1243" i="1" s="1"/>
  <c r="N1243" i="1" s="1" a="1"/>
  <c r="N1243" i="1" s="1"/>
  <c r="M1227" i="1" a="1"/>
  <c r="M1227" i="1" s="1"/>
  <c r="N1227" i="1" s="1" a="1"/>
  <c r="N1227" i="1" s="1"/>
  <c r="M1211" i="1" a="1"/>
  <c r="M1211" i="1" s="1"/>
  <c r="N1211" i="1" s="1" a="1"/>
  <c r="N1211" i="1" s="1"/>
  <c r="M1195" i="1" a="1"/>
  <c r="M1195" i="1" s="1"/>
  <c r="N1195" i="1" s="1" a="1"/>
  <c r="N1195" i="1" s="1"/>
  <c r="M1163" i="1" a="1"/>
  <c r="M1163" i="1" s="1"/>
  <c r="M1011" i="1" a="1"/>
  <c r="M1011" i="1" s="1"/>
  <c r="M196" i="1" a="1"/>
  <c r="M196" i="1" s="1"/>
  <c r="N196" i="1" s="1" a="1"/>
  <c r="N196" i="1" s="1"/>
  <c r="M164" i="1" a="1"/>
  <c r="M164" i="1" s="1"/>
  <c r="N164" i="1" s="1" a="1"/>
  <c r="N164" i="1" s="1"/>
  <c r="M124" i="1" a="1"/>
  <c r="M124" i="1" s="1"/>
  <c r="N124" i="1" s="1" a="1"/>
  <c r="N124" i="1" s="1"/>
  <c r="M84" i="1" a="1"/>
  <c r="M84" i="1" s="1"/>
  <c r="N84" i="1" s="1" a="1"/>
  <c r="N84" i="1" s="1"/>
  <c r="M60" i="1" a="1"/>
  <c r="M60" i="1" s="1"/>
  <c r="N60" i="1" s="1" a="1"/>
  <c r="N60" i="1" s="1"/>
  <c r="M12" i="1" a="1"/>
  <c r="M12" i="1" s="1"/>
  <c r="M683" i="1" a="1"/>
  <c r="M683" i="1" s="1"/>
  <c r="M675" i="1" a="1"/>
  <c r="M675" i="1" s="1"/>
  <c r="N675" i="1" s="1" a="1"/>
  <c r="N675" i="1" s="1"/>
  <c r="M667" i="1" a="1"/>
  <c r="M667" i="1" s="1"/>
  <c r="N667" i="1" s="1" a="1"/>
  <c r="N667" i="1" s="1"/>
  <c r="M659" i="1" a="1"/>
  <c r="M659" i="1" s="1"/>
  <c r="N659" i="1" s="1" a="1"/>
  <c r="N659" i="1" s="1"/>
  <c r="M651" i="1" a="1"/>
  <c r="M651" i="1" s="1"/>
  <c r="M643" i="1" a="1"/>
  <c r="M643" i="1" s="1"/>
  <c r="N643" i="1" s="1" a="1"/>
  <c r="N643" i="1" s="1"/>
  <c r="M635" i="1" a="1"/>
  <c r="M635" i="1" s="1"/>
  <c r="N635" i="1" s="1" a="1"/>
  <c r="N635" i="1" s="1"/>
  <c r="M627" i="1" a="1"/>
  <c r="M627" i="1" s="1"/>
  <c r="N627" i="1" s="1" a="1"/>
  <c r="N627" i="1" s="1"/>
  <c r="M619" i="1" a="1"/>
  <c r="M619" i="1" s="1"/>
  <c r="M611" i="1" a="1"/>
  <c r="M611" i="1" s="1"/>
  <c r="M603" i="1" a="1"/>
  <c r="M603" i="1" s="1"/>
  <c r="N603" i="1" s="1" a="1"/>
  <c r="N603" i="1" s="1"/>
  <c r="M595" i="1" a="1"/>
  <c r="M595" i="1" s="1"/>
  <c r="N595" i="1" s="1" a="1"/>
  <c r="N595" i="1" s="1"/>
  <c r="M587" i="1" a="1"/>
  <c r="M587" i="1" s="1"/>
  <c r="M579" i="1" a="1"/>
  <c r="M579" i="1" s="1"/>
  <c r="N579" i="1" s="1" a="1"/>
  <c r="N579" i="1" s="1"/>
  <c r="M571" i="1" a="1"/>
  <c r="M571" i="1" s="1"/>
  <c r="N571" i="1" s="1" a="1"/>
  <c r="N571" i="1" s="1"/>
  <c r="M563" i="1" a="1"/>
  <c r="M563" i="1" s="1"/>
  <c r="N563" i="1" s="1" a="1"/>
  <c r="N563" i="1" s="1"/>
  <c r="M555" i="1" a="1"/>
  <c r="M555" i="1" s="1"/>
  <c r="M547" i="1" a="1"/>
  <c r="M547" i="1" s="1"/>
  <c r="N547" i="1" s="1" a="1"/>
  <c r="N547" i="1" s="1"/>
  <c r="M539" i="1" a="1"/>
  <c r="M539" i="1" s="1"/>
  <c r="N539" i="1" s="1" a="1"/>
  <c r="N539" i="1" s="1"/>
  <c r="M531" i="1" a="1"/>
  <c r="M531" i="1" s="1"/>
  <c r="N531" i="1" s="1" a="1"/>
  <c r="N531" i="1" s="1"/>
  <c r="M523" i="1" a="1"/>
  <c r="M523" i="1" s="1"/>
  <c r="N523" i="1" s="1" a="1"/>
  <c r="N523" i="1" s="1"/>
  <c r="M515" i="1" a="1"/>
  <c r="M515" i="1" s="1"/>
  <c r="N515" i="1" s="1" a="1"/>
  <c r="N515" i="1" s="1"/>
  <c r="M507" i="1" a="1"/>
  <c r="M507" i="1" s="1"/>
  <c r="N507" i="1" s="1" a="1"/>
  <c r="N507" i="1" s="1"/>
  <c r="M499" i="1" a="1"/>
  <c r="M499" i="1" s="1"/>
  <c r="N499" i="1" s="1" a="1"/>
  <c r="N499" i="1" s="1"/>
  <c r="M491" i="1" a="1"/>
  <c r="M491" i="1" s="1"/>
  <c r="M483" i="1" a="1"/>
  <c r="M483" i="1" s="1"/>
  <c r="N483" i="1" s="1" a="1"/>
  <c r="N483" i="1" s="1"/>
  <c r="M475" i="1" a="1"/>
  <c r="M475" i="1" s="1"/>
  <c r="N475" i="1" s="1" a="1"/>
  <c r="N475" i="1" s="1"/>
  <c r="M467" i="1" a="1"/>
  <c r="M467" i="1" s="1"/>
  <c r="N467" i="1" s="1" a="1"/>
  <c r="N467" i="1" s="1"/>
  <c r="M459" i="1" a="1"/>
  <c r="M459" i="1" s="1"/>
  <c r="M451" i="1" a="1"/>
  <c r="M451" i="1" s="1"/>
  <c r="N451" i="1" s="1" a="1"/>
  <c r="N451" i="1" s="1"/>
  <c r="M443" i="1" a="1"/>
  <c r="M443" i="1" s="1"/>
  <c r="N443" i="1" s="1" a="1"/>
  <c r="N443" i="1" s="1"/>
  <c r="M435" i="1" a="1"/>
  <c r="M435" i="1" s="1"/>
  <c r="N435" i="1" s="1" a="1"/>
  <c r="N435" i="1" s="1"/>
  <c r="M427" i="1" a="1"/>
  <c r="M427" i="1" s="1"/>
  <c r="M419" i="1" a="1"/>
  <c r="M419" i="1" s="1"/>
  <c r="N419" i="1" s="1" a="1"/>
  <c r="N419" i="1" s="1"/>
  <c r="M411" i="1" a="1"/>
  <c r="M411" i="1" s="1"/>
  <c r="N411" i="1" s="1" a="1"/>
  <c r="N411" i="1" s="1"/>
  <c r="M403" i="1" a="1"/>
  <c r="M403" i="1" s="1"/>
  <c r="N403" i="1" s="1" a="1"/>
  <c r="N403" i="1" s="1"/>
  <c r="M395" i="1" a="1"/>
  <c r="M395" i="1" s="1"/>
  <c r="N395" i="1" s="1" a="1"/>
  <c r="N395" i="1" s="1"/>
  <c r="M387" i="1" a="1"/>
  <c r="M387" i="1" s="1"/>
  <c r="N387" i="1" s="1" a="1"/>
  <c r="N387" i="1" s="1"/>
  <c r="M379" i="1" a="1"/>
  <c r="M379" i="1" s="1"/>
  <c r="N379" i="1" s="1" a="1"/>
  <c r="N379" i="1" s="1"/>
  <c r="M371" i="1" a="1"/>
  <c r="M371" i="1" s="1"/>
  <c r="N371" i="1" s="1" a="1"/>
  <c r="N371" i="1" s="1"/>
  <c r="M363" i="1" a="1"/>
  <c r="M363" i="1" s="1"/>
  <c r="M355" i="1" a="1"/>
  <c r="M355" i="1" s="1"/>
  <c r="M347" i="1" a="1"/>
  <c r="M347" i="1" s="1"/>
  <c r="N347" i="1" s="1" a="1"/>
  <c r="N347" i="1" s="1"/>
  <c r="M339" i="1" a="1"/>
  <c r="M339" i="1" s="1"/>
  <c r="N339" i="1" s="1" a="1"/>
  <c r="N339" i="1" s="1"/>
  <c r="M331" i="1" a="1"/>
  <c r="M331" i="1" s="1"/>
  <c r="N331" i="1" s="1" a="1"/>
  <c r="N331" i="1" s="1"/>
  <c r="M323" i="1" a="1"/>
  <c r="M323" i="1" s="1"/>
  <c r="N323" i="1" s="1" a="1"/>
  <c r="N323" i="1" s="1"/>
  <c r="M315" i="1" a="1"/>
  <c r="M315" i="1" s="1"/>
  <c r="N315" i="1" s="1" a="1"/>
  <c r="N315" i="1" s="1"/>
  <c r="M307" i="1" a="1"/>
  <c r="M307" i="1" s="1"/>
  <c r="N307" i="1" s="1" a="1"/>
  <c r="N307" i="1" s="1"/>
  <c r="M299" i="1" a="1"/>
  <c r="M299" i="1" s="1"/>
  <c r="M291" i="1" a="1"/>
  <c r="M291" i="1" s="1"/>
  <c r="N291" i="1" s="1" a="1"/>
  <c r="N291" i="1" s="1"/>
  <c r="M283" i="1" a="1"/>
  <c r="M283" i="1" s="1"/>
  <c r="N283" i="1" s="1" a="1"/>
  <c r="N283" i="1" s="1"/>
  <c r="M275" i="1" a="1"/>
  <c r="M275" i="1" s="1"/>
  <c r="N275" i="1" s="1" a="1"/>
  <c r="N275" i="1" s="1"/>
  <c r="M267" i="1" a="1"/>
  <c r="M267" i="1" s="1"/>
  <c r="M259" i="1" a="1"/>
  <c r="M259" i="1" s="1"/>
  <c r="N259" i="1" s="1" a="1"/>
  <c r="N259" i="1" s="1"/>
  <c r="M251" i="1" a="1"/>
  <c r="M251" i="1" s="1"/>
  <c r="N251" i="1" s="1" a="1"/>
  <c r="N251" i="1" s="1"/>
  <c r="M243" i="1" a="1"/>
  <c r="M243" i="1" s="1"/>
  <c r="N243" i="1" s="1" a="1"/>
  <c r="N243" i="1" s="1"/>
  <c r="M235" i="1" a="1"/>
  <c r="M235" i="1" s="1"/>
  <c r="N235" i="1" s="1" a="1"/>
  <c r="N235" i="1" s="1"/>
  <c r="M227" i="1" a="1"/>
  <c r="M227" i="1" s="1"/>
  <c r="N227" i="1" s="1" a="1"/>
  <c r="N227" i="1" s="1"/>
  <c r="M219" i="1" a="1"/>
  <c r="M219" i="1" s="1"/>
  <c r="N219" i="1" s="1" a="1"/>
  <c r="N219" i="1" s="1"/>
  <c r="M211" i="1" a="1"/>
  <c r="M211" i="1" s="1"/>
  <c r="N211" i="1" s="1" a="1"/>
  <c r="N211" i="1" s="1"/>
  <c r="M203" i="1" a="1"/>
  <c r="M203" i="1" s="1"/>
  <c r="M195" i="1" a="1"/>
  <c r="M195" i="1" s="1"/>
  <c r="N195" i="1" s="1" a="1"/>
  <c r="N195" i="1" s="1"/>
  <c r="M187" i="1" a="1"/>
  <c r="M187" i="1" s="1"/>
  <c r="N187" i="1" s="1" a="1"/>
  <c r="N187" i="1" s="1"/>
  <c r="M179" i="1" a="1"/>
  <c r="M179" i="1" s="1"/>
  <c r="N179" i="1" s="1" a="1"/>
  <c r="N179" i="1" s="1"/>
  <c r="M171" i="1" a="1"/>
  <c r="M171" i="1" s="1"/>
  <c r="M163" i="1" a="1"/>
  <c r="M163" i="1" s="1"/>
  <c r="M155" i="1" a="1"/>
  <c r="M155" i="1" s="1"/>
  <c r="N155" i="1" s="1" a="1"/>
  <c r="N155" i="1" s="1"/>
  <c r="M147" i="1" a="1"/>
  <c r="M147" i="1" s="1"/>
  <c r="N147" i="1" s="1" a="1"/>
  <c r="N147" i="1" s="1"/>
  <c r="M139" i="1" a="1"/>
  <c r="M139" i="1" s="1"/>
  <c r="M131" i="1" a="1"/>
  <c r="M131" i="1" s="1"/>
  <c r="N131" i="1" s="1" a="1"/>
  <c r="N131" i="1" s="1"/>
  <c r="M123" i="1" a="1"/>
  <c r="M123" i="1" s="1"/>
  <c r="N123" i="1" s="1" a="1"/>
  <c r="N123" i="1" s="1"/>
  <c r="M115" i="1" a="1"/>
  <c r="M115" i="1" s="1"/>
  <c r="N115" i="1" s="1" a="1"/>
  <c r="N115" i="1" s="1"/>
  <c r="M107" i="1" a="1"/>
  <c r="M107" i="1" s="1"/>
  <c r="M99" i="1" a="1"/>
  <c r="M99" i="1" s="1"/>
  <c r="N99" i="1" s="1" a="1"/>
  <c r="N99" i="1" s="1"/>
  <c r="M91" i="1" a="1"/>
  <c r="M91" i="1" s="1"/>
  <c r="N91" i="1" s="1" a="1"/>
  <c r="N91" i="1" s="1"/>
  <c r="M83" i="1" a="1"/>
  <c r="M83" i="1" s="1"/>
  <c r="N83" i="1" s="1" a="1"/>
  <c r="N83" i="1" s="1"/>
  <c r="M75" i="1" a="1"/>
  <c r="M75" i="1" s="1"/>
  <c r="M67" i="1" a="1"/>
  <c r="M67" i="1" s="1"/>
  <c r="N67" i="1" s="1" a="1"/>
  <c r="N67" i="1" s="1"/>
  <c r="M59" i="1" a="1"/>
  <c r="M59" i="1" s="1"/>
  <c r="N59" i="1" s="1" a="1"/>
  <c r="N59" i="1" s="1"/>
  <c r="M51" i="1" a="1"/>
  <c r="M51" i="1" s="1"/>
  <c r="N51" i="1" s="1" a="1"/>
  <c r="N51" i="1" s="1"/>
  <c r="M43" i="1" a="1"/>
  <c r="M43" i="1" s="1"/>
  <c r="M35" i="1" a="1"/>
  <c r="M35" i="1" s="1"/>
  <c r="N35" i="1" s="1" a="1"/>
  <c r="N35" i="1" s="1"/>
  <c r="M27" i="1" a="1"/>
  <c r="M27" i="1" s="1"/>
  <c r="N27" i="1" s="1" a="1"/>
  <c r="N27" i="1" s="1"/>
  <c r="M19" i="1" a="1"/>
  <c r="M19" i="1" s="1"/>
  <c r="N19" i="1" s="1" a="1"/>
  <c r="N19" i="1" s="1"/>
  <c r="M11" i="1" a="1"/>
  <c r="M11" i="1" s="1"/>
  <c r="M297" i="1" a="1"/>
  <c r="M297" i="1" s="1"/>
  <c r="N297" i="1" s="1" a="1"/>
  <c r="N297" i="1" s="1"/>
  <c r="M660" i="1" a="1"/>
  <c r="M660" i="1" s="1"/>
  <c r="N660" i="1" s="1" a="1"/>
  <c r="N660" i="1" s="1"/>
  <c r="N930" i="1" a="1"/>
  <c r="N930" i="1" s="1"/>
  <c r="M1055" i="1" a="1"/>
  <c r="M1055" i="1" s="1"/>
  <c r="N1055" i="1" s="1" a="1"/>
  <c r="N1055" i="1" s="1"/>
  <c r="M732" i="1" a="1"/>
  <c r="M732" i="1" s="1"/>
  <c r="N732" i="1" s="1" a="1"/>
  <c r="N732" i="1" s="1"/>
  <c r="M356" i="1" a="1"/>
  <c r="M356" i="1" s="1"/>
  <c r="N356" i="1" s="1" a="1"/>
  <c r="N356" i="1" s="1"/>
  <c r="N1441" i="1" a="1"/>
  <c r="N1441" i="1" s="1"/>
  <c r="N1345" i="1" a="1"/>
  <c r="N1345" i="1" s="1"/>
  <c r="N1178" i="1" a="1"/>
  <c r="N1178" i="1" s="1"/>
  <c r="N1428" i="1" a="1"/>
  <c r="N1428" i="1" s="1"/>
  <c r="N1316" i="1" a="1"/>
  <c r="N1316" i="1" s="1"/>
  <c r="N1244" i="1" a="1"/>
  <c r="N1244" i="1" s="1"/>
  <c r="N1236" i="1" a="1"/>
  <c r="N1236" i="1" s="1"/>
  <c r="N1172" i="1" a="1"/>
  <c r="N1172" i="1" s="1"/>
  <c r="N1140" i="1" a="1"/>
  <c r="N1140" i="1" s="1"/>
  <c r="N1124" i="1" a="1"/>
  <c r="N1124" i="1" s="1"/>
  <c r="N1092" i="1" a="1"/>
  <c r="N1092" i="1" s="1"/>
  <c r="N1076" i="1" a="1"/>
  <c r="N1076" i="1" s="1"/>
  <c r="N1044" i="1" a="1"/>
  <c r="N1044" i="1" s="1"/>
  <c r="N1012" i="1" a="1"/>
  <c r="N1012" i="1" s="1"/>
  <c r="N972" i="1" a="1"/>
  <c r="N972" i="1" s="1"/>
  <c r="N956" i="1" a="1"/>
  <c r="N956" i="1" s="1"/>
  <c r="N948" i="1" a="1"/>
  <c r="N948" i="1" s="1"/>
  <c r="N916" i="1" a="1"/>
  <c r="N916" i="1" s="1"/>
  <c r="N884" i="1" a="1"/>
  <c r="N884" i="1" s="1"/>
  <c r="N876" i="1" a="1"/>
  <c r="N876" i="1" s="1"/>
  <c r="N852" i="1" a="1"/>
  <c r="N852" i="1" s="1"/>
  <c r="N820" i="1" a="1"/>
  <c r="N820" i="1" s="1"/>
  <c r="N756" i="1" a="1"/>
  <c r="N756" i="1" s="1"/>
  <c r="N716" i="1" a="1"/>
  <c r="N716" i="1" s="1"/>
  <c r="N684" i="1" a="1"/>
  <c r="N684" i="1" s="1"/>
  <c r="N644" i="1" a="1"/>
  <c r="N644" i="1" s="1"/>
  <c r="N612" i="1" a="1"/>
  <c r="N612" i="1" s="1"/>
  <c r="N580" i="1" a="1"/>
  <c r="N580" i="1" s="1"/>
  <c r="N572" i="1" a="1"/>
  <c r="N572" i="1" s="1"/>
  <c r="N540" i="1" a="1"/>
  <c r="N540" i="1" s="1"/>
  <c r="N532" i="1" a="1"/>
  <c r="N532" i="1" s="1"/>
  <c r="N524" i="1" a="1"/>
  <c r="N524" i="1" s="1"/>
  <c r="N500" i="1" a="1"/>
  <c r="N500" i="1" s="1"/>
  <c r="N468" i="1" a="1"/>
  <c r="N468" i="1" s="1"/>
  <c r="N460" i="1" a="1"/>
  <c r="N460" i="1" s="1"/>
  <c r="N436" i="1" a="1"/>
  <c r="N436" i="1" s="1"/>
  <c r="N428" i="1" a="1"/>
  <c r="N428" i="1" s="1"/>
  <c r="N396" i="1" a="1"/>
  <c r="N396" i="1" s="1"/>
  <c r="N388" i="1" a="1"/>
  <c r="N388" i="1" s="1"/>
  <c r="N380" i="1" a="1"/>
  <c r="N380" i="1" s="1"/>
  <c r="N348" i="1" a="1"/>
  <c r="N348" i="1" s="1"/>
  <c r="N316" i="1" a="1"/>
  <c r="N316" i="1" s="1"/>
  <c r="N308" i="1" a="1"/>
  <c r="N308" i="1" s="1"/>
  <c r="N284" i="1" a="1"/>
  <c r="N284" i="1" s="1"/>
  <c r="N276" i="1" a="1"/>
  <c r="N276" i="1" s="1"/>
  <c r="N244" i="1" a="1"/>
  <c r="N244" i="1" s="1"/>
  <c r="N236" i="1" a="1"/>
  <c r="N236" i="1" s="1"/>
  <c r="N220" i="1" a="1"/>
  <c r="N220" i="1" s="1"/>
  <c r="N172" i="1" a="1"/>
  <c r="N172" i="1" s="1"/>
  <c r="N132" i="1" a="1"/>
  <c r="N132" i="1" s="1"/>
  <c r="N108" i="1" a="1"/>
  <c r="N108" i="1" s="1"/>
  <c r="N100" i="1" a="1"/>
  <c r="N100" i="1" s="1"/>
  <c r="N92" i="1" a="1"/>
  <c r="N92" i="1" s="1"/>
  <c r="N76" i="1" a="1"/>
  <c r="N76" i="1" s="1"/>
  <c r="N1460" i="1" a="1"/>
  <c r="N1460" i="1" s="1"/>
  <c r="N1228" i="1" a="1"/>
  <c r="N1228" i="1" s="1"/>
  <c r="N1483" i="1" a="1"/>
  <c r="N1483" i="1" s="1"/>
  <c r="N1475" i="1" a="1"/>
  <c r="N1475" i="1" s="1"/>
  <c r="N1427" i="1" a="1"/>
  <c r="N1427" i="1" s="1"/>
  <c r="N1411" i="1" a="1"/>
  <c r="N1411" i="1" s="1"/>
  <c r="N1339" i="1" a="1"/>
  <c r="N1339" i="1" s="1"/>
  <c r="N1299" i="1" a="1"/>
  <c r="N1299" i="1" s="1"/>
  <c r="N1267" i="1" a="1"/>
  <c r="N1267" i="1" s="1"/>
  <c r="N1203" i="1" a="1"/>
  <c r="N1203" i="1" s="1"/>
  <c r="N1187" i="1" a="1"/>
  <c r="N1187" i="1" s="1"/>
  <c r="N1163" i="1" a="1"/>
  <c r="N1163" i="1" s="1"/>
  <c r="N1155" i="1" a="1"/>
  <c r="N1155" i="1" s="1"/>
  <c r="N1123" i="1" a="1"/>
  <c r="N1123" i="1" s="1"/>
  <c r="N1091" i="1" a="1"/>
  <c r="N1091" i="1" s="1"/>
  <c r="N1059" i="1" a="1"/>
  <c r="N1059" i="1" s="1"/>
  <c r="N1011" i="1" a="1"/>
  <c r="N1011" i="1" s="1"/>
  <c r="N995" i="1" a="1"/>
  <c r="N995" i="1" s="1"/>
  <c r="N987" i="1" a="1"/>
  <c r="N987" i="1" s="1"/>
  <c r="N955" i="1" a="1"/>
  <c r="N955" i="1" s="1"/>
  <c r="N923" i="1" a="1"/>
  <c r="N923" i="1" s="1"/>
  <c r="N891" i="1" a="1"/>
  <c r="N891" i="1" s="1"/>
  <c r="N859" i="1" a="1"/>
  <c r="N859" i="1" s="1"/>
  <c r="N795" i="1" a="1"/>
  <c r="N795" i="1" s="1"/>
  <c r="N763" i="1" a="1"/>
  <c r="N763" i="1" s="1"/>
  <c r="N731" i="1" a="1"/>
  <c r="N731" i="1" s="1"/>
  <c r="N699" i="1" a="1"/>
  <c r="N699" i="1" s="1"/>
  <c r="N683" i="1" a="1"/>
  <c r="N683" i="1" s="1"/>
  <c r="N651" i="1" a="1"/>
  <c r="N651" i="1" s="1"/>
  <c r="N619" i="1" a="1"/>
  <c r="N619" i="1" s="1"/>
  <c r="N611" i="1" a="1"/>
  <c r="N611" i="1" s="1"/>
  <c r="N587" i="1" a="1"/>
  <c r="N587" i="1" s="1"/>
  <c r="N555" i="1" a="1"/>
  <c r="N555" i="1" s="1"/>
  <c r="N491" i="1" a="1"/>
  <c r="N491" i="1" s="1"/>
  <c r="N459" i="1" a="1"/>
  <c r="N459" i="1" s="1"/>
  <c r="N427" i="1" a="1"/>
  <c r="N427" i="1" s="1"/>
  <c r="N363" i="1" a="1"/>
  <c r="N363" i="1" s="1"/>
  <c r="N355" i="1" a="1"/>
  <c r="N355" i="1" s="1"/>
  <c r="N299" i="1" a="1"/>
  <c r="N299" i="1" s="1"/>
  <c r="N267" i="1" a="1"/>
  <c r="N267" i="1" s="1"/>
  <c r="N203" i="1" a="1"/>
  <c r="N203" i="1" s="1"/>
  <c r="N171" i="1" a="1"/>
  <c r="N171" i="1" s="1"/>
  <c r="N1324" i="1" a="1"/>
  <c r="N1324" i="1" s="1"/>
  <c r="N1260" i="1" a="1"/>
  <c r="N1260" i="1" s="1"/>
  <c r="N1434" i="1" a="1"/>
  <c r="N1434" i="1" s="1"/>
  <c r="N1402" i="1" a="1"/>
  <c r="N1402" i="1" s="1"/>
  <c r="N1394" i="1" a="1"/>
  <c r="N1394" i="1" s="1"/>
  <c r="N1362" i="1" a="1"/>
  <c r="N1362" i="1" s="1"/>
  <c r="N1322" i="1" a="1"/>
  <c r="N1322" i="1" s="1"/>
  <c r="N1314" i="1" a="1"/>
  <c r="N1314" i="1" s="1"/>
  <c r="N1306" i="1" a="1"/>
  <c r="N1306" i="1" s="1"/>
  <c r="N1298" i="1" a="1"/>
  <c r="N1298" i="1" s="1"/>
  <c r="N1290" i="1" a="1"/>
  <c r="N1290" i="1" s="1"/>
  <c r="N1282" i="1" a="1"/>
  <c r="N1282" i="1" s="1"/>
  <c r="N1226" i="1" a="1"/>
  <c r="N1226" i="1" s="1"/>
  <c r="N1186" i="1" a="1"/>
  <c r="N1186" i="1" s="1"/>
  <c r="N1154" i="1" a="1"/>
  <c r="N1154" i="1" s="1"/>
  <c r="N1130" i="1" a="1"/>
  <c r="N1130" i="1" s="1"/>
  <c r="N1122" i="1" a="1"/>
  <c r="N1122" i="1" s="1"/>
  <c r="N1114" i="1" a="1"/>
  <c r="N1114" i="1" s="1"/>
  <c r="N1074" i="1" a="1"/>
  <c r="N1074" i="1" s="1"/>
  <c r="N1050" i="1" a="1"/>
  <c r="N1050" i="1" s="1"/>
  <c r="N1042" i="1" a="1"/>
  <c r="N1042" i="1" s="1"/>
  <c r="N1002" i="1" a="1"/>
  <c r="N1002" i="1" s="1"/>
  <c r="N954" i="1" a="1"/>
  <c r="N954" i="1" s="1"/>
  <c r="N922" i="1" a="1"/>
  <c r="N922" i="1" s="1"/>
  <c r="N906" i="1" a="1"/>
  <c r="N906" i="1" s="1"/>
  <c r="N890" i="1" a="1"/>
  <c r="N890" i="1" s="1"/>
  <c r="N866" i="1" a="1"/>
  <c r="N866" i="1" s="1"/>
  <c r="N826" i="1" a="1"/>
  <c r="N826" i="1" s="1"/>
  <c r="N794" i="1" a="1"/>
  <c r="N794" i="1" s="1"/>
  <c r="N778" i="1" a="1"/>
  <c r="N778" i="1" s="1"/>
  <c r="N746" i="1" a="1"/>
  <c r="N746" i="1" s="1"/>
  <c r="N730" i="1" a="1"/>
  <c r="N730" i="1" s="1"/>
  <c r="N722" i="1" a="1"/>
  <c r="N722" i="1" s="1"/>
  <c r="N714" i="1" a="1"/>
  <c r="N714" i="1" s="1"/>
  <c r="N698" i="1" a="1"/>
  <c r="N698" i="1" s="1"/>
  <c r="N690" i="1" a="1"/>
  <c r="N690" i="1" s="1"/>
  <c r="N658" i="1" a="1"/>
  <c r="N658" i="1" s="1"/>
  <c r="N642" i="1" a="1"/>
  <c r="N642" i="1" s="1"/>
  <c r="N626" i="1" a="1"/>
  <c r="N626" i="1" s="1"/>
  <c r="N618" i="1" a="1"/>
  <c r="N618" i="1" s="1"/>
  <c r="N586" i="1" a="1"/>
  <c r="N586" i="1" s="1"/>
  <c r="N554" i="1" a="1"/>
  <c r="N554" i="1" s="1"/>
  <c r="N522" i="1" a="1"/>
  <c r="N522" i="1" s="1"/>
  <c r="N514" i="1" a="1"/>
  <c r="N514" i="1" s="1"/>
  <c r="N490" i="1" a="1"/>
  <c r="N490" i="1" s="1"/>
  <c r="N458" i="1" a="1"/>
  <c r="N458" i="1" s="1"/>
  <c r="N426" i="1" a="1"/>
  <c r="N426" i="1" s="1"/>
  <c r="N394" i="1" a="1"/>
  <c r="N394" i="1" s="1"/>
  <c r="N362" i="1" a="1"/>
  <c r="N362" i="1" s="1"/>
  <c r="N330" i="1" a="1"/>
  <c r="N330" i="1" s="1"/>
  <c r="N544" i="1" a="1"/>
  <c r="N544" i="1" s="1"/>
  <c r="N416" i="1" a="1"/>
  <c r="N416" i="1" s="1"/>
  <c r="N344" i="1" a="1"/>
  <c r="N344" i="1" s="1"/>
  <c r="N328" i="1" a="1"/>
  <c r="N328" i="1" s="1"/>
  <c r="N256" i="1" a="1"/>
  <c r="N256" i="1" s="1"/>
  <c r="N216" i="1" a="1"/>
  <c r="N216" i="1" s="1"/>
  <c r="N168" i="1" a="1"/>
  <c r="N168" i="1" s="1"/>
  <c r="N104" i="1" a="1"/>
  <c r="N104" i="1" s="1"/>
  <c r="N1047" i="1" a="1"/>
  <c r="N1047" i="1" s="1"/>
  <c r="N1031" i="1" a="1"/>
  <c r="N1031" i="1" s="1"/>
  <c r="N863" i="1" a="1"/>
  <c r="N863" i="1" s="1"/>
  <c r="N847" i="1" a="1"/>
  <c r="N847" i="1" s="1"/>
  <c r="N831" i="1" a="1"/>
  <c r="N831" i="1" s="1"/>
  <c r="N799" i="1" a="1"/>
  <c r="N799" i="1" s="1"/>
  <c r="N703" i="1" a="1"/>
  <c r="N703" i="1" s="1"/>
  <c r="N639" i="1" a="1"/>
  <c r="N639" i="1" s="1"/>
  <c r="N575" i="1" a="1"/>
  <c r="N575" i="1" s="1"/>
  <c r="N511" i="1" a="1"/>
  <c r="N511" i="1" s="1"/>
  <c r="N471" i="1" a="1"/>
  <c r="N471" i="1" s="1"/>
  <c r="N407" i="1" a="1"/>
  <c r="N407" i="1" s="1"/>
  <c r="N351" i="1" a="1"/>
  <c r="N351" i="1" s="1"/>
  <c r="N319" i="1" a="1"/>
  <c r="N319" i="1" s="1"/>
  <c r="N287" i="1" a="1"/>
  <c r="N287" i="1" s="1"/>
  <c r="N279" i="1" a="1"/>
  <c r="N279" i="1" s="1"/>
  <c r="N255" i="1" a="1"/>
  <c r="N255" i="1" s="1"/>
  <c r="N127" i="1" a="1"/>
  <c r="N127" i="1" s="1"/>
  <c r="N95" i="1" a="1"/>
  <c r="N95" i="1" s="1"/>
  <c r="N952" i="1" a="1"/>
  <c r="N952" i="1" s="1"/>
  <c r="N872" i="1" a="1"/>
  <c r="N872" i="1" s="1"/>
  <c r="N864" i="1" a="1"/>
  <c r="N864" i="1" s="1"/>
  <c r="N736" i="1" a="1"/>
  <c r="N736" i="1" s="1"/>
  <c r="N1487" i="1" a="1"/>
  <c r="N1487" i="1" s="1"/>
  <c r="N1479" i="1" a="1"/>
  <c r="N1479" i="1" s="1"/>
  <c r="N1423" i="1" a="1"/>
  <c r="N1423" i="1" s="1"/>
  <c r="N1415" i="1" a="1"/>
  <c r="N1415" i="1" s="1"/>
  <c r="N1399" i="1" a="1"/>
  <c r="N1399" i="1" s="1"/>
  <c r="N1367" i="1" a="1"/>
  <c r="N1367" i="1" s="1"/>
  <c r="N1359" i="1" a="1"/>
  <c r="N1359" i="1" s="1"/>
  <c r="N1335" i="1" a="1"/>
  <c r="N1335" i="1" s="1"/>
  <c r="N1303" i="1" a="1"/>
  <c r="N1303" i="1" s="1"/>
  <c r="N1295" i="1" a="1"/>
  <c r="N1295" i="1" s="1"/>
  <c r="N1287" i="1" a="1"/>
  <c r="N1287" i="1" s="1"/>
  <c r="N1279" i="1" a="1"/>
  <c r="N1279" i="1" s="1"/>
  <c r="N1263" i="1" a="1"/>
  <c r="N1263" i="1" s="1"/>
  <c r="N1239" i="1" a="1"/>
  <c r="N1239" i="1" s="1"/>
  <c r="N1199" i="1" a="1"/>
  <c r="N1199" i="1" s="1"/>
  <c r="N1175" i="1" a="1"/>
  <c r="N1175" i="1" s="1"/>
  <c r="N1167" i="1" a="1"/>
  <c r="N1167" i="1" s="1"/>
  <c r="N1159" i="1" a="1"/>
  <c r="N1159" i="1" s="1"/>
  <c r="N1151" i="1" a="1"/>
  <c r="N1151" i="1" s="1"/>
  <c r="N1103" i="1" a="1"/>
  <c r="N1103" i="1" s="1"/>
  <c r="N1095" i="1" a="1"/>
  <c r="N1095" i="1" s="1"/>
  <c r="N1087" i="1" a="1"/>
  <c r="N1087" i="1" s="1"/>
  <c r="N1071" i="1" a="1"/>
  <c r="N1071" i="1" s="1"/>
  <c r="N1502" i="1" a="1"/>
  <c r="N1502" i="1" s="1"/>
  <c r="N1446" i="1" a="1"/>
  <c r="N1446" i="1" s="1"/>
  <c r="N1422" i="1" a="1"/>
  <c r="N1422" i="1" s="1"/>
  <c r="N1414" i="1" a="1"/>
  <c r="N1414" i="1" s="1"/>
  <c r="N1390" i="1" a="1"/>
  <c r="N1390" i="1" s="1"/>
  <c r="N1382" i="1" a="1"/>
  <c r="N1382" i="1" s="1"/>
  <c r="N1318" i="1" a="1"/>
  <c r="N1318" i="1" s="1"/>
  <c r="N1310" i="1" a="1"/>
  <c r="N1310" i="1" s="1"/>
  <c r="N1302" i="1" a="1"/>
  <c r="N1302" i="1" s="1"/>
  <c r="N1294" i="1" a="1"/>
  <c r="N1294" i="1" s="1"/>
  <c r="N1286" i="1" a="1"/>
  <c r="N1286" i="1" s="1"/>
  <c r="N1278" i="1" a="1"/>
  <c r="N1278" i="1" s="1"/>
  <c r="N1270" i="1" a="1"/>
  <c r="N1270" i="1" s="1"/>
  <c r="N1262" i="1" a="1"/>
  <c r="N1262" i="1" s="1"/>
  <c r="N1246" i="1" a="1"/>
  <c r="N1246" i="1" s="1"/>
  <c r="N1238" i="1" a="1"/>
  <c r="N1238" i="1" s="1"/>
  <c r="N1230" i="1" a="1"/>
  <c r="N1230" i="1" s="1"/>
  <c r="N1222" i="1" a="1"/>
  <c r="N1222" i="1" s="1"/>
  <c r="N1214" i="1" a="1"/>
  <c r="N1214" i="1" s="1"/>
  <c r="N1198" i="1" a="1"/>
  <c r="N1198" i="1" s="1"/>
  <c r="N1190" i="1" a="1"/>
  <c r="N1190" i="1" s="1"/>
  <c r="N1166" i="1" a="1"/>
  <c r="N1166" i="1" s="1"/>
  <c r="N1158" i="1" a="1"/>
  <c r="N1158" i="1" s="1"/>
  <c r="N1150" i="1" a="1"/>
  <c r="N1150" i="1" s="1"/>
  <c r="N1142" i="1" a="1"/>
  <c r="N1142" i="1" s="1"/>
  <c r="N1134" i="1" a="1"/>
  <c r="N1134" i="1" s="1"/>
  <c r="N1126" i="1" a="1"/>
  <c r="N1126" i="1" s="1"/>
  <c r="N1118" i="1" a="1"/>
  <c r="N1118" i="1" s="1"/>
  <c r="N1094" i="1" a="1"/>
  <c r="N1094" i="1" s="1"/>
  <c r="N1086" i="1" a="1"/>
  <c r="N1086" i="1" s="1"/>
  <c r="N1078" i="1" a="1"/>
  <c r="N1078" i="1" s="1"/>
  <c r="N1070" i="1" a="1"/>
  <c r="N1070" i="1" s="1"/>
  <c r="N1062" i="1" a="1"/>
  <c r="N1062" i="1" s="1"/>
  <c r="N1054" i="1" a="1"/>
  <c r="N1054" i="1" s="1"/>
  <c r="N1030" i="1" a="1"/>
  <c r="N1030" i="1" s="1"/>
  <c r="N1022" i="1" a="1"/>
  <c r="N1022" i="1" s="1"/>
  <c r="N1014" i="1" a="1"/>
  <c r="N1014" i="1" s="1"/>
  <c r="N1006" i="1" a="1"/>
  <c r="N1006" i="1" s="1"/>
  <c r="N998" i="1" a="1"/>
  <c r="N998" i="1" s="1"/>
  <c r="N990" i="1" a="1"/>
  <c r="N990" i="1" s="1"/>
  <c r="N982" i="1" a="1"/>
  <c r="N982" i="1" s="1"/>
  <c r="N958" i="1" a="1"/>
  <c r="N958" i="1" s="1"/>
  <c r="N942" i="1" a="1"/>
  <c r="N942" i="1" s="1"/>
  <c r="N934" i="1" a="1"/>
  <c r="N934" i="1" s="1"/>
  <c r="N926" i="1" a="1"/>
  <c r="N926" i="1" s="1"/>
  <c r="N918" i="1" a="1"/>
  <c r="N918" i="1" s="1"/>
  <c r="N910" i="1" a="1"/>
  <c r="N910" i="1" s="1"/>
  <c r="N902" i="1" a="1"/>
  <c r="N902" i="1" s="1"/>
  <c r="N886" i="1" a="1"/>
  <c r="N886" i="1" s="1"/>
  <c r="N878" i="1" a="1"/>
  <c r="N878" i="1" s="1"/>
  <c r="N870" i="1" a="1"/>
  <c r="N870" i="1" s="1"/>
  <c r="N862" i="1" a="1"/>
  <c r="N862" i="1" s="1"/>
  <c r="N854" i="1" a="1"/>
  <c r="N854" i="1" s="1"/>
  <c r="N838" i="1" a="1"/>
  <c r="N838" i="1" s="1"/>
  <c r="N830" i="1" a="1"/>
  <c r="N830" i="1" s="1"/>
  <c r="N822" i="1" a="1"/>
  <c r="N822" i="1" s="1"/>
  <c r="N814" i="1" a="1"/>
  <c r="N814" i="1" s="1"/>
  <c r="N806" i="1" a="1"/>
  <c r="N806" i="1" s="1"/>
  <c r="N798" i="1" a="1"/>
  <c r="N798" i="1" s="1"/>
  <c r="N790" i="1" a="1"/>
  <c r="N790" i="1" s="1"/>
  <c r="N782" i="1" a="1"/>
  <c r="N782" i="1" s="1"/>
  <c r="N758" i="1" a="1"/>
  <c r="N758" i="1" s="1"/>
  <c r="N750" i="1" a="1"/>
  <c r="N750" i="1" s="1"/>
  <c r="N742" i="1" a="1"/>
  <c r="N742" i="1" s="1"/>
  <c r="N734" i="1" a="1"/>
  <c r="N734" i="1" s="1"/>
  <c r="N726" i="1" a="1"/>
  <c r="N726" i="1" s="1"/>
  <c r="N718" i="1" a="1"/>
  <c r="N718" i="1" s="1"/>
  <c r="N710" i="1" a="1"/>
  <c r="N710" i="1" s="1"/>
  <c r="N702" i="1" a="1"/>
  <c r="N702" i="1" s="1"/>
  <c r="N694" i="1" a="1"/>
  <c r="N694" i="1" s="1"/>
  <c r="N686" i="1" a="1"/>
  <c r="N686" i="1" s="1"/>
  <c r="N678" i="1" a="1"/>
  <c r="N678" i="1" s="1"/>
  <c r="N670" i="1" a="1"/>
  <c r="N670" i="1" s="1"/>
  <c r="N662" i="1" a="1"/>
  <c r="N662" i="1" s="1"/>
  <c r="N654" i="1" a="1"/>
  <c r="N654" i="1" s="1"/>
  <c r="N646" i="1" a="1"/>
  <c r="N646" i="1" s="1"/>
  <c r="N638" i="1" a="1"/>
  <c r="N638" i="1" s="1"/>
  <c r="N630" i="1" a="1"/>
  <c r="N630" i="1" s="1"/>
  <c r="N622" i="1" a="1"/>
  <c r="N622" i="1" s="1"/>
  <c r="N614" i="1" a="1"/>
  <c r="N614" i="1" s="1"/>
  <c r="N606" i="1" a="1"/>
  <c r="N606" i="1" s="1"/>
  <c r="N598" i="1" a="1"/>
  <c r="N598" i="1" s="1"/>
  <c r="N590" i="1" a="1"/>
  <c r="N590" i="1" s="1"/>
  <c r="N582" i="1" a="1"/>
  <c r="N582" i="1" s="1"/>
  <c r="N574" i="1" a="1"/>
  <c r="N574" i="1" s="1"/>
  <c r="N566" i="1" a="1"/>
  <c r="N566" i="1" s="1"/>
  <c r="N558" i="1" a="1"/>
  <c r="N558" i="1" s="1"/>
  <c r="N550" i="1" a="1"/>
  <c r="N550" i="1" s="1"/>
  <c r="N542" i="1" a="1"/>
  <c r="N542" i="1" s="1"/>
  <c r="N534" i="1" a="1"/>
  <c r="N534" i="1" s="1"/>
  <c r="N526" i="1" a="1"/>
  <c r="N526" i="1" s="1"/>
  <c r="N518" i="1" a="1"/>
  <c r="N518" i="1" s="1"/>
  <c r="N510" i="1" a="1"/>
  <c r="N510" i="1" s="1"/>
  <c r="N502" i="1" a="1"/>
  <c r="N502" i="1" s="1"/>
  <c r="N494" i="1" a="1"/>
  <c r="N494" i="1" s="1"/>
  <c r="N486" i="1" a="1"/>
  <c r="N486" i="1" s="1"/>
  <c r="N478" i="1" a="1"/>
  <c r="N478" i="1" s="1"/>
  <c r="N470" i="1" a="1"/>
  <c r="N470" i="1" s="1"/>
  <c r="N462" i="1" a="1"/>
  <c r="N462" i="1" s="1"/>
  <c r="N454" i="1" a="1"/>
  <c r="N454" i="1" s="1"/>
  <c r="N446" i="1" a="1"/>
  <c r="N446" i="1" s="1"/>
  <c r="N438" i="1" a="1"/>
  <c r="N438" i="1" s="1"/>
  <c r="N430" i="1" a="1"/>
  <c r="N430" i="1" s="1"/>
  <c r="N422" i="1" a="1"/>
  <c r="N422" i="1" s="1"/>
  <c r="N414" i="1" a="1"/>
  <c r="N414" i="1" s="1"/>
  <c r="N406" i="1" a="1"/>
  <c r="N406" i="1" s="1"/>
  <c r="N398" i="1" a="1"/>
  <c r="N398" i="1" s="1"/>
  <c r="N390" i="1" a="1"/>
  <c r="N390" i="1" s="1"/>
  <c r="N382" i="1" a="1"/>
  <c r="N382" i="1" s="1"/>
  <c r="N374" i="1" a="1"/>
  <c r="N374" i="1" s="1"/>
  <c r="N366" i="1" a="1"/>
  <c r="N366" i="1" s="1"/>
  <c r="N358" i="1" a="1"/>
  <c r="N358" i="1" s="1"/>
  <c r="N350" i="1" a="1"/>
  <c r="N350" i="1" s="1"/>
  <c r="N342" i="1" a="1"/>
  <c r="N342" i="1" s="1"/>
  <c r="N334" i="1" a="1"/>
  <c r="N334" i="1" s="1"/>
  <c r="N326" i="1" a="1"/>
  <c r="N326" i="1" s="1"/>
  <c r="N318" i="1" a="1"/>
  <c r="N318" i="1" s="1"/>
  <c r="N310" i="1" a="1"/>
  <c r="N310" i="1" s="1"/>
  <c r="N302" i="1" a="1"/>
  <c r="N302" i="1" s="1"/>
  <c r="N294" i="1" a="1"/>
  <c r="N294" i="1" s="1"/>
  <c r="N286" i="1" a="1"/>
  <c r="N286" i="1" s="1"/>
  <c r="N278" i="1" a="1"/>
  <c r="N278" i="1" s="1"/>
  <c r="N270" i="1" a="1"/>
  <c r="N270" i="1" s="1"/>
  <c r="N262" i="1" a="1"/>
  <c r="N262" i="1" s="1"/>
  <c r="N254" i="1" a="1"/>
  <c r="N254" i="1" s="1"/>
  <c r="N246" i="1" a="1"/>
  <c r="N246" i="1" s="1"/>
  <c r="N238" i="1" a="1"/>
  <c r="N238" i="1" s="1"/>
  <c r="N230" i="1" a="1"/>
  <c r="N230" i="1" s="1"/>
  <c r="N222" i="1" a="1"/>
  <c r="N222" i="1" s="1"/>
  <c r="N214" i="1" a="1"/>
  <c r="N214" i="1" s="1"/>
  <c r="N206" i="1" a="1"/>
  <c r="N206" i="1" s="1"/>
  <c r="N198" i="1" a="1"/>
  <c r="N198" i="1" s="1"/>
  <c r="N190" i="1" a="1"/>
  <c r="N190" i="1" s="1"/>
  <c r="N182" i="1" a="1"/>
  <c r="N182" i="1" s="1"/>
  <c r="N174" i="1" a="1"/>
  <c r="N174" i="1" s="1"/>
  <c r="N166" i="1" a="1"/>
  <c r="N166" i="1" s="1"/>
  <c r="N158" i="1" a="1"/>
  <c r="N158" i="1" s="1"/>
  <c r="N150" i="1" a="1"/>
  <c r="N150" i="1" s="1"/>
  <c r="N142" i="1" a="1"/>
  <c r="N142" i="1" s="1"/>
  <c r="N134" i="1" a="1"/>
  <c r="N134" i="1" s="1"/>
  <c r="N126" i="1" a="1"/>
  <c r="N126" i="1" s="1"/>
  <c r="N118" i="1" a="1"/>
  <c r="N118" i="1" s="1"/>
  <c r="N110" i="1" a="1"/>
  <c r="N110" i="1" s="1"/>
  <c r="N102" i="1" a="1"/>
  <c r="N102" i="1" s="1"/>
  <c r="N94" i="1" a="1"/>
  <c r="N94" i="1" s="1"/>
  <c r="N86" i="1" a="1"/>
  <c r="N86" i="1" s="1"/>
  <c r="N78" i="1" a="1"/>
  <c r="N78" i="1" s="1"/>
  <c r="N70" i="1" a="1"/>
  <c r="N70" i="1" s="1"/>
  <c r="N62" i="1" a="1"/>
  <c r="N62" i="1" s="1"/>
  <c r="N54" i="1" a="1"/>
  <c r="N54" i="1" s="1"/>
  <c r="N46" i="1" a="1"/>
  <c r="N46" i="1" s="1"/>
  <c r="N38" i="1" a="1"/>
  <c r="N38" i="1" s="1"/>
  <c r="N30" i="1" a="1"/>
  <c r="N30" i="1" s="1"/>
  <c r="N22" i="1" a="1"/>
  <c r="N22" i="1" s="1"/>
  <c r="N14" i="1" a="1"/>
  <c r="N14" i="1" s="1"/>
  <c r="N52" i="1" a="1"/>
  <c r="N52" i="1" s="1"/>
  <c r="N44" i="1" a="1"/>
  <c r="N44" i="1" s="1"/>
  <c r="N163" i="1" a="1"/>
  <c r="N163" i="1" s="1"/>
  <c r="N139" i="1" a="1"/>
  <c r="N139" i="1" s="1"/>
  <c r="N107" i="1" a="1"/>
  <c r="N107" i="1" s="1"/>
  <c r="N75" i="1" a="1"/>
  <c r="N75" i="1" s="1"/>
  <c r="N43" i="1" a="1"/>
  <c r="N43" i="1" s="1"/>
  <c r="N298" i="1" a="1"/>
  <c r="N298" i="1" s="1"/>
  <c r="N266" i="1" a="1"/>
  <c r="N266" i="1" s="1"/>
  <c r="N234" i="1" a="1"/>
  <c r="N234" i="1" s="1"/>
  <c r="N202" i="1" a="1"/>
  <c r="N202" i="1" s="1"/>
  <c r="N178" i="1" a="1"/>
  <c r="N178" i="1" s="1"/>
  <c r="N170" i="1" a="1"/>
  <c r="N170" i="1" s="1"/>
  <c r="N138" i="1" a="1"/>
  <c r="N138" i="1" s="1"/>
  <c r="N130" i="1" a="1"/>
  <c r="N130" i="1" s="1"/>
  <c r="N114" i="1" a="1"/>
  <c r="N114" i="1" s="1"/>
  <c r="N106" i="1" a="1"/>
  <c r="N106" i="1" s="1"/>
  <c r="N74" i="1" a="1"/>
  <c r="N74" i="1" s="1"/>
  <c r="N66" i="1" a="1"/>
  <c r="N66" i="1" s="1"/>
  <c r="N50" i="1" a="1"/>
  <c r="N50" i="1" s="1"/>
  <c r="N42" i="1" a="1"/>
  <c r="N42" i="1" s="1"/>
  <c r="N10" i="1" a="1"/>
  <c r="N10" i="1" s="1"/>
  <c r="N24" i="1" a="1"/>
  <c r="N24" i="1" s="1"/>
  <c r="N79" i="1" a="1"/>
  <c r="N79" i="1" s="1"/>
  <c r="N47" i="1" a="1"/>
  <c r="N47" i="1" s="1"/>
  <c r="N1412" i="1" a="1"/>
  <c r="N1412" i="1" s="1"/>
  <c r="N1380" i="1" a="1"/>
  <c r="N1380" i="1" s="1"/>
  <c r="N1388" i="1" a="1"/>
  <c r="N1388" i="1" s="1"/>
  <c r="N1442" i="1" a="1"/>
  <c r="N1442" i="1" s="1"/>
  <c r="N1418" i="1" a="1"/>
  <c r="N1418" i="1" s="1"/>
  <c r="N1444" i="1" a="1"/>
  <c r="N1444" i="1" s="1"/>
  <c r="N1420" i="1" a="1"/>
  <c r="N1420" i="1" s="1"/>
  <c r="N1356" i="1" a="1"/>
  <c r="N1356" i="1" s="1"/>
  <c r="N1348" i="1" a="1"/>
  <c r="N1348" i="1" s="1"/>
  <c r="N1450" i="1" a="1"/>
  <c r="N1450" i="1" s="1"/>
  <c r="N1346" i="1" a="1"/>
  <c r="N1346" i="1" s="1"/>
  <c r="N1478" i="1" a="1"/>
  <c r="N1478" i="1" s="1"/>
  <c r="N1470" i="1" a="1"/>
  <c r="N1470" i="1" s="1"/>
  <c r="N1438" i="1" a="1"/>
  <c r="N1438" i="1" s="1"/>
  <c r="N1406" i="1" a="1"/>
  <c r="N1406" i="1" s="1"/>
  <c r="N1398" i="1" a="1"/>
  <c r="N1398" i="1" s="1"/>
  <c r="N1366" i="1" a="1"/>
  <c r="N1366" i="1" s="1"/>
  <c r="N1342" i="1" a="1"/>
  <c r="N1342" i="1" s="1"/>
  <c r="N1493" i="1" a="1"/>
  <c r="N1493" i="1" s="1"/>
  <c r="N1477" i="1" a="1"/>
  <c r="N1477" i="1" s="1"/>
  <c r="N1469" i="1" a="1"/>
  <c r="N1469" i="1" s="1"/>
  <c r="N1461" i="1" a="1"/>
  <c r="N1461" i="1" s="1"/>
  <c r="N1453" i="1" a="1"/>
  <c r="N1453" i="1" s="1"/>
  <c r="N1413" i="1" a="1"/>
  <c r="N1413" i="1" s="1"/>
  <c r="N1405" i="1" a="1"/>
  <c r="N1405" i="1" s="1"/>
  <c r="N1389" i="1" a="1"/>
  <c r="N1389" i="1" s="1"/>
  <c r="N1357" i="1" a="1"/>
  <c r="N1357" i="1" s="1"/>
  <c r="N1349" i="1" a="1"/>
  <c r="N1349" i="1" s="1"/>
  <c r="N1341" i="1" a="1"/>
  <c r="N1341" i="1" s="1"/>
  <c r="N1333" i="1" a="1"/>
  <c r="N1333" i="1" s="1"/>
  <c r="N1325" i="1" a="1"/>
  <c r="N1325" i="1" s="1"/>
  <c r="N1285" i="1" a="1"/>
  <c r="N1285" i="1" s="1"/>
  <c r="N1277" i="1" a="1"/>
  <c r="N1277" i="1" s="1"/>
  <c r="N1261" i="1" a="1"/>
  <c r="N1261" i="1" s="1"/>
  <c r="N1253" i="1" a="1"/>
  <c r="N1253" i="1" s="1"/>
  <c r="N1237" i="1" a="1"/>
  <c r="N1237" i="1" s="1"/>
  <c r="N1229" i="1" a="1"/>
  <c r="N1229" i="1" s="1"/>
  <c r="N1221" i="1" a="1"/>
  <c r="N1221" i="1" s="1"/>
  <c r="N1213" i="1" a="1"/>
  <c r="N1213" i="1" s="1"/>
  <c r="N1205" i="1" a="1"/>
  <c r="N1205" i="1" s="1"/>
  <c r="N1197" i="1" a="1"/>
  <c r="N1197" i="1" s="1"/>
  <c r="N1157" i="1" a="1"/>
  <c r="N1157" i="1" s="1"/>
  <c r="N1149" i="1" a="1"/>
  <c r="N1149" i="1" s="1"/>
  <c r="N1133" i="1" a="1"/>
  <c r="N1133" i="1" s="1"/>
  <c r="N1101" i="1" a="1"/>
  <c r="N1101" i="1" s="1"/>
  <c r="N1093" i="1" a="1"/>
  <c r="N1093" i="1" s="1"/>
  <c r="N1085" i="1" a="1"/>
  <c r="N1085" i="1" s="1"/>
  <c r="N1077" i="1" a="1"/>
  <c r="N1077" i="1" s="1"/>
  <c r="N1061" i="1" a="1"/>
  <c r="N1061" i="1" s="1"/>
  <c r="N1037" i="1" a="1"/>
  <c r="N1037" i="1" s="1"/>
  <c r="N1013" i="1" a="1"/>
  <c r="N1013" i="1" s="1"/>
  <c r="N997" i="1" a="1"/>
  <c r="N997" i="1" s="1"/>
  <c r="N989" i="1" a="1"/>
  <c r="N989" i="1" s="1"/>
  <c r="N973" i="1" a="1"/>
  <c r="N973" i="1" s="1"/>
  <c r="N957" i="1" a="1"/>
  <c r="N957" i="1" s="1"/>
  <c r="N949" i="1" a="1"/>
  <c r="N949" i="1" s="1"/>
  <c r="N933" i="1" a="1"/>
  <c r="N933" i="1" s="1"/>
  <c r="N901" i="1" a="1"/>
  <c r="N901" i="1" s="1"/>
  <c r="N893" i="1" a="1"/>
  <c r="N893" i="1" s="1"/>
  <c r="N869" i="1" a="1"/>
  <c r="N869" i="1" s="1"/>
  <c r="N861" i="1" a="1"/>
  <c r="N861" i="1" s="1"/>
  <c r="N853" i="1" a="1"/>
  <c r="N853" i="1" s="1"/>
  <c r="N829" i="1" a="1"/>
  <c r="N829" i="1" s="1"/>
  <c r="N813" i="1" a="1"/>
  <c r="N813" i="1" s="1"/>
  <c r="N797" i="1" a="1"/>
  <c r="N797" i="1" s="1"/>
  <c r="N789" i="1" a="1"/>
  <c r="N789" i="1" s="1"/>
  <c r="N781" i="1" a="1"/>
  <c r="N781" i="1" s="1"/>
  <c r="N757" i="1" a="1"/>
  <c r="N757" i="1" s="1"/>
  <c r="N749" i="1" a="1"/>
  <c r="N749" i="1" s="1"/>
  <c r="N733" i="1" a="1"/>
  <c r="N733" i="1" s="1"/>
  <c r="N725" i="1" a="1"/>
  <c r="N725" i="1" s="1"/>
  <c r="N717" i="1" a="1"/>
  <c r="N717" i="1" s="1"/>
  <c r="N1497" i="1" a="1"/>
  <c r="N1497" i="1" s="1"/>
  <c r="N1489" i="1" a="1"/>
  <c r="N1489" i="1" s="1"/>
  <c r="N1465" i="1" a="1"/>
  <c r="N1465" i="1" s="1"/>
  <c r="N1457" i="1" a="1"/>
  <c r="N1457" i="1" s="1"/>
  <c r="N1449" i="1" a="1"/>
  <c r="N1449" i="1" s="1"/>
  <c r="N1433" i="1" a="1"/>
  <c r="N1433" i="1" s="1"/>
  <c r="N1425" i="1" a="1"/>
  <c r="N1425" i="1" s="1"/>
  <c r="N1417" i="1" a="1"/>
  <c r="N1417" i="1" s="1"/>
  <c r="N1385" i="1" a="1"/>
  <c r="N1385" i="1" s="1"/>
  <c r="N1361" i="1" a="1"/>
  <c r="N1361" i="1" s="1"/>
  <c r="N1305" i="1" a="1"/>
  <c r="N1305" i="1" s="1"/>
  <c r="N1281" i="1" a="1"/>
  <c r="N1281" i="1" s="1"/>
  <c r="N1273" i="1" a="1"/>
  <c r="N1273" i="1" s="1"/>
  <c r="N1241" i="1" a="1"/>
  <c r="N1241" i="1" s="1"/>
  <c r="N1225" i="1" a="1"/>
  <c r="N1225" i="1" s="1"/>
  <c r="N1209" i="1" a="1"/>
  <c r="N1209" i="1" s="1"/>
  <c r="N1177" i="1" a="1"/>
  <c r="N1177" i="1" s="1"/>
  <c r="N1113" i="1" a="1"/>
  <c r="N1113" i="1" s="1"/>
  <c r="N1089" i="1" a="1"/>
  <c r="N1089" i="1" s="1"/>
  <c r="N1025" i="1" a="1"/>
  <c r="N1025" i="1" s="1"/>
  <c r="N1017" i="1" a="1"/>
  <c r="N1017" i="1" s="1"/>
  <c r="N985" i="1" a="1"/>
  <c r="N985" i="1" s="1"/>
  <c r="N969" i="1" a="1"/>
  <c r="N969" i="1" s="1"/>
  <c r="N961" i="1" a="1"/>
  <c r="N961" i="1" s="1"/>
  <c r="N953" i="1" a="1"/>
  <c r="N953" i="1" s="1"/>
  <c r="N921" i="1" a="1"/>
  <c r="N921" i="1" s="1"/>
  <c r="N905" i="1" a="1"/>
  <c r="N905" i="1" s="1"/>
  <c r="N897" i="1" a="1"/>
  <c r="N897" i="1" s="1"/>
  <c r="N857" i="1" a="1"/>
  <c r="N857" i="1" s="1"/>
  <c r="N841" i="1" a="1"/>
  <c r="N841" i="1" s="1"/>
  <c r="N833" i="1" a="1"/>
  <c r="N833" i="1" s="1"/>
  <c r="N793" i="1" a="1"/>
  <c r="N793" i="1" s="1"/>
  <c r="N729" i="1" a="1"/>
  <c r="N729" i="1" s="1"/>
  <c r="N713" i="1" a="1"/>
  <c r="N713" i="1" s="1"/>
  <c r="N697" i="1" a="1"/>
  <c r="N697" i="1" s="1"/>
  <c r="N665" i="1" a="1"/>
  <c r="N665" i="1" s="1"/>
  <c r="N601" i="1" a="1"/>
  <c r="N601" i="1" s="1"/>
  <c r="N585" i="1" a="1"/>
  <c r="N585" i="1" s="1"/>
  <c r="N505" i="1" a="1"/>
  <c r="N505" i="1" s="1"/>
  <c r="N457" i="1" a="1"/>
  <c r="N457" i="1" s="1"/>
  <c r="N241" i="1" a="1"/>
  <c r="N241" i="1" s="1"/>
  <c r="N153" i="1" a="1"/>
  <c r="N153" i="1" s="1"/>
  <c r="N113" i="1" a="1"/>
  <c r="N113" i="1" s="1"/>
  <c r="N65" i="1" a="1"/>
  <c r="N65" i="1" s="1"/>
  <c r="N685" i="1" a="1"/>
  <c r="N685" i="1" s="1"/>
  <c r="N677" i="1" a="1"/>
  <c r="N677" i="1" s="1"/>
  <c r="N669" i="1" a="1"/>
  <c r="N669" i="1" s="1"/>
  <c r="N661" i="1" a="1"/>
  <c r="N661" i="1" s="1"/>
  <c r="N637" i="1" a="1"/>
  <c r="N637" i="1" s="1"/>
  <c r="N629" i="1" a="1"/>
  <c r="N629" i="1" s="1"/>
  <c r="N621" i="1" a="1"/>
  <c r="N621" i="1" s="1"/>
  <c r="N605" i="1" a="1"/>
  <c r="N605" i="1" s="1"/>
  <c r="N597" i="1" a="1"/>
  <c r="N597" i="1" s="1"/>
  <c r="N589" i="1" a="1"/>
  <c r="N589" i="1" s="1"/>
  <c r="N565" i="1" a="1"/>
  <c r="N565" i="1" s="1"/>
  <c r="N557" i="1" a="1"/>
  <c r="N557" i="1" s="1"/>
  <c r="N541" i="1" a="1"/>
  <c r="N541" i="1" s="1"/>
  <c r="N533" i="1" a="1"/>
  <c r="N533" i="1" s="1"/>
  <c r="N525" i="1" a="1"/>
  <c r="N525" i="1" s="1"/>
  <c r="N501" i="1" a="1"/>
  <c r="N501" i="1" s="1"/>
  <c r="N493" i="1" a="1"/>
  <c r="N493" i="1" s="1"/>
  <c r="N477" i="1" a="1"/>
  <c r="N477" i="1" s="1"/>
  <c r="N469" i="1" a="1"/>
  <c r="N469" i="1" s="1"/>
  <c r="N461" i="1" a="1"/>
  <c r="N461" i="1" s="1"/>
  <c r="N437" i="1" a="1"/>
  <c r="N437" i="1" s="1"/>
  <c r="N429" i="1" a="1"/>
  <c r="N429" i="1" s="1"/>
  <c r="N413" i="1" a="1"/>
  <c r="N413" i="1" s="1"/>
  <c r="N405" i="1" a="1"/>
  <c r="N405" i="1" s="1"/>
  <c r="N397" i="1" a="1"/>
  <c r="N397" i="1" s="1"/>
  <c r="N373" i="1" a="1"/>
  <c r="N373" i="1" s="1"/>
  <c r="N365" i="1" a="1"/>
  <c r="N365" i="1" s="1"/>
  <c r="N349" i="1" a="1"/>
  <c r="N349" i="1" s="1"/>
  <c r="N341" i="1" a="1"/>
  <c r="N341" i="1" s="1"/>
  <c r="N333" i="1" a="1"/>
  <c r="N333" i="1" s="1"/>
  <c r="N309" i="1" a="1"/>
  <c r="N309" i="1" s="1"/>
  <c r="N301" i="1" a="1"/>
  <c r="N301" i="1" s="1"/>
  <c r="N277" i="1" a="1"/>
  <c r="N277" i="1" s="1"/>
  <c r="N269" i="1" a="1"/>
  <c r="N269" i="1" s="1"/>
  <c r="N245" i="1" a="1"/>
  <c r="N245" i="1" s="1"/>
  <c r="N237" i="1" a="1"/>
  <c r="N237" i="1" s="1"/>
  <c r="N221" i="1" a="1"/>
  <c r="N221" i="1" s="1"/>
  <c r="N213" i="1" a="1"/>
  <c r="N213" i="1" s="1"/>
  <c r="N205" i="1" a="1"/>
  <c r="N205" i="1" s="1"/>
  <c r="N181" i="1" a="1"/>
  <c r="N181" i="1" s="1"/>
  <c r="N173" i="1" a="1"/>
  <c r="N173" i="1" s="1"/>
  <c r="N157" i="1" a="1"/>
  <c r="N157" i="1" s="1"/>
  <c r="N149" i="1" a="1"/>
  <c r="N149" i="1" s="1"/>
  <c r="N141" i="1" a="1"/>
  <c r="N141" i="1" s="1"/>
  <c r="N117" i="1" a="1"/>
  <c r="N117" i="1" s="1"/>
  <c r="N109" i="1" a="1"/>
  <c r="N109" i="1" s="1"/>
  <c r="N93" i="1" a="1"/>
  <c r="N93" i="1" s="1"/>
  <c r="N85" i="1" a="1"/>
  <c r="N85" i="1" s="1"/>
  <c r="N77" i="1" a="1"/>
  <c r="N77" i="1" s="1"/>
  <c r="N53" i="1" a="1"/>
  <c r="N53" i="1" s="1"/>
  <c r="N45" i="1" a="1"/>
  <c r="N45" i="1" s="1"/>
  <c r="N29" i="1" a="1"/>
  <c r="N29" i="1" s="1"/>
  <c r="N21" i="1" a="1"/>
  <c r="N21" i="1" s="1"/>
  <c r="N13" i="1" a="1"/>
  <c r="N13" i="1" s="1"/>
  <c r="F3" i="3" l="1"/>
  <c r="M16" i="1" a="1"/>
  <c r="M16" i="1" s="1"/>
  <c r="N16" i="1" s="1" a="1"/>
  <c r="N16" i="1" s="1"/>
  <c r="M15" i="1" a="1"/>
  <c r="M15" i="1" s="1"/>
  <c r="N15" i="1" s="1" a="1"/>
  <c r="N15" i="1" s="1"/>
  <c r="M41" i="1" a="1"/>
  <c r="M41" i="1" s="1"/>
  <c r="N41" i="1" s="1" a="1"/>
  <c r="N41" i="1" s="1"/>
  <c r="N5" i="1" a="1"/>
  <c r="N5" i="1" s="1"/>
  <c r="F4" i="3"/>
  <c r="N11" i="1" a="1"/>
  <c r="N11" i="1" s="1"/>
  <c r="G3" i="3"/>
  <c r="G5" i="3"/>
  <c r="G6" i="3"/>
  <c r="N12" i="1" a="1"/>
  <c r="N12" i="1" s="1"/>
  <c r="F6" i="3" s="1"/>
  <c r="N6" i="1" a="1"/>
  <c r="N6" i="1" s="1"/>
  <c r="F5" i="3" l="1"/>
  <c r="G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<sst xmlns="http://schemas.openxmlformats.org/spreadsheetml/2006/main" count="7598" uniqueCount="1574">
  <si>
    <t>Report (as-of) Date:</t>
  </si>
  <si>
    <t>Container ID</t>
  </si>
  <si>
    <t>Terminal</t>
  </si>
  <si>
    <t>Vessel</t>
  </si>
  <si>
    <t>Customer</t>
  </si>
  <si>
    <t>Type</t>
  </si>
  <si>
    <t>Discharge
Date</t>
  </si>
  <si>
    <t>Free Time
(days)</t>
  </si>
  <si>
    <t>Gate Out
Date</t>
  </si>
  <si>
    <t>Demurrage
Rate/day</t>
  </si>
  <si>
    <t>CNTR100000</t>
  </si>
  <si>
    <t>Terminal C</t>
  </si>
  <si>
    <t>Maersk Kiel</t>
  </si>
  <si>
    <t>Redline Logistics</t>
  </si>
  <si>
    <t>20GP</t>
  </si>
  <si>
    <t>CNTR100001</t>
  </si>
  <si>
    <t>Terminal A</t>
  </si>
  <si>
    <t>COSCO Harmony</t>
  </si>
  <si>
    <t>Atlas Motors</t>
  </si>
  <si>
    <t>CNTR100002</t>
  </si>
  <si>
    <t>OOCL Bergen</t>
  </si>
  <si>
    <t>Harbor Direct</t>
  </si>
  <si>
    <t>CNTR100003</t>
  </si>
  <si>
    <t>BlueCrest Mfg</t>
  </si>
  <si>
    <t>40HC</t>
  </si>
  <si>
    <t>CNTR100004</t>
  </si>
  <si>
    <t>ZIM Voyager</t>
  </si>
  <si>
    <t>40GP</t>
  </si>
  <si>
    <t>CNTR100005</t>
  </si>
  <si>
    <t>40RF</t>
  </si>
  <si>
    <t>CNTR100006</t>
  </si>
  <si>
    <t>Evergreen Ace</t>
  </si>
  <si>
    <t>CNTR100007</t>
  </si>
  <si>
    <t>Terminal D</t>
  </si>
  <si>
    <t>ONE Kestrel</t>
  </si>
  <si>
    <t>Pioneer Goods</t>
  </si>
  <si>
    <t>CNTR100008</t>
  </si>
  <si>
    <t>Terminal B</t>
  </si>
  <si>
    <t>CNTR100009</t>
  </si>
  <si>
    <t>Coastal Imports</t>
  </si>
  <si>
    <t>CNTR100010</t>
  </si>
  <si>
    <t>Yang Ming Peak</t>
  </si>
  <si>
    <t>Horizon Foods</t>
  </si>
  <si>
    <t>CNTR100011</t>
  </si>
  <si>
    <t>Nova Retail</t>
  </si>
  <si>
    <t>CNTR100012</t>
  </si>
  <si>
    <t>Summit Traders</t>
  </si>
  <si>
    <t>CNTR100013</t>
  </si>
  <si>
    <t>CNTR100014</t>
  </si>
  <si>
    <t>Hapag Lloyd Bern</t>
  </si>
  <si>
    <t>CNTR100015</t>
  </si>
  <si>
    <t>CNTR100016</t>
  </si>
  <si>
    <t>CNTR100017</t>
  </si>
  <si>
    <t>CNTR100018</t>
  </si>
  <si>
    <t>MSC Elena</t>
  </si>
  <si>
    <t>CNTR100019</t>
  </si>
  <si>
    <t>CMA CGM Rhone</t>
  </si>
  <si>
    <t>CNTR100020</t>
  </si>
  <si>
    <t>CNTR100021</t>
  </si>
  <si>
    <t>CNTR100022</t>
  </si>
  <si>
    <t>CNTR100023</t>
  </si>
  <si>
    <t>Vantage Traders</t>
  </si>
  <si>
    <t>CNTR100024</t>
  </si>
  <si>
    <t>CNTR100025</t>
  </si>
  <si>
    <t>CNTR100026</t>
  </si>
  <si>
    <t>CNTR100027</t>
  </si>
  <si>
    <t>CNTR100028</t>
  </si>
  <si>
    <t>CNTR100029</t>
  </si>
  <si>
    <t>CNTR100030</t>
  </si>
  <si>
    <t>CNTR100031</t>
  </si>
  <si>
    <t>CNTR100032</t>
  </si>
  <si>
    <t>CNTR100033</t>
  </si>
  <si>
    <t>CNTR100034</t>
  </si>
  <si>
    <t>CNTR100035</t>
  </si>
  <si>
    <t>CNTR100036</t>
  </si>
  <si>
    <t>CNTR100037</t>
  </si>
  <si>
    <t>CNTR100038</t>
  </si>
  <si>
    <t>CNTR100039</t>
  </si>
  <si>
    <t>CNTR100040</t>
  </si>
  <si>
    <t>CNTR100041</t>
  </si>
  <si>
    <t>CNTR100042</t>
  </si>
  <si>
    <t>CNTR100043</t>
  </si>
  <si>
    <t>CNTR100044</t>
  </si>
  <si>
    <t>CNTR100045</t>
  </si>
  <si>
    <t>CNTR100046</t>
  </si>
  <si>
    <t>CNTR100047</t>
  </si>
  <si>
    <t>CNTR100048</t>
  </si>
  <si>
    <t>CNTR100049</t>
  </si>
  <si>
    <t>CNTR100050</t>
  </si>
  <si>
    <t>CNTR100051</t>
  </si>
  <si>
    <t>CNTR100052</t>
  </si>
  <si>
    <t>CNTR100053</t>
  </si>
  <si>
    <t>CNTR100054</t>
  </si>
  <si>
    <t>CNTR100055</t>
  </si>
  <si>
    <t>CNTR100056</t>
  </si>
  <si>
    <t>CNTR100057</t>
  </si>
  <si>
    <t>CNTR100058</t>
  </si>
  <si>
    <t>CNTR100059</t>
  </si>
  <si>
    <t>CNTR100060</t>
  </si>
  <si>
    <t>CNTR100061</t>
  </si>
  <si>
    <t>CNTR100062</t>
  </si>
  <si>
    <t>CNTR100063</t>
  </si>
  <si>
    <t>CNTR100064</t>
  </si>
  <si>
    <t>CNTR100065</t>
  </si>
  <si>
    <t>CNTR100066</t>
  </si>
  <si>
    <t>CNTR100067</t>
  </si>
  <si>
    <t>CNTR100068</t>
  </si>
  <si>
    <t>CNTR100069</t>
  </si>
  <si>
    <t>CNTR100070</t>
  </si>
  <si>
    <t>CNTR100071</t>
  </si>
  <si>
    <t>CNTR100072</t>
  </si>
  <si>
    <t>CNTR100073</t>
  </si>
  <si>
    <t>CNTR100074</t>
  </si>
  <si>
    <t>CNTR100075</t>
  </si>
  <si>
    <t>CNTR100076</t>
  </si>
  <si>
    <t>CNTR100077</t>
  </si>
  <si>
    <t>CNTR100078</t>
  </si>
  <si>
    <t>CNTR100079</t>
  </si>
  <si>
    <t>CNTR100080</t>
  </si>
  <si>
    <t>CNTR100081</t>
  </si>
  <si>
    <t>CNTR100082</t>
  </si>
  <si>
    <t>CNTR100083</t>
  </si>
  <si>
    <t>CNTR100084</t>
  </si>
  <si>
    <t>CNTR100085</t>
  </si>
  <si>
    <t>CNTR100086</t>
  </si>
  <si>
    <t>CNTR100087</t>
  </si>
  <si>
    <t>CNTR100088</t>
  </si>
  <si>
    <t>CNTR100089</t>
  </si>
  <si>
    <t>CNTR100090</t>
  </si>
  <si>
    <t>CNTR100091</t>
  </si>
  <si>
    <t>CNTR100092</t>
  </si>
  <si>
    <t>CNTR100093</t>
  </si>
  <si>
    <t>CNTR100094</t>
  </si>
  <si>
    <t>CNTR100095</t>
  </si>
  <si>
    <t>CNTR100096</t>
  </si>
  <si>
    <t>CNTR100097</t>
  </si>
  <si>
    <t>CNTR100098</t>
  </si>
  <si>
    <t>CNTR100099</t>
  </si>
  <si>
    <t>CNTR100100</t>
  </si>
  <si>
    <t>CNTR100101</t>
  </si>
  <si>
    <t>CNTR100102</t>
  </si>
  <si>
    <t>CNTR100103</t>
  </si>
  <si>
    <t>CNTR100104</t>
  </si>
  <si>
    <t>CNTR100105</t>
  </si>
  <si>
    <t>CNTR100106</t>
  </si>
  <si>
    <t>CNTR100107</t>
  </si>
  <si>
    <t>CNTR100108</t>
  </si>
  <si>
    <t>CNTR100109</t>
  </si>
  <si>
    <t>CNTR100110</t>
  </si>
  <si>
    <t>CNTR100111</t>
  </si>
  <si>
    <t>CNTR100112</t>
  </si>
  <si>
    <t>CNTR100113</t>
  </si>
  <si>
    <t>CNTR100114</t>
  </si>
  <si>
    <t>CNTR100115</t>
  </si>
  <si>
    <t>CNTR100116</t>
  </si>
  <si>
    <t>CNTR100117</t>
  </si>
  <si>
    <t>CNTR100118</t>
  </si>
  <si>
    <t>CNTR100119</t>
  </si>
  <si>
    <t>CNTR100120</t>
  </si>
  <si>
    <t>CNTR100121</t>
  </si>
  <si>
    <t>CNTR100122</t>
  </si>
  <si>
    <t>CNTR100123</t>
  </si>
  <si>
    <t>CNTR100124</t>
  </si>
  <si>
    <t>CNTR100125</t>
  </si>
  <si>
    <t>CNTR100126</t>
  </si>
  <si>
    <t>CNTR100127</t>
  </si>
  <si>
    <t>CNTR100128</t>
  </si>
  <si>
    <t>CNTR100129</t>
  </si>
  <si>
    <t>CNTR100130</t>
  </si>
  <si>
    <t>CNTR100131</t>
  </si>
  <si>
    <t>CNTR100132</t>
  </si>
  <si>
    <t>CNTR100133</t>
  </si>
  <si>
    <t>CNTR100134</t>
  </si>
  <si>
    <t>CNTR100135</t>
  </si>
  <si>
    <t>CNTR100136</t>
  </si>
  <si>
    <t>CNTR100137</t>
  </si>
  <si>
    <t>CNTR100138</t>
  </si>
  <si>
    <t>CNTR100139</t>
  </si>
  <si>
    <t>CNTR100140</t>
  </si>
  <si>
    <t>CNTR100141</t>
  </si>
  <si>
    <t>CNTR100142</t>
  </si>
  <si>
    <t>CNTR100143</t>
  </si>
  <si>
    <t>CNTR100144</t>
  </si>
  <si>
    <t>CNTR100145</t>
  </si>
  <si>
    <t>CNTR100146</t>
  </si>
  <si>
    <t>CNTR100147</t>
  </si>
  <si>
    <t>CNTR100148</t>
  </si>
  <si>
    <t>CNTR100149</t>
  </si>
  <si>
    <t>CNTR100150</t>
  </si>
  <si>
    <t>CNTR100151</t>
  </si>
  <si>
    <t>CNTR100152</t>
  </si>
  <si>
    <t>CNTR100153</t>
  </si>
  <si>
    <t>CNTR100154</t>
  </si>
  <si>
    <t>CNTR100155</t>
  </si>
  <si>
    <t>CNTR100156</t>
  </si>
  <si>
    <t>CNTR100157</t>
  </si>
  <si>
    <t>CNTR100158</t>
  </si>
  <si>
    <t>CNTR100159</t>
  </si>
  <si>
    <t>CNTR100160</t>
  </si>
  <si>
    <t>CNTR100161</t>
  </si>
  <si>
    <t>CNTR100162</t>
  </si>
  <si>
    <t>CNTR100163</t>
  </si>
  <si>
    <t>CNTR100164</t>
  </si>
  <si>
    <t>CNTR100165</t>
  </si>
  <si>
    <t>CNTR100166</t>
  </si>
  <si>
    <t>CNTR100167</t>
  </si>
  <si>
    <t>CNTR100168</t>
  </si>
  <si>
    <t>CNTR100169</t>
  </si>
  <si>
    <t>CNTR100170</t>
  </si>
  <si>
    <t>CNTR100171</t>
  </si>
  <si>
    <t>CNTR100172</t>
  </si>
  <si>
    <t>CNTR100173</t>
  </si>
  <si>
    <t>CNTR100174</t>
  </si>
  <si>
    <t>CNTR100175</t>
  </si>
  <si>
    <t>CNTR100176</t>
  </si>
  <si>
    <t>CNTR100177</t>
  </si>
  <si>
    <t>CNTR100178</t>
  </si>
  <si>
    <t>CNTR100179</t>
  </si>
  <si>
    <t>CNTR100180</t>
  </si>
  <si>
    <t>CNTR100181</t>
  </si>
  <si>
    <t>CNTR100182</t>
  </si>
  <si>
    <t>CNTR100183</t>
  </si>
  <si>
    <t>CNTR100184</t>
  </si>
  <si>
    <t>CNTR100185</t>
  </si>
  <si>
    <t>CNTR100186</t>
  </si>
  <si>
    <t>CNTR100187</t>
  </si>
  <si>
    <t>CNTR100188</t>
  </si>
  <si>
    <t>CNTR100189</t>
  </si>
  <si>
    <t>CNTR100190</t>
  </si>
  <si>
    <t>CNTR100191</t>
  </si>
  <si>
    <t>CNTR100192</t>
  </si>
  <si>
    <t>CNTR100193</t>
  </si>
  <si>
    <t>CNTR100194</t>
  </si>
  <si>
    <t>CNTR100195</t>
  </si>
  <si>
    <t>CNTR100196</t>
  </si>
  <si>
    <t>CNTR100197</t>
  </si>
  <si>
    <t>CNTR100198</t>
  </si>
  <si>
    <t>CNTR100199</t>
  </si>
  <si>
    <t>CNTR100200</t>
  </si>
  <si>
    <t>CNTR100201</t>
  </si>
  <si>
    <t>CNTR100202</t>
  </si>
  <si>
    <t>CNTR100203</t>
  </si>
  <si>
    <t>CNTR100204</t>
  </si>
  <si>
    <t>CNTR100205</t>
  </si>
  <si>
    <t>CNTR100206</t>
  </si>
  <si>
    <t>CNTR100207</t>
  </si>
  <si>
    <t>CNTR100208</t>
  </si>
  <si>
    <t>CNTR100209</t>
  </si>
  <si>
    <t>CNTR100210</t>
  </si>
  <si>
    <t>CNTR100211</t>
  </si>
  <si>
    <t>CNTR100212</t>
  </si>
  <si>
    <t>CNTR100213</t>
  </si>
  <si>
    <t>CNTR100214</t>
  </si>
  <si>
    <t>CNTR100215</t>
  </si>
  <si>
    <t>CNTR100216</t>
  </si>
  <si>
    <t>CNTR100217</t>
  </si>
  <si>
    <t>CNTR100218</t>
  </si>
  <si>
    <t>CNTR100219</t>
  </si>
  <si>
    <t>CNTR100220</t>
  </si>
  <si>
    <t>CNTR100221</t>
  </si>
  <si>
    <t>CNTR100222</t>
  </si>
  <si>
    <t>CNTR100223</t>
  </si>
  <si>
    <t>CNTR100224</t>
  </si>
  <si>
    <t>CNTR100225</t>
  </si>
  <si>
    <t>CNTR100226</t>
  </si>
  <si>
    <t>CNTR100227</t>
  </si>
  <si>
    <t>CNTR100228</t>
  </si>
  <si>
    <t>CNTR100229</t>
  </si>
  <si>
    <t>CNTR100230</t>
  </si>
  <si>
    <t>CNTR100231</t>
  </si>
  <si>
    <t>CNTR100232</t>
  </si>
  <si>
    <t>CNTR100233</t>
  </si>
  <si>
    <t>CNTR100234</t>
  </si>
  <si>
    <t>CNTR100235</t>
  </si>
  <si>
    <t>CNTR100236</t>
  </si>
  <si>
    <t>CNTR100237</t>
  </si>
  <si>
    <t>CNTR100238</t>
  </si>
  <si>
    <t>CNTR100239</t>
  </si>
  <si>
    <t>CNTR100240</t>
  </si>
  <si>
    <t>CNTR100241</t>
  </si>
  <si>
    <t>CNTR100242</t>
  </si>
  <si>
    <t>CNTR100243</t>
  </si>
  <si>
    <t>CNTR100244</t>
  </si>
  <si>
    <t>CNTR100245</t>
  </si>
  <si>
    <t>CNTR100246</t>
  </si>
  <si>
    <t>CNTR100247</t>
  </si>
  <si>
    <t>CNTR100248</t>
  </si>
  <si>
    <t>CNTR100249</t>
  </si>
  <si>
    <t>CNTR100250</t>
  </si>
  <si>
    <t>CNTR100251</t>
  </si>
  <si>
    <t>CNTR100252</t>
  </si>
  <si>
    <t>CNTR100253</t>
  </si>
  <si>
    <t>CNTR100254</t>
  </si>
  <si>
    <t>CNTR100255</t>
  </si>
  <si>
    <t>CNTR100256</t>
  </si>
  <si>
    <t>CNTR100257</t>
  </si>
  <si>
    <t>CNTR100258</t>
  </si>
  <si>
    <t>CNTR100259</t>
  </si>
  <si>
    <t>CNTR100260</t>
  </si>
  <si>
    <t>CNTR100261</t>
  </si>
  <si>
    <t>CNTR100262</t>
  </si>
  <si>
    <t>CNTR100263</t>
  </si>
  <si>
    <t>CNTR100264</t>
  </si>
  <si>
    <t>CNTR100265</t>
  </si>
  <si>
    <t>CNTR100266</t>
  </si>
  <si>
    <t>CNTR100267</t>
  </si>
  <si>
    <t>CNTR100268</t>
  </si>
  <si>
    <t>CNTR100269</t>
  </si>
  <si>
    <t>CNTR100270</t>
  </si>
  <si>
    <t>CNTR100271</t>
  </si>
  <si>
    <t>CNTR100272</t>
  </si>
  <si>
    <t>CNTR100273</t>
  </si>
  <si>
    <t>CNTR100274</t>
  </si>
  <si>
    <t>CNTR100275</t>
  </si>
  <si>
    <t>CNTR100276</t>
  </si>
  <si>
    <t>CNTR100277</t>
  </si>
  <si>
    <t>CNTR100278</t>
  </si>
  <si>
    <t>CNTR100279</t>
  </si>
  <si>
    <t>CNTR100280</t>
  </si>
  <si>
    <t>CNTR100281</t>
  </si>
  <si>
    <t>CNTR100282</t>
  </si>
  <si>
    <t>CNTR100283</t>
  </si>
  <si>
    <t>CNTR100284</t>
  </si>
  <si>
    <t>CNTR100285</t>
  </si>
  <si>
    <t>CNTR100286</t>
  </si>
  <si>
    <t>CNTR100287</t>
  </si>
  <si>
    <t>CNTR100288</t>
  </si>
  <si>
    <t>CNTR100289</t>
  </si>
  <si>
    <t>CNTR100290</t>
  </si>
  <si>
    <t>CNTR100291</t>
  </si>
  <si>
    <t>CNTR100292</t>
  </si>
  <si>
    <t>CNTR100293</t>
  </si>
  <si>
    <t>CNTR100294</t>
  </si>
  <si>
    <t>CNTR100295</t>
  </si>
  <si>
    <t>CNTR100296</t>
  </si>
  <si>
    <t>CNTR100297</t>
  </si>
  <si>
    <t>CNTR100298</t>
  </si>
  <si>
    <t>CNTR100299</t>
  </si>
  <si>
    <t>CNTR100300</t>
  </si>
  <si>
    <t>CNTR100301</t>
  </si>
  <si>
    <t>CNTR100302</t>
  </si>
  <si>
    <t>CNTR100303</t>
  </si>
  <si>
    <t>CNTR100304</t>
  </si>
  <si>
    <t>CNTR100305</t>
  </si>
  <si>
    <t>CNTR100306</t>
  </si>
  <si>
    <t>CNTR100307</t>
  </si>
  <si>
    <t>CNTR100308</t>
  </si>
  <si>
    <t>CNTR100309</t>
  </si>
  <si>
    <t>CNTR100310</t>
  </si>
  <si>
    <t>CNTR100311</t>
  </si>
  <si>
    <t>CNTR100312</t>
  </si>
  <si>
    <t>CNTR100313</t>
  </si>
  <si>
    <t>CNTR100314</t>
  </si>
  <si>
    <t>CNTR100315</t>
  </si>
  <si>
    <t>CNTR100316</t>
  </si>
  <si>
    <t>CNTR100317</t>
  </si>
  <si>
    <t>CNTR100318</t>
  </si>
  <si>
    <t>CNTR100319</t>
  </si>
  <si>
    <t>CNTR100320</t>
  </si>
  <si>
    <t>CNTR100321</t>
  </si>
  <si>
    <t>CNTR100322</t>
  </si>
  <si>
    <t>CNTR100323</t>
  </si>
  <si>
    <t>CNTR100324</t>
  </si>
  <si>
    <t>CNTR100325</t>
  </si>
  <si>
    <t>CNTR100326</t>
  </si>
  <si>
    <t>CNTR100327</t>
  </si>
  <si>
    <t>CNTR100328</t>
  </si>
  <si>
    <t>CNTR100329</t>
  </si>
  <si>
    <t>CNTR100330</t>
  </si>
  <si>
    <t>CNTR100331</t>
  </si>
  <si>
    <t>CNTR100332</t>
  </si>
  <si>
    <t>CNTR100333</t>
  </si>
  <si>
    <t>CNTR100334</t>
  </si>
  <si>
    <t>CNTR100335</t>
  </si>
  <si>
    <t>CNTR100336</t>
  </si>
  <si>
    <t>CNTR100337</t>
  </si>
  <si>
    <t>CNTR100338</t>
  </si>
  <si>
    <t>CNTR100339</t>
  </si>
  <si>
    <t>CNTR100340</t>
  </si>
  <si>
    <t>CNTR100341</t>
  </si>
  <si>
    <t>CNTR100342</t>
  </si>
  <si>
    <t>CNTR100343</t>
  </si>
  <si>
    <t>CNTR100344</t>
  </si>
  <si>
    <t>CNTR100345</t>
  </si>
  <si>
    <t>CNTR100346</t>
  </si>
  <si>
    <t>CNTR100347</t>
  </si>
  <si>
    <t>CNTR100348</t>
  </si>
  <si>
    <t>CNTR100349</t>
  </si>
  <si>
    <t>CNTR100350</t>
  </si>
  <si>
    <t>CNTR100351</t>
  </si>
  <si>
    <t>CNTR100352</t>
  </si>
  <si>
    <t>CNTR100353</t>
  </si>
  <si>
    <t>CNTR100354</t>
  </si>
  <si>
    <t>CNTR100355</t>
  </si>
  <si>
    <t>CNTR100356</t>
  </si>
  <si>
    <t>CNTR100357</t>
  </si>
  <si>
    <t>CNTR100358</t>
  </si>
  <si>
    <t>CNTR100359</t>
  </si>
  <si>
    <t>CNTR100360</t>
  </si>
  <si>
    <t>CNTR100361</t>
  </si>
  <si>
    <t>CNTR100362</t>
  </si>
  <si>
    <t>CNTR100363</t>
  </si>
  <si>
    <t>CNTR100364</t>
  </si>
  <si>
    <t>CNTR100365</t>
  </si>
  <si>
    <t>CNTR100366</t>
  </si>
  <si>
    <t>CNTR100367</t>
  </si>
  <si>
    <t>CNTR100368</t>
  </si>
  <si>
    <t>CNTR100369</t>
  </si>
  <si>
    <t>CNTR100370</t>
  </si>
  <si>
    <t>CNTR100371</t>
  </si>
  <si>
    <t>CNTR100372</t>
  </si>
  <si>
    <t>CNTR100373</t>
  </si>
  <si>
    <t>CNTR100374</t>
  </si>
  <si>
    <t>CNTR100375</t>
  </si>
  <si>
    <t>CNTR100376</t>
  </si>
  <si>
    <t>CNTR100377</t>
  </si>
  <si>
    <t>CNTR100378</t>
  </si>
  <si>
    <t>CNTR100379</t>
  </si>
  <si>
    <t>CNTR100380</t>
  </si>
  <si>
    <t>CNTR100381</t>
  </si>
  <si>
    <t>CNTR100382</t>
  </si>
  <si>
    <t>CNTR100383</t>
  </si>
  <si>
    <t>CNTR100384</t>
  </si>
  <si>
    <t>CNTR100385</t>
  </si>
  <si>
    <t>CNTR100386</t>
  </si>
  <si>
    <t>CNTR100387</t>
  </si>
  <si>
    <t>CNTR100388</t>
  </si>
  <si>
    <t>CNTR100389</t>
  </si>
  <si>
    <t>CNTR100390</t>
  </si>
  <si>
    <t>CNTR100391</t>
  </si>
  <si>
    <t>CNTR100392</t>
  </si>
  <si>
    <t>CNTR100393</t>
  </si>
  <si>
    <t>CNTR100394</t>
  </si>
  <si>
    <t>CNTR100395</t>
  </si>
  <si>
    <t>CNTR100396</t>
  </si>
  <si>
    <t>CNTR100397</t>
  </si>
  <si>
    <t>CNTR100398</t>
  </si>
  <si>
    <t>CNTR100399</t>
  </si>
  <si>
    <t>CNTR100400</t>
  </si>
  <si>
    <t>CNTR100401</t>
  </si>
  <si>
    <t>CNTR100402</t>
  </si>
  <si>
    <t>CNTR100403</t>
  </si>
  <si>
    <t>CNTR100404</t>
  </si>
  <si>
    <t>CNTR100405</t>
  </si>
  <si>
    <t>CNTR100406</t>
  </si>
  <si>
    <t>CNTR100407</t>
  </si>
  <si>
    <t>CNTR100408</t>
  </si>
  <si>
    <t>CNTR100409</t>
  </si>
  <si>
    <t>CNTR100410</t>
  </si>
  <si>
    <t>CNTR100411</t>
  </si>
  <si>
    <t>CNTR100412</t>
  </si>
  <si>
    <t>CNTR100413</t>
  </si>
  <si>
    <t>CNTR100414</t>
  </si>
  <si>
    <t>CNTR100415</t>
  </si>
  <si>
    <t>CNTR100416</t>
  </si>
  <si>
    <t>CNTR100417</t>
  </si>
  <si>
    <t>CNTR100418</t>
  </si>
  <si>
    <t>CNTR100419</t>
  </si>
  <si>
    <t>CNTR100420</t>
  </si>
  <si>
    <t>CNTR100421</t>
  </si>
  <si>
    <t>CNTR100422</t>
  </si>
  <si>
    <t>CNTR100423</t>
  </si>
  <si>
    <t>CNTR100424</t>
  </si>
  <si>
    <t>CNTR100425</t>
  </si>
  <si>
    <t>CNTR100426</t>
  </si>
  <si>
    <t>CNTR100427</t>
  </si>
  <si>
    <t>CNTR100428</t>
  </si>
  <si>
    <t>CNTR100429</t>
  </si>
  <si>
    <t>CNTR100430</t>
  </si>
  <si>
    <t>CNTR100431</t>
  </si>
  <si>
    <t>CNTR100432</t>
  </si>
  <si>
    <t>CNTR100433</t>
  </si>
  <si>
    <t>CNTR100434</t>
  </si>
  <si>
    <t>CNTR100435</t>
  </si>
  <si>
    <t>CNTR100436</t>
  </si>
  <si>
    <t>CNTR100437</t>
  </si>
  <si>
    <t>CNTR100438</t>
  </si>
  <si>
    <t>CNTR100439</t>
  </si>
  <si>
    <t>CNTR100440</t>
  </si>
  <si>
    <t>CNTR100441</t>
  </si>
  <si>
    <t>CNTR100442</t>
  </si>
  <si>
    <t>CNTR100443</t>
  </si>
  <si>
    <t>CNTR100444</t>
  </si>
  <si>
    <t>CNTR100445</t>
  </si>
  <si>
    <t>CNTR100446</t>
  </si>
  <si>
    <t>CNTR100447</t>
  </si>
  <si>
    <t>CNTR100448</t>
  </si>
  <si>
    <t>CNTR100449</t>
  </si>
  <si>
    <t>CNTR100450</t>
  </si>
  <si>
    <t>CNTR100451</t>
  </si>
  <si>
    <t>CNTR100452</t>
  </si>
  <si>
    <t>CNTR100453</t>
  </si>
  <si>
    <t>CNTR100454</t>
  </si>
  <si>
    <t>CNTR100455</t>
  </si>
  <si>
    <t>CNTR100456</t>
  </si>
  <si>
    <t>CNTR100457</t>
  </si>
  <si>
    <t>CNTR100458</t>
  </si>
  <si>
    <t>CNTR100459</t>
  </si>
  <si>
    <t>CNTR100460</t>
  </si>
  <si>
    <t>CNTR100461</t>
  </si>
  <si>
    <t>CNTR100462</t>
  </si>
  <si>
    <t>CNTR100463</t>
  </si>
  <si>
    <t>CNTR100464</t>
  </si>
  <si>
    <t>CNTR100465</t>
  </si>
  <si>
    <t>CNTR100466</t>
  </si>
  <si>
    <t>CNTR100467</t>
  </si>
  <si>
    <t>CNTR100468</t>
  </si>
  <si>
    <t>CNTR100469</t>
  </si>
  <si>
    <t>CNTR100470</t>
  </si>
  <si>
    <t>CNTR100471</t>
  </si>
  <si>
    <t>CNTR100472</t>
  </si>
  <si>
    <t>CNTR100473</t>
  </si>
  <si>
    <t>CNTR100474</t>
  </si>
  <si>
    <t>CNTR100475</t>
  </si>
  <si>
    <t>CNTR100476</t>
  </si>
  <si>
    <t>CNTR100477</t>
  </si>
  <si>
    <t>CNTR100478</t>
  </si>
  <si>
    <t>CNTR100479</t>
  </si>
  <si>
    <t>CNTR100480</t>
  </si>
  <si>
    <t>CNTR100481</t>
  </si>
  <si>
    <t>CNTR100482</t>
  </si>
  <si>
    <t>CNTR100483</t>
  </si>
  <si>
    <t>CNTR100484</t>
  </si>
  <si>
    <t>CNTR100485</t>
  </si>
  <si>
    <t>CNTR100486</t>
  </si>
  <si>
    <t>CNTR100487</t>
  </si>
  <si>
    <t>CNTR100488</t>
  </si>
  <si>
    <t>CNTR100489</t>
  </si>
  <si>
    <t>CNTR100490</t>
  </si>
  <si>
    <t>CNTR100491</t>
  </si>
  <si>
    <t>CNTR100492</t>
  </si>
  <si>
    <t>CNTR100493</t>
  </si>
  <si>
    <t>CNTR100494</t>
  </si>
  <si>
    <t>CNTR100495</t>
  </si>
  <si>
    <t>CNTR100496</t>
  </si>
  <si>
    <t>CNTR100497</t>
  </si>
  <si>
    <t>CNTR100498</t>
  </si>
  <si>
    <t>CNTR100499</t>
  </si>
  <si>
    <t>CNTR100500</t>
  </si>
  <si>
    <t>CNTR100501</t>
  </si>
  <si>
    <t>CNTR100502</t>
  </si>
  <si>
    <t>CNTR100503</t>
  </si>
  <si>
    <t>CNTR100504</t>
  </si>
  <si>
    <t>CNTR100505</t>
  </si>
  <si>
    <t>CNTR100506</t>
  </si>
  <si>
    <t>CNTR100507</t>
  </si>
  <si>
    <t>CNTR100508</t>
  </si>
  <si>
    <t>CNTR100509</t>
  </si>
  <si>
    <t>CNTR100510</t>
  </si>
  <si>
    <t>CNTR100511</t>
  </si>
  <si>
    <t>CNTR100512</t>
  </si>
  <si>
    <t>CNTR100513</t>
  </si>
  <si>
    <t>CNTR100514</t>
  </si>
  <si>
    <t>CNTR100515</t>
  </si>
  <si>
    <t>CNTR100516</t>
  </si>
  <si>
    <t>CNTR100517</t>
  </si>
  <si>
    <t>CNTR100518</t>
  </si>
  <si>
    <t>CNTR100519</t>
  </si>
  <si>
    <t>CNTR100520</t>
  </si>
  <si>
    <t>CNTR100521</t>
  </si>
  <si>
    <t>CNTR100522</t>
  </si>
  <si>
    <t>CNTR100523</t>
  </si>
  <si>
    <t>CNTR100524</t>
  </si>
  <si>
    <t>CNTR100525</t>
  </si>
  <si>
    <t>CNTR100526</t>
  </si>
  <si>
    <t>CNTR100527</t>
  </si>
  <si>
    <t>CNTR100528</t>
  </si>
  <si>
    <t>CNTR100529</t>
  </si>
  <si>
    <t>CNTR100530</t>
  </si>
  <si>
    <t>CNTR100531</t>
  </si>
  <si>
    <t>CNTR100532</t>
  </si>
  <si>
    <t>CNTR100533</t>
  </si>
  <si>
    <t>CNTR100534</t>
  </si>
  <si>
    <t>CNTR100535</t>
  </si>
  <si>
    <t>CNTR100536</t>
  </si>
  <si>
    <t>CNTR100537</t>
  </si>
  <si>
    <t>CNTR100538</t>
  </si>
  <si>
    <t>CNTR100539</t>
  </si>
  <si>
    <t>CNTR100540</t>
  </si>
  <si>
    <t>CNTR100541</t>
  </si>
  <si>
    <t>CNTR100542</t>
  </si>
  <si>
    <t>CNTR100543</t>
  </si>
  <si>
    <t>CNTR100544</t>
  </si>
  <si>
    <t>CNTR100545</t>
  </si>
  <si>
    <t>CNTR100546</t>
  </si>
  <si>
    <t>CNTR100547</t>
  </si>
  <si>
    <t>CNTR100548</t>
  </si>
  <si>
    <t>CNTR100549</t>
  </si>
  <si>
    <t>CNTR100550</t>
  </si>
  <si>
    <t>CNTR100551</t>
  </si>
  <si>
    <t>CNTR100552</t>
  </si>
  <si>
    <t>CNTR100553</t>
  </si>
  <si>
    <t>CNTR100554</t>
  </si>
  <si>
    <t>CNTR100555</t>
  </si>
  <si>
    <t>CNTR100556</t>
  </si>
  <si>
    <t>CNTR100557</t>
  </si>
  <si>
    <t>CNTR100558</t>
  </si>
  <si>
    <t>CNTR100559</t>
  </si>
  <si>
    <t>CNTR100560</t>
  </si>
  <si>
    <t>CNTR100561</t>
  </si>
  <si>
    <t>CNTR100562</t>
  </si>
  <si>
    <t>CNTR100563</t>
  </si>
  <si>
    <t>CNTR100564</t>
  </si>
  <si>
    <t>CNTR100565</t>
  </si>
  <si>
    <t>CNTR100566</t>
  </si>
  <si>
    <t>CNTR100567</t>
  </si>
  <si>
    <t>CNTR100568</t>
  </si>
  <si>
    <t>CNTR100569</t>
  </si>
  <si>
    <t>CNTR100570</t>
  </si>
  <si>
    <t>CNTR100571</t>
  </si>
  <si>
    <t>CNTR100572</t>
  </si>
  <si>
    <t>CNTR100573</t>
  </si>
  <si>
    <t>CNTR100574</t>
  </si>
  <si>
    <t>CNTR100575</t>
  </si>
  <si>
    <t>CNTR100576</t>
  </si>
  <si>
    <t>CNTR100577</t>
  </si>
  <si>
    <t>CNTR100578</t>
  </si>
  <si>
    <t>CNTR100579</t>
  </si>
  <si>
    <t>CNTR100580</t>
  </si>
  <si>
    <t>CNTR100581</t>
  </si>
  <si>
    <t>CNTR100582</t>
  </si>
  <si>
    <t>CNTR100583</t>
  </si>
  <si>
    <t>CNTR100584</t>
  </si>
  <si>
    <t>CNTR100585</t>
  </si>
  <si>
    <t>CNTR100586</t>
  </si>
  <si>
    <t>CNTR100587</t>
  </si>
  <si>
    <t>CNTR100588</t>
  </si>
  <si>
    <t>CNTR100589</t>
  </si>
  <si>
    <t>CNTR100590</t>
  </si>
  <si>
    <t>CNTR100591</t>
  </si>
  <si>
    <t>CNTR100592</t>
  </si>
  <si>
    <t>CNTR100593</t>
  </si>
  <si>
    <t>CNTR100594</t>
  </si>
  <si>
    <t>CNTR100595</t>
  </si>
  <si>
    <t>CNTR100596</t>
  </si>
  <si>
    <t>CNTR100597</t>
  </si>
  <si>
    <t>CNTR100598</t>
  </si>
  <si>
    <t>CNTR100599</t>
  </si>
  <si>
    <t>CNTR100600</t>
  </si>
  <si>
    <t>CNTR100601</t>
  </si>
  <si>
    <t>CNTR100602</t>
  </si>
  <si>
    <t>CNTR100603</t>
  </si>
  <si>
    <t>CNTR100604</t>
  </si>
  <si>
    <t>CNTR100605</t>
  </si>
  <si>
    <t>CNTR100606</t>
  </si>
  <si>
    <t>CNTR100607</t>
  </si>
  <si>
    <t>CNTR100608</t>
  </si>
  <si>
    <t>CNTR100609</t>
  </si>
  <si>
    <t>CNTR100610</t>
  </si>
  <si>
    <t>CNTR100611</t>
  </si>
  <si>
    <t>CNTR100612</t>
  </si>
  <si>
    <t>CNTR100613</t>
  </si>
  <si>
    <t>CNTR100614</t>
  </si>
  <si>
    <t>CNTR100615</t>
  </si>
  <si>
    <t>CNTR100616</t>
  </si>
  <si>
    <t>CNTR100617</t>
  </si>
  <si>
    <t>CNTR100618</t>
  </si>
  <si>
    <t>CNTR100619</t>
  </si>
  <si>
    <t>CNTR100620</t>
  </si>
  <si>
    <t>CNTR100621</t>
  </si>
  <si>
    <t>CNTR100622</t>
  </si>
  <si>
    <t>CNTR100623</t>
  </si>
  <si>
    <t>CNTR100624</t>
  </si>
  <si>
    <t>CNTR100625</t>
  </si>
  <si>
    <t>CNTR100626</t>
  </si>
  <si>
    <t>CNTR100627</t>
  </si>
  <si>
    <t>CNTR100628</t>
  </si>
  <si>
    <t>CNTR100629</t>
  </si>
  <si>
    <t>CNTR100630</t>
  </si>
  <si>
    <t>CNTR100631</t>
  </si>
  <si>
    <t>CNTR100632</t>
  </si>
  <si>
    <t>CNTR100633</t>
  </si>
  <si>
    <t>CNTR100634</t>
  </si>
  <si>
    <t>CNTR100635</t>
  </si>
  <si>
    <t>CNTR100636</t>
  </si>
  <si>
    <t>CNTR100637</t>
  </si>
  <si>
    <t>CNTR100638</t>
  </si>
  <si>
    <t>CNTR100639</t>
  </si>
  <si>
    <t>CNTR100640</t>
  </si>
  <si>
    <t>CNTR100641</t>
  </si>
  <si>
    <t>CNTR100642</t>
  </si>
  <si>
    <t>CNTR100643</t>
  </si>
  <si>
    <t>CNTR100644</t>
  </si>
  <si>
    <t>CNTR100645</t>
  </si>
  <si>
    <t>CNTR100646</t>
  </si>
  <si>
    <t>CNTR100647</t>
  </si>
  <si>
    <t>CNTR100648</t>
  </si>
  <si>
    <t>CNTR100649</t>
  </si>
  <si>
    <t>CNTR100650</t>
  </si>
  <si>
    <t>CNTR100651</t>
  </si>
  <si>
    <t>CNTR100652</t>
  </si>
  <si>
    <t>CNTR100653</t>
  </si>
  <si>
    <t>CNTR100654</t>
  </si>
  <si>
    <t>CNTR100655</t>
  </si>
  <si>
    <t>CNTR100656</t>
  </si>
  <si>
    <t>CNTR100657</t>
  </si>
  <si>
    <t>CNTR100658</t>
  </si>
  <si>
    <t>CNTR100659</t>
  </si>
  <si>
    <t>CNTR100660</t>
  </si>
  <si>
    <t>CNTR100661</t>
  </si>
  <si>
    <t>CNTR100662</t>
  </si>
  <si>
    <t>CNTR100663</t>
  </si>
  <si>
    <t>CNTR100664</t>
  </si>
  <si>
    <t>CNTR100665</t>
  </si>
  <si>
    <t>CNTR100666</t>
  </si>
  <si>
    <t>CNTR100667</t>
  </si>
  <si>
    <t>CNTR100668</t>
  </si>
  <si>
    <t>CNTR100669</t>
  </si>
  <si>
    <t>CNTR100670</t>
  </si>
  <si>
    <t>CNTR100671</t>
  </si>
  <si>
    <t>CNTR100672</t>
  </si>
  <si>
    <t>CNTR100673</t>
  </si>
  <si>
    <t>CNTR100674</t>
  </si>
  <si>
    <t>CNTR100675</t>
  </si>
  <si>
    <t>CNTR100676</t>
  </si>
  <si>
    <t>CNTR100677</t>
  </si>
  <si>
    <t>CNTR100678</t>
  </si>
  <si>
    <t>CNTR100679</t>
  </si>
  <si>
    <t>CNTR100680</t>
  </si>
  <si>
    <t>CNTR100681</t>
  </si>
  <si>
    <t>CNTR100682</t>
  </si>
  <si>
    <t>CNTR100683</t>
  </si>
  <si>
    <t>CNTR100684</t>
  </si>
  <si>
    <t>CNTR100685</t>
  </si>
  <si>
    <t>CNTR100686</t>
  </si>
  <si>
    <t>CNTR100687</t>
  </si>
  <si>
    <t>CNTR100688</t>
  </si>
  <si>
    <t>CNTR100689</t>
  </si>
  <si>
    <t>CNTR100690</t>
  </si>
  <si>
    <t>CNTR100691</t>
  </si>
  <si>
    <t>CNTR100692</t>
  </si>
  <si>
    <t>CNTR100693</t>
  </si>
  <si>
    <t>CNTR100694</t>
  </si>
  <si>
    <t>CNTR100695</t>
  </si>
  <si>
    <t>CNTR100696</t>
  </si>
  <si>
    <t>CNTR100697</t>
  </si>
  <si>
    <t>CNTR100698</t>
  </si>
  <si>
    <t>CNTR100699</t>
  </si>
  <si>
    <t>CNTR100700</t>
  </si>
  <si>
    <t>CNTR100701</t>
  </si>
  <si>
    <t>CNTR100702</t>
  </si>
  <si>
    <t>CNTR100703</t>
  </si>
  <si>
    <t>CNTR100704</t>
  </si>
  <si>
    <t>CNTR100705</t>
  </si>
  <si>
    <t>CNTR100706</t>
  </si>
  <si>
    <t>CNTR100707</t>
  </si>
  <si>
    <t>CNTR100708</t>
  </si>
  <si>
    <t>CNTR100709</t>
  </si>
  <si>
    <t>CNTR100710</t>
  </si>
  <si>
    <t>CNTR100711</t>
  </si>
  <si>
    <t>CNTR100712</t>
  </si>
  <si>
    <t>CNTR100713</t>
  </si>
  <si>
    <t>CNTR100714</t>
  </si>
  <si>
    <t>CNTR100715</t>
  </si>
  <si>
    <t>CNTR100716</t>
  </si>
  <si>
    <t>CNTR100717</t>
  </si>
  <si>
    <t>CNTR100718</t>
  </si>
  <si>
    <t>CNTR100719</t>
  </si>
  <si>
    <t>CNTR100720</t>
  </si>
  <si>
    <t>CNTR100721</t>
  </si>
  <si>
    <t>CNTR100722</t>
  </si>
  <si>
    <t>CNTR100723</t>
  </si>
  <si>
    <t>CNTR100724</t>
  </si>
  <si>
    <t>CNTR100725</t>
  </si>
  <si>
    <t>CNTR100726</t>
  </si>
  <si>
    <t>CNTR100727</t>
  </si>
  <si>
    <t>CNTR100728</t>
  </si>
  <si>
    <t>CNTR100729</t>
  </si>
  <si>
    <t>CNTR100730</t>
  </si>
  <si>
    <t>CNTR100731</t>
  </si>
  <si>
    <t>CNTR100732</t>
  </si>
  <si>
    <t>CNTR100733</t>
  </si>
  <si>
    <t>CNTR100734</t>
  </si>
  <si>
    <t>CNTR100735</t>
  </si>
  <si>
    <t>CNTR100736</t>
  </si>
  <si>
    <t>CNTR100737</t>
  </si>
  <si>
    <t>CNTR100738</t>
  </si>
  <si>
    <t>CNTR100739</t>
  </si>
  <si>
    <t>CNTR100740</t>
  </si>
  <si>
    <t>CNTR100741</t>
  </si>
  <si>
    <t>CNTR100742</t>
  </si>
  <si>
    <t>CNTR100743</t>
  </si>
  <si>
    <t>CNTR100744</t>
  </si>
  <si>
    <t>CNTR100745</t>
  </si>
  <si>
    <t>CNTR100746</t>
  </si>
  <si>
    <t>CNTR100747</t>
  </si>
  <si>
    <t>CNTR100748</t>
  </si>
  <si>
    <t>CNTR100749</t>
  </si>
  <si>
    <t>CNTR100750</t>
  </si>
  <si>
    <t>CNTR100751</t>
  </si>
  <si>
    <t>CNTR100752</t>
  </si>
  <si>
    <t>CNTR100753</t>
  </si>
  <si>
    <t>CNTR100754</t>
  </si>
  <si>
    <t>CNTR100755</t>
  </si>
  <si>
    <t>CNTR100756</t>
  </si>
  <si>
    <t>CNTR100757</t>
  </si>
  <si>
    <t>CNTR100758</t>
  </si>
  <si>
    <t>CNTR100759</t>
  </si>
  <si>
    <t>CNTR100760</t>
  </si>
  <si>
    <t>CNTR100761</t>
  </si>
  <si>
    <t>CNTR100762</t>
  </si>
  <si>
    <t>CNTR100763</t>
  </si>
  <si>
    <t>CNTR100764</t>
  </si>
  <si>
    <t>CNTR100765</t>
  </si>
  <si>
    <t>CNTR100766</t>
  </si>
  <si>
    <t>CNTR100767</t>
  </si>
  <si>
    <t>CNTR100768</t>
  </si>
  <si>
    <t>CNTR100769</t>
  </si>
  <si>
    <t>CNTR100770</t>
  </si>
  <si>
    <t>CNTR100771</t>
  </si>
  <si>
    <t>CNTR100772</t>
  </si>
  <si>
    <t>CNTR100773</t>
  </si>
  <si>
    <t>CNTR100774</t>
  </si>
  <si>
    <t>CNTR100775</t>
  </si>
  <si>
    <t>CNTR100776</t>
  </si>
  <si>
    <t>CNTR100777</t>
  </si>
  <si>
    <t>CNTR100778</t>
  </si>
  <si>
    <t>CNTR100779</t>
  </si>
  <si>
    <t>CNTR100780</t>
  </si>
  <si>
    <t>CNTR100781</t>
  </si>
  <si>
    <t>CNTR100782</t>
  </si>
  <si>
    <t>CNTR100783</t>
  </si>
  <si>
    <t>CNTR100784</t>
  </si>
  <si>
    <t>CNTR100785</t>
  </si>
  <si>
    <t>CNTR100786</t>
  </si>
  <si>
    <t>CNTR100787</t>
  </si>
  <si>
    <t>CNTR100788</t>
  </si>
  <si>
    <t>CNTR100789</t>
  </si>
  <si>
    <t>CNTR100790</t>
  </si>
  <si>
    <t>CNTR100791</t>
  </si>
  <si>
    <t>CNTR100792</t>
  </si>
  <si>
    <t>CNTR100793</t>
  </si>
  <si>
    <t>CNTR100794</t>
  </si>
  <si>
    <t>CNTR100795</t>
  </si>
  <si>
    <t>CNTR100796</t>
  </si>
  <si>
    <t>CNTR100797</t>
  </si>
  <si>
    <t>CNTR100798</t>
  </si>
  <si>
    <t>CNTR100799</t>
  </si>
  <si>
    <t>CNTR100800</t>
  </si>
  <si>
    <t>CNTR100801</t>
  </si>
  <si>
    <t>CNTR100802</t>
  </si>
  <si>
    <t>CNTR100803</t>
  </si>
  <si>
    <t>CNTR100804</t>
  </si>
  <si>
    <t>CNTR100805</t>
  </si>
  <si>
    <t>CNTR100806</t>
  </si>
  <si>
    <t>CNTR100807</t>
  </si>
  <si>
    <t>CNTR100808</t>
  </si>
  <si>
    <t>CNTR100809</t>
  </si>
  <si>
    <t>CNTR100810</t>
  </si>
  <si>
    <t>CNTR100811</t>
  </si>
  <si>
    <t>CNTR100812</t>
  </si>
  <si>
    <t>CNTR100813</t>
  </si>
  <si>
    <t>CNTR100814</t>
  </si>
  <si>
    <t>CNTR100815</t>
  </si>
  <si>
    <t>CNTR100816</t>
  </si>
  <si>
    <t>CNTR100817</t>
  </si>
  <si>
    <t>CNTR100818</t>
  </si>
  <si>
    <t>CNTR100819</t>
  </si>
  <si>
    <t>CNTR100820</t>
  </si>
  <si>
    <t>CNTR100821</t>
  </si>
  <si>
    <t>CNTR100822</t>
  </si>
  <si>
    <t>CNTR100823</t>
  </si>
  <si>
    <t>CNTR100824</t>
  </si>
  <si>
    <t>CNTR100825</t>
  </si>
  <si>
    <t>CNTR100826</t>
  </si>
  <si>
    <t>CNTR100827</t>
  </si>
  <si>
    <t>CNTR100828</t>
  </si>
  <si>
    <t>CNTR100829</t>
  </si>
  <si>
    <t>CNTR100830</t>
  </si>
  <si>
    <t>CNTR100831</t>
  </si>
  <si>
    <t>CNTR100832</t>
  </si>
  <si>
    <t>CNTR100833</t>
  </si>
  <si>
    <t>CNTR100834</t>
  </si>
  <si>
    <t>CNTR100835</t>
  </si>
  <si>
    <t>CNTR100836</t>
  </si>
  <si>
    <t>CNTR100837</t>
  </si>
  <si>
    <t>CNTR100838</t>
  </si>
  <si>
    <t>CNTR100839</t>
  </si>
  <si>
    <t>CNTR100840</t>
  </si>
  <si>
    <t>CNTR100841</t>
  </si>
  <si>
    <t>CNTR100842</t>
  </si>
  <si>
    <t>CNTR100843</t>
  </si>
  <si>
    <t>CNTR100844</t>
  </si>
  <si>
    <t>CNTR100845</t>
  </si>
  <si>
    <t>CNTR100846</t>
  </si>
  <si>
    <t>CNTR100847</t>
  </si>
  <si>
    <t>CNTR100848</t>
  </si>
  <si>
    <t>CNTR100849</t>
  </si>
  <si>
    <t>CNTR100850</t>
  </si>
  <si>
    <t>CNTR100851</t>
  </si>
  <si>
    <t>CNTR100852</t>
  </si>
  <si>
    <t>CNTR100853</t>
  </si>
  <si>
    <t>CNTR100854</t>
  </si>
  <si>
    <t>CNTR100855</t>
  </si>
  <si>
    <t>CNTR100856</t>
  </si>
  <si>
    <t>CNTR100857</t>
  </si>
  <si>
    <t>CNTR100858</t>
  </si>
  <si>
    <t>CNTR100859</t>
  </si>
  <si>
    <t>CNTR100860</t>
  </si>
  <si>
    <t>CNTR100861</t>
  </si>
  <si>
    <t>CNTR100862</t>
  </si>
  <si>
    <t>CNTR100863</t>
  </si>
  <si>
    <t>CNTR100864</t>
  </si>
  <si>
    <t>CNTR100865</t>
  </si>
  <si>
    <t>CNTR100866</t>
  </si>
  <si>
    <t>CNTR100867</t>
  </si>
  <si>
    <t>CNTR100868</t>
  </si>
  <si>
    <t>CNTR100869</t>
  </si>
  <si>
    <t>CNTR100870</t>
  </si>
  <si>
    <t>CNTR100871</t>
  </si>
  <si>
    <t>CNTR100872</t>
  </si>
  <si>
    <t>CNTR100873</t>
  </si>
  <si>
    <t>CNTR100874</t>
  </si>
  <si>
    <t>CNTR100875</t>
  </si>
  <si>
    <t>CNTR100876</t>
  </si>
  <si>
    <t>CNTR100877</t>
  </si>
  <si>
    <t>CNTR100878</t>
  </si>
  <si>
    <t>CNTR100879</t>
  </si>
  <si>
    <t>CNTR100880</t>
  </si>
  <si>
    <t>CNTR100881</t>
  </si>
  <si>
    <t>CNTR100882</t>
  </si>
  <si>
    <t>CNTR100883</t>
  </si>
  <si>
    <t>CNTR100884</t>
  </si>
  <si>
    <t>CNTR100885</t>
  </si>
  <si>
    <t>CNTR100886</t>
  </si>
  <si>
    <t>CNTR100887</t>
  </si>
  <si>
    <t>CNTR100888</t>
  </si>
  <si>
    <t>CNTR100889</t>
  </si>
  <si>
    <t>CNTR100890</t>
  </si>
  <si>
    <t>CNTR100891</t>
  </si>
  <si>
    <t>CNTR100892</t>
  </si>
  <si>
    <t>CNTR100893</t>
  </si>
  <si>
    <t>CNTR100894</t>
  </si>
  <si>
    <t>CNTR100895</t>
  </si>
  <si>
    <t>CNTR100896</t>
  </si>
  <si>
    <t>CNTR100897</t>
  </si>
  <si>
    <t>CNTR100898</t>
  </si>
  <si>
    <t>CNTR100899</t>
  </si>
  <si>
    <t>CNTR100900</t>
  </si>
  <si>
    <t>CNTR100901</t>
  </si>
  <si>
    <t>CNTR100902</t>
  </si>
  <si>
    <t>CNTR100903</t>
  </si>
  <si>
    <t>CNTR100904</t>
  </si>
  <si>
    <t>CNTR100905</t>
  </si>
  <si>
    <t>CNTR100906</t>
  </si>
  <si>
    <t>CNTR100907</t>
  </si>
  <si>
    <t>CNTR100908</t>
  </si>
  <si>
    <t>CNTR100909</t>
  </si>
  <si>
    <t>CNTR100910</t>
  </si>
  <si>
    <t>CNTR100911</t>
  </si>
  <si>
    <t>CNTR100912</t>
  </si>
  <si>
    <t>CNTR100913</t>
  </si>
  <si>
    <t>CNTR100914</t>
  </si>
  <si>
    <t>CNTR100915</t>
  </si>
  <si>
    <t>CNTR100916</t>
  </si>
  <si>
    <t>CNTR100917</t>
  </si>
  <si>
    <t>CNTR100918</t>
  </si>
  <si>
    <t>CNTR100919</t>
  </si>
  <si>
    <t>CNTR100920</t>
  </si>
  <si>
    <t>CNTR100921</t>
  </si>
  <si>
    <t>CNTR100922</t>
  </si>
  <si>
    <t>CNTR100923</t>
  </si>
  <si>
    <t>CNTR100924</t>
  </si>
  <si>
    <t>CNTR100925</t>
  </si>
  <si>
    <t>CNTR100926</t>
  </si>
  <si>
    <t>CNTR100927</t>
  </si>
  <si>
    <t>CNTR100928</t>
  </si>
  <si>
    <t>CNTR100929</t>
  </si>
  <si>
    <t>CNTR100930</t>
  </si>
  <si>
    <t>CNTR100931</t>
  </si>
  <si>
    <t>CNTR100932</t>
  </si>
  <si>
    <t>CNTR100933</t>
  </si>
  <si>
    <t>CNTR100934</t>
  </si>
  <si>
    <t>CNTR100935</t>
  </si>
  <si>
    <t>CNTR100936</t>
  </si>
  <si>
    <t>CNTR100937</t>
  </si>
  <si>
    <t>CNTR100938</t>
  </si>
  <si>
    <t>CNTR100939</t>
  </si>
  <si>
    <t>CNTR100940</t>
  </si>
  <si>
    <t>CNTR100941</t>
  </si>
  <si>
    <t>CNTR100942</t>
  </si>
  <si>
    <t>CNTR100943</t>
  </si>
  <si>
    <t>CNTR100944</t>
  </si>
  <si>
    <t>CNTR100945</t>
  </si>
  <si>
    <t>CNTR100946</t>
  </si>
  <si>
    <t>CNTR100947</t>
  </si>
  <si>
    <t>CNTR100948</t>
  </si>
  <si>
    <t>CNTR100949</t>
  </si>
  <si>
    <t>CNTR100950</t>
  </si>
  <si>
    <t>CNTR100951</t>
  </si>
  <si>
    <t>CNTR100952</t>
  </si>
  <si>
    <t>CNTR100953</t>
  </si>
  <si>
    <t>CNTR100954</t>
  </si>
  <si>
    <t>CNTR100955</t>
  </si>
  <si>
    <t>CNTR100956</t>
  </si>
  <si>
    <t>CNTR100957</t>
  </si>
  <si>
    <t>CNTR100958</t>
  </si>
  <si>
    <t>CNTR100959</t>
  </si>
  <si>
    <t>CNTR100960</t>
  </si>
  <si>
    <t>CNTR100961</t>
  </si>
  <si>
    <t>CNTR100962</t>
  </si>
  <si>
    <t>CNTR100963</t>
  </si>
  <si>
    <t>CNTR100964</t>
  </si>
  <si>
    <t>CNTR100965</t>
  </si>
  <si>
    <t>CNTR100966</t>
  </si>
  <si>
    <t>CNTR100967</t>
  </si>
  <si>
    <t>CNTR100968</t>
  </si>
  <si>
    <t>CNTR100969</t>
  </si>
  <si>
    <t>CNTR100970</t>
  </si>
  <si>
    <t>CNTR100971</t>
  </si>
  <si>
    <t>CNTR100972</t>
  </si>
  <si>
    <t>CNTR100973</t>
  </si>
  <si>
    <t>CNTR100974</t>
  </si>
  <si>
    <t>CNTR100975</t>
  </si>
  <si>
    <t>CNTR100976</t>
  </si>
  <si>
    <t>CNTR100977</t>
  </si>
  <si>
    <t>CNTR100978</t>
  </si>
  <si>
    <t>CNTR100979</t>
  </si>
  <si>
    <t>CNTR100980</t>
  </si>
  <si>
    <t>CNTR100981</t>
  </si>
  <si>
    <t>CNTR100982</t>
  </si>
  <si>
    <t>CNTR100983</t>
  </si>
  <si>
    <t>CNTR100984</t>
  </si>
  <si>
    <t>CNTR100985</t>
  </si>
  <si>
    <t>CNTR100986</t>
  </si>
  <si>
    <t>CNTR100987</t>
  </si>
  <si>
    <t>CNTR100988</t>
  </si>
  <si>
    <t>CNTR100989</t>
  </si>
  <si>
    <t>CNTR100990</t>
  </si>
  <si>
    <t>CNTR100991</t>
  </si>
  <si>
    <t>CNTR100992</t>
  </si>
  <si>
    <t>CNTR100993</t>
  </si>
  <si>
    <t>CNTR100994</t>
  </si>
  <si>
    <t>CNTR100995</t>
  </si>
  <si>
    <t>CNTR100996</t>
  </si>
  <si>
    <t>CNTR100997</t>
  </si>
  <si>
    <t>CNTR100998</t>
  </si>
  <si>
    <t>CNTR100999</t>
  </si>
  <si>
    <t>CNTR101000</t>
  </si>
  <si>
    <t>CNTR101001</t>
  </si>
  <si>
    <t>CNTR101002</t>
  </si>
  <si>
    <t>CNTR101003</t>
  </si>
  <si>
    <t>CNTR101004</t>
  </si>
  <si>
    <t>CNTR101005</t>
  </si>
  <si>
    <t>CNTR101006</t>
  </si>
  <si>
    <t>CNTR101007</t>
  </si>
  <si>
    <t>CNTR101008</t>
  </si>
  <si>
    <t>CNTR101009</t>
  </si>
  <si>
    <t>CNTR101010</t>
  </si>
  <si>
    <t>CNTR101011</t>
  </si>
  <si>
    <t>CNTR101012</t>
  </si>
  <si>
    <t>CNTR101013</t>
  </si>
  <si>
    <t>CNTR101014</t>
  </si>
  <si>
    <t>CNTR101015</t>
  </si>
  <si>
    <t>CNTR101016</t>
  </si>
  <si>
    <t>CNTR101017</t>
  </si>
  <si>
    <t>CNTR101018</t>
  </si>
  <si>
    <t>CNTR101019</t>
  </si>
  <si>
    <t>CNTR101020</t>
  </si>
  <si>
    <t>CNTR101021</t>
  </si>
  <si>
    <t>CNTR101022</t>
  </si>
  <si>
    <t>CNTR101023</t>
  </si>
  <si>
    <t>CNTR101024</t>
  </si>
  <si>
    <t>CNTR101025</t>
  </si>
  <si>
    <t>CNTR101026</t>
  </si>
  <si>
    <t>CNTR101027</t>
  </si>
  <si>
    <t>CNTR101028</t>
  </si>
  <si>
    <t>CNTR101029</t>
  </si>
  <si>
    <t>CNTR101030</t>
  </si>
  <si>
    <t>CNTR101031</t>
  </si>
  <si>
    <t>CNTR101032</t>
  </si>
  <si>
    <t>CNTR101033</t>
  </si>
  <si>
    <t>CNTR101034</t>
  </si>
  <si>
    <t>CNTR101035</t>
  </si>
  <si>
    <t>CNTR101036</t>
  </si>
  <si>
    <t>CNTR101037</t>
  </si>
  <si>
    <t>CNTR101038</t>
  </si>
  <si>
    <t>CNTR101039</t>
  </si>
  <si>
    <t>CNTR101040</t>
  </si>
  <si>
    <t>CNTR101041</t>
  </si>
  <si>
    <t>CNTR101042</t>
  </si>
  <si>
    <t>CNTR101043</t>
  </si>
  <si>
    <t>CNTR101044</t>
  </si>
  <si>
    <t>CNTR101045</t>
  </si>
  <si>
    <t>CNTR101046</t>
  </si>
  <si>
    <t>CNTR101047</t>
  </si>
  <si>
    <t>CNTR101048</t>
  </si>
  <si>
    <t>CNTR101049</t>
  </si>
  <si>
    <t>CNTR101050</t>
  </si>
  <si>
    <t>CNTR101051</t>
  </si>
  <si>
    <t>CNTR101052</t>
  </si>
  <si>
    <t>CNTR101053</t>
  </si>
  <si>
    <t>CNTR101054</t>
  </si>
  <si>
    <t>CNTR101055</t>
  </si>
  <si>
    <t>CNTR101056</t>
  </si>
  <si>
    <t>CNTR101057</t>
  </si>
  <si>
    <t>CNTR101058</t>
  </si>
  <si>
    <t>CNTR101059</t>
  </si>
  <si>
    <t>CNTR101060</t>
  </si>
  <si>
    <t>CNTR101061</t>
  </si>
  <si>
    <t>CNTR101062</t>
  </si>
  <si>
    <t>CNTR101063</t>
  </si>
  <si>
    <t>CNTR101064</t>
  </si>
  <si>
    <t>CNTR101065</t>
  </si>
  <si>
    <t>CNTR101066</t>
  </si>
  <si>
    <t>CNTR101067</t>
  </si>
  <si>
    <t>CNTR101068</t>
  </si>
  <si>
    <t>CNTR101069</t>
  </si>
  <si>
    <t>CNTR101070</t>
  </si>
  <si>
    <t>CNTR101071</t>
  </si>
  <si>
    <t>CNTR101072</t>
  </si>
  <si>
    <t>CNTR101073</t>
  </si>
  <si>
    <t>CNTR101074</t>
  </si>
  <si>
    <t>CNTR101075</t>
  </si>
  <si>
    <t>CNTR101076</t>
  </si>
  <si>
    <t>CNTR101077</t>
  </si>
  <si>
    <t>CNTR101078</t>
  </si>
  <si>
    <t>CNTR101079</t>
  </si>
  <si>
    <t>CNTR101080</t>
  </si>
  <si>
    <t>CNTR101081</t>
  </si>
  <si>
    <t>CNTR101082</t>
  </si>
  <si>
    <t>CNTR101083</t>
  </si>
  <si>
    <t>CNTR101084</t>
  </si>
  <si>
    <t>CNTR101085</t>
  </si>
  <si>
    <t>CNTR101086</t>
  </si>
  <si>
    <t>CNTR101087</t>
  </si>
  <si>
    <t>CNTR101088</t>
  </si>
  <si>
    <t>CNTR101089</t>
  </si>
  <si>
    <t>CNTR101090</t>
  </si>
  <si>
    <t>CNTR101091</t>
  </si>
  <si>
    <t>CNTR101092</t>
  </si>
  <si>
    <t>CNTR101093</t>
  </si>
  <si>
    <t>CNTR101094</t>
  </si>
  <si>
    <t>CNTR101095</t>
  </si>
  <si>
    <t>CNTR101096</t>
  </si>
  <si>
    <t>CNTR101097</t>
  </si>
  <si>
    <t>CNTR101098</t>
  </si>
  <si>
    <t>CNTR101099</t>
  </si>
  <si>
    <t>CNTR101100</t>
  </si>
  <si>
    <t>CNTR101101</t>
  </si>
  <si>
    <t>CNTR101102</t>
  </si>
  <si>
    <t>CNTR101103</t>
  </si>
  <si>
    <t>CNTR101104</t>
  </si>
  <si>
    <t>CNTR101105</t>
  </si>
  <si>
    <t>CNTR101106</t>
  </si>
  <si>
    <t>CNTR101107</t>
  </si>
  <si>
    <t>CNTR101108</t>
  </si>
  <si>
    <t>CNTR101109</t>
  </si>
  <si>
    <t>CNTR101110</t>
  </si>
  <si>
    <t>CNTR101111</t>
  </si>
  <si>
    <t>CNTR101112</t>
  </si>
  <si>
    <t>CNTR101113</t>
  </si>
  <si>
    <t>CNTR101114</t>
  </si>
  <si>
    <t>CNTR101115</t>
  </si>
  <si>
    <t>CNTR101116</t>
  </si>
  <si>
    <t>CNTR101117</t>
  </si>
  <si>
    <t>CNTR101118</t>
  </si>
  <si>
    <t>CNTR101119</t>
  </si>
  <si>
    <t>CNTR101120</t>
  </si>
  <si>
    <t>CNTR101121</t>
  </si>
  <si>
    <t>CNTR101122</t>
  </si>
  <si>
    <t>CNTR101123</t>
  </si>
  <si>
    <t>CNTR101124</t>
  </si>
  <si>
    <t>CNTR101125</t>
  </si>
  <si>
    <t>CNTR101126</t>
  </si>
  <si>
    <t>CNTR101127</t>
  </si>
  <si>
    <t>CNTR101128</t>
  </si>
  <si>
    <t>CNTR101129</t>
  </si>
  <si>
    <t>CNTR101130</t>
  </si>
  <si>
    <t>CNTR101131</t>
  </si>
  <si>
    <t>CNTR101132</t>
  </si>
  <si>
    <t>CNTR101133</t>
  </si>
  <si>
    <t>CNTR101134</t>
  </si>
  <si>
    <t>CNTR101135</t>
  </si>
  <si>
    <t>CNTR101136</t>
  </si>
  <si>
    <t>CNTR101137</t>
  </si>
  <si>
    <t>CNTR101138</t>
  </si>
  <si>
    <t>CNTR101139</t>
  </si>
  <si>
    <t>CNTR101140</t>
  </si>
  <si>
    <t>CNTR101141</t>
  </si>
  <si>
    <t>CNTR101142</t>
  </si>
  <si>
    <t>CNTR101143</t>
  </si>
  <si>
    <t>CNTR101144</t>
  </si>
  <si>
    <t>CNTR101145</t>
  </si>
  <si>
    <t>CNTR101146</t>
  </si>
  <si>
    <t>CNTR101147</t>
  </si>
  <si>
    <t>CNTR101148</t>
  </si>
  <si>
    <t>CNTR101149</t>
  </si>
  <si>
    <t>CNTR101150</t>
  </si>
  <si>
    <t>CNTR101151</t>
  </si>
  <si>
    <t>CNTR101152</t>
  </si>
  <si>
    <t>CNTR101153</t>
  </si>
  <si>
    <t>CNTR101154</t>
  </si>
  <si>
    <t>CNTR101155</t>
  </si>
  <si>
    <t>CNTR101156</t>
  </si>
  <si>
    <t>CNTR101157</t>
  </si>
  <si>
    <t>CNTR101158</t>
  </si>
  <si>
    <t>CNTR101159</t>
  </si>
  <si>
    <t>CNTR101160</t>
  </si>
  <si>
    <t>CNTR101161</t>
  </si>
  <si>
    <t>CNTR101162</t>
  </si>
  <si>
    <t>CNTR101163</t>
  </si>
  <si>
    <t>CNTR101164</t>
  </si>
  <si>
    <t>CNTR101165</t>
  </si>
  <si>
    <t>CNTR101166</t>
  </si>
  <si>
    <t>CNTR101167</t>
  </si>
  <si>
    <t>CNTR101168</t>
  </si>
  <si>
    <t>CNTR101169</t>
  </si>
  <si>
    <t>CNTR101170</t>
  </si>
  <si>
    <t>CNTR101171</t>
  </si>
  <si>
    <t>CNTR101172</t>
  </si>
  <si>
    <t>CNTR101173</t>
  </si>
  <si>
    <t>CNTR101174</t>
  </si>
  <si>
    <t>CNTR101175</t>
  </si>
  <si>
    <t>CNTR101176</t>
  </si>
  <si>
    <t>CNTR101177</t>
  </si>
  <si>
    <t>CNTR101178</t>
  </si>
  <si>
    <t>CNTR101179</t>
  </si>
  <si>
    <t>CNTR101180</t>
  </si>
  <si>
    <t>CNTR101181</t>
  </si>
  <si>
    <t>CNTR101182</t>
  </si>
  <si>
    <t>CNTR101183</t>
  </si>
  <si>
    <t>CNTR101184</t>
  </si>
  <si>
    <t>CNTR101185</t>
  </si>
  <si>
    <t>CNTR101186</t>
  </si>
  <si>
    <t>CNTR101187</t>
  </si>
  <si>
    <t>CNTR101188</t>
  </si>
  <si>
    <t>CNTR101189</t>
  </si>
  <si>
    <t>CNTR101190</t>
  </si>
  <si>
    <t>CNTR101191</t>
  </si>
  <si>
    <t>CNTR101192</t>
  </si>
  <si>
    <t>CNTR101193</t>
  </si>
  <si>
    <t>CNTR101194</t>
  </si>
  <si>
    <t>CNTR101195</t>
  </si>
  <si>
    <t>CNTR101196</t>
  </si>
  <si>
    <t>CNTR101197</t>
  </si>
  <si>
    <t>CNTR101198</t>
  </si>
  <si>
    <t>CNTR101199</t>
  </si>
  <si>
    <t>CNTR101200</t>
  </si>
  <si>
    <t>CNTR101201</t>
  </si>
  <si>
    <t>CNTR101202</t>
  </si>
  <si>
    <t>CNTR101203</t>
  </si>
  <si>
    <t>CNTR101204</t>
  </si>
  <si>
    <t>CNTR101205</t>
  </si>
  <si>
    <t>CNTR101206</t>
  </si>
  <si>
    <t>CNTR101207</t>
  </si>
  <si>
    <t>CNTR101208</t>
  </si>
  <si>
    <t>CNTR101209</t>
  </si>
  <si>
    <t>CNTR101210</t>
  </si>
  <si>
    <t>CNTR101211</t>
  </si>
  <si>
    <t>CNTR101212</t>
  </si>
  <si>
    <t>CNTR101213</t>
  </si>
  <si>
    <t>CNTR101214</t>
  </si>
  <si>
    <t>CNTR101215</t>
  </si>
  <si>
    <t>CNTR101216</t>
  </si>
  <si>
    <t>CNTR101217</t>
  </si>
  <si>
    <t>CNTR101218</t>
  </si>
  <si>
    <t>CNTR101219</t>
  </si>
  <si>
    <t>CNTR101220</t>
  </si>
  <si>
    <t>CNTR101221</t>
  </si>
  <si>
    <t>CNTR101222</t>
  </si>
  <si>
    <t>CNTR101223</t>
  </si>
  <si>
    <t>CNTR101224</t>
  </si>
  <si>
    <t>CNTR101225</t>
  </si>
  <si>
    <t>CNTR101226</t>
  </si>
  <si>
    <t>CNTR101227</t>
  </si>
  <si>
    <t>CNTR101228</t>
  </si>
  <si>
    <t>CNTR101229</t>
  </si>
  <si>
    <t>CNTR101230</t>
  </si>
  <si>
    <t>CNTR101231</t>
  </si>
  <si>
    <t>CNTR101232</t>
  </si>
  <si>
    <t>CNTR101233</t>
  </si>
  <si>
    <t>CNTR101234</t>
  </si>
  <si>
    <t>CNTR101235</t>
  </si>
  <si>
    <t>CNTR101236</t>
  </si>
  <si>
    <t>CNTR101237</t>
  </si>
  <si>
    <t>CNTR101238</t>
  </si>
  <si>
    <t>CNTR101239</t>
  </si>
  <si>
    <t>CNTR101240</t>
  </si>
  <si>
    <t>CNTR101241</t>
  </si>
  <si>
    <t>CNTR101242</t>
  </si>
  <si>
    <t>CNTR101243</t>
  </si>
  <si>
    <t>CNTR101244</t>
  </si>
  <si>
    <t>CNTR101245</t>
  </si>
  <si>
    <t>CNTR101246</t>
  </si>
  <si>
    <t>CNTR101247</t>
  </si>
  <si>
    <t>CNTR101248</t>
  </si>
  <si>
    <t>CNTR101249</t>
  </si>
  <si>
    <t>CNTR101250</t>
  </si>
  <si>
    <t>CNTR101251</t>
  </si>
  <si>
    <t>CNTR101252</t>
  </si>
  <si>
    <t>CNTR101253</t>
  </si>
  <si>
    <t>CNTR101254</t>
  </si>
  <si>
    <t>CNTR101255</t>
  </si>
  <si>
    <t>CNTR101256</t>
  </si>
  <si>
    <t>CNTR101257</t>
  </si>
  <si>
    <t>CNTR101258</t>
  </si>
  <si>
    <t>CNTR101259</t>
  </si>
  <si>
    <t>CNTR101260</t>
  </si>
  <si>
    <t>CNTR101261</t>
  </si>
  <si>
    <t>CNTR101262</t>
  </si>
  <si>
    <t>CNTR101263</t>
  </si>
  <si>
    <t>CNTR101264</t>
  </si>
  <si>
    <t>CNTR101265</t>
  </si>
  <si>
    <t>CNTR101266</t>
  </si>
  <si>
    <t>CNTR101267</t>
  </si>
  <si>
    <t>CNTR101268</t>
  </si>
  <si>
    <t>CNTR101269</t>
  </si>
  <si>
    <t>CNTR101270</t>
  </si>
  <si>
    <t>CNTR101271</t>
  </si>
  <si>
    <t>CNTR101272</t>
  </si>
  <si>
    <t>CNTR101273</t>
  </si>
  <si>
    <t>CNTR101274</t>
  </si>
  <si>
    <t>CNTR101275</t>
  </si>
  <si>
    <t>CNTR101276</t>
  </si>
  <si>
    <t>CNTR101277</t>
  </si>
  <si>
    <t>CNTR101278</t>
  </si>
  <si>
    <t>CNTR101279</t>
  </si>
  <si>
    <t>CNTR101280</t>
  </si>
  <si>
    <t>CNTR101281</t>
  </si>
  <si>
    <t>CNTR101282</t>
  </si>
  <si>
    <t>CNTR101283</t>
  </si>
  <si>
    <t>CNTR101284</t>
  </si>
  <si>
    <t>CNTR101285</t>
  </si>
  <si>
    <t>CNTR101286</t>
  </si>
  <si>
    <t>CNTR101287</t>
  </si>
  <si>
    <t>CNTR101288</t>
  </si>
  <si>
    <t>CNTR101289</t>
  </si>
  <si>
    <t>CNTR101290</t>
  </si>
  <si>
    <t>CNTR101291</t>
  </si>
  <si>
    <t>CNTR101292</t>
  </si>
  <si>
    <t>CNTR101293</t>
  </si>
  <si>
    <t>CNTR101294</t>
  </si>
  <si>
    <t>CNTR101295</t>
  </si>
  <si>
    <t>CNTR101296</t>
  </si>
  <si>
    <t>CNTR101297</t>
  </si>
  <si>
    <t>CNTR101298</t>
  </si>
  <si>
    <t>CNTR101299</t>
  </si>
  <si>
    <t>CNTR101300</t>
  </si>
  <si>
    <t>CNTR101301</t>
  </si>
  <si>
    <t>CNTR101302</t>
  </si>
  <si>
    <t>CNTR101303</t>
  </si>
  <si>
    <t>CNTR101304</t>
  </si>
  <si>
    <t>CNTR101305</t>
  </si>
  <si>
    <t>CNTR101306</t>
  </si>
  <si>
    <t>CNTR101307</t>
  </si>
  <si>
    <t>CNTR101308</t>
  </si>
  <si>
    <t>CNTR101309</t>
  </si>
  <si>
    <t>CNTR101310</t>
  </si>
  <si>
    <t>CNTR101311</t>
  </si>
  <si>
    <t>CNTR101312</t>
  </si>
  <si>
    <t>CNTR101313</t>
  </si>
  <si>
    <t>CNTR101314</t>
  </si>
  <si>
    <t>CNTR101315</t>
  </si>
  <si>
    <t>CNTR101316</t>
  </si>
  <si>
    <t>CNTR101317</t>
  </si>
  <si>
    <t>CNTR101318</t>
  </si>
  <si>
    <t>CNTR101319</t>
  </si>
  <si>
    <t>CNTR101320</t>
  </si>
  <si>
    <t>CNTR101321</t>
  </si>
  <si>
    <t>CNTR101322</t>
  </si>
  <si>
    <t>CNTR101323</t>
  </si>
  <si>
    <t>CNTR101324</t>
  </si>
  <si>
    <t>CNTR101325</t>
  </si>
  <si>
    <t>CNTR101326</t>
  </si>
  <si>
    <t>CNTR101327</t>
  </si>
  <si>
    <t>CNTR101328</t>
  </si>
  <si>
    <t>CNTR101329</t>
  </si>
  <si>
    <t>CNTR101330</t>
  </si>
  <si>
    <t>CNTR101331</t>
  </si>
  <si>
    <t>CNTR101332</t>
  </si>
  <si>
    <t>CNTR101333</t>
  </si>
  <si>
    <t>CNTR101334</t>
  </si>
  <si>
    <t>CNTR101335</t>
  </si>
  <si>
    <t>CNTR101336</t>
  </si>
  <si>
    <t>CNTR101337</t>
  </si>
  <si>
    <t>CNTR101338</t>
  </si>
  <si>
    <t>CNTR101339</t>
  </si>
  <si>
    <t>CNTR101340</t>
  </si>
  <si>
    <t>CNTR101341</t>
  </si>
  <si>
    <t>CNTR101342</t>
  </si>
  <si>
    <t>CNTR101343</t>
  </si>
  <si>
    <t>CNTR101344</t>
  </si>
  <si>
    <t>CNTR101345</t>
  </si>
  <si>
    <t>CNTR101346</t>
  </si>
  <si>
    <t>CNTR101347</t>
  </si>
  <si>
    <t>CNTR101348</t>
  </si>
  <si>
    <t>CNTR101349</t>
  </si>
  <si>
    <t>CNTR101350</t>
  </si>
  <si>
    <t>CNTR101351</t>
  </si>
  <si>
    <t>CNTR101352</t>
  </si>
  <si>
    <t>CNTR101353</t>
  </si>
  <si>
    <t>CNTR101354</t>
  </si>
  <si>
    <t>CNTR101355</t>
  </si>
  <si>
    <t>CNTR101356</t>
  </si>
  <si>
    <t>CNTR101357</t>
  </si>
  <si>
    <t>CNTR101358</t>
  </si>
  <si>
    <t>CNTR101359</t>
  </si>
  <si>
    <t>CNTR101360</t>
  </si>
  <si>
    <t>CNTR101361</t>
  </si>
  <si>
    <t>CNTR101362</t>
  </si>
  <si>
    <t>CNTR101363</t>
  </si>
  <si>
    <t>CNTR101364</t>
  </si>
  <si>
    <t>CNTR101365</t>
  </si>
  <si>
    <t>CNTR101366</t>
  </si>
  <si>
    <t>CNTR101367</t>
  </si>
  <si>
    <t>CNTR101368</t>
  </si>
  <si>
    <t>CNTR101369</t>
  </si>
  <si>
    <t>CNTR101370</t>
  </si>
  <si>
    <t>CNTR101371</t>
  </si>
  <si>
    <t>CNTR101372</t>
  </si>
  <si>
    <t>CNTR101373</t>
  </si>
  <si>
    <t>CNTR101374</t>
  </si>
  <si>
    <t>CNTR101375</t>
  </si>
  <si>
    <t>CNTR101376</t>
  </si>
  <si>
    <t>CNTR101377</t>
  </si>
  <si>
    <t>CNTR101378</t>
  </si>
  <si>
    <t>CNTR101379</t>
  </si>
  <si>
    <t>CNTR101380</t>
  </si>
  <si>
    <t>CNTR101381</t>
  </si>
  <si>
    <t>CNTR101382</t>
  </si>
  <si>
    <t>CNTR101383</t>
  </si>
  <si>
    <t>CNTR101384</t>
  </si>
  <si>
    <t>CNTR101385</t>
  </si>
  <si>
    <t>CNTR101386</t>
  </si>
  <si>
    <t>CNTR101387</t>
  </si>
  <si>
    <t>CNTR101388</t>
  </si>
  <si>
    <t>CNTR101389</t>
  </si>
  <si>
    <t>CNTR101390</t>
  </si>
  <si>
    <t>CNTR101391</t>
  </si>
  <si>
    <t>CNTR101392</t>
  </si>
  <si>
    <t>CNTR101393</t>
  </si>
  <si>
    <t>CNTR101394</t>
  </si>
  <si>
    <t>CNTR101395</t>
  </si>
  <si>
    <t>CNTR101396</t>
  </si>
  <si>
    <t>CNTR101397</t>
  </si>
  <si>
    <t>CNTR101398</t>
  </si>
  <si>
    <t>CNTR101399</t>
  </si>
  <si>
    <t>CNTR101400</t>
  </si>
  <si>
    <t>CNTR101401</t>
  </si>
  <si>
    <t>CNTR101402</t>
  </si>
  <si>
    <t>CNTR101403</t>
  </si>
  <si>
    <t>CNTR101404</t>
  </si>
  <si>
    <t>CNTR101405</t>
  </si>
  <si>
    <t>CNTR101406</t>
  </si>
  <si>
    <t>CNTR101407</t>
  </si>
  <si>
    <t>CNTR101408</t>
  </si>
  <si>
    <t>CNTR101409</t>
  </si>
  <si>
    <t>CNTR101410</t>
  </si>
  <si>
    <t>CNTR101411</t>
  </si>
  <si>
    <t>CNTR101412</t>
  </si>
  <si>
    <t>CNTR101413</t>
  </si>
  <si>
    <t>CNTR101414</t>
  </si>
  <si>
    <t>CNTR101415</t>
  </si>
  <si>
    <t>CNTR101416</t>
  </si>
  <si>
    <t>CNTR101417</t>
  </si>
  <si>
    <t>CNTR101418</t>
  </si>
  <si>
    <t>CNTR101419</t>
  </si>
  <si>
    <t>CNTR101420</t>
  </si>
  <si>
    <t>CNTR101421</t>
  </si>
  <si>
    <t>CNTR101422</t>
  </si>
  <si>
    <t>CNTR101423</t>
  </si>
  <si>
    <t>CNTR101424</t>
  </si>
  <si>
    <t>CNTR101425</t>
  </si>
  <si>
    <t>CNTR101426</t>
  </si>
  <si>
    <t>CNTR101427</t>
  </si>
  <si>
    <t>CNTR101428</t>
  </si>
  <si>
    <t>CNTR101429</t>
  </si>
  <si>
    <t>CNTR101430</t>
  </si>
  <si>
    <t>CNTR101431</t>
  </si>
  <si>
    <t>CNTR101432</t>
  </si>
  <si>
    <t>CNTR101433</t>
  </si>
  <si>
    <t>CNTR101434</t>
  </si>
  <si>
    <t>CNTR101435</t>
  </si>
  <si>
    <t>CNTR101436</t>
  </si>
  <si>
    <t>CNTR101437</t>
  </si>
  <si>
    <t>CNTR101438</t>
  </si>
  <si>
    <t>CNTR101439</t>
  </si>
  <si>
    <t>CNTR101440</t>
  </si>
  <si>
    <t>CNTR101441</t>
  </si>
  <si>
    <t>CNTR101442</t>
  </si>
  <si>
    <t>CNTR101443</t>
  </si>
  <si>
    <t>CNTR101444</t>
  </si>
  <si>
    <t>CNTR101445</t>
  </si>
  <si>
    <t>CNTR101446</t>
  </si>
  <si>
    <t>CNTR101447</t>
  </si>
  <si>
    <t>CNTR101448</t>
  </si>
  <si>
    <t>CNTR101449</t>
  </si>
  <si>
    <t>CNTR101450</t>
  </si>
  <si>
    <t>CNTR101451</t>
  </si>
  <si>
    <t>CNTR101452</t>
  </si>
  <si>
    <t>CNTR101453</t>
  </si>
  <si>
    <t>CNTR101454</t>
  </si>
  <si>
    <t>CNTR101455</t>
  </si>
  <si>
    <t>CNTR101456</t>
  </si>
  <si>
    <t>CNTR101457</t>
  </si>
  <si>
    <t>CNTR101458</t>
  </si>
  <si>
    <t>CNTR101459</t>
  </si>
  <si>
    <t>CNTR101460</t>
  </si>
  <si>
    <t>CNTR101461</t>
  </si>
  <si>
    <t>CNTR101462</t>
  </si>
  <si>
    <t>CNTR101463</t>
  </si>
  <si>
    <t>CNTR101464</t>
  </si>
  <si>
    <t>CNTR101465</t>
  </si>
  <si>
    <t>CNTR101466</t>
  </si>
  <si>
    <t>CNTR101467</t>
  </si>
  <si>
    <t>CNTR101468</t>
  </si>
  <si>
    <t>CNTR101469</t>
  </si>
  <si>
    <t>CNTR101470</t>
  </si>
  <si>
    <t>CNTR101471</t>
  </si>
  <si>
    <t>CNTR101472</t>
  </si>
  <si>
    <t>CNTR101473</t>
  </si>
  <si>
    <t>CNTR101474</t>
  </si>
  <si>
    <t>CNTR101475</t>
  </si>
  <si>
    <t>CNTR101476</t>
  </si>
  <si>
    <t>CNTR101477</t>
  </si>
  <si>
    <t>CNTR101478</t>
  </si>
  <si>
    <t>CNTR101479</t>
  </si>
  <si>
    <t>CNTR101480</t>
  </si>
  <si>
    <t>CNTR101481</t>
  </si>
  <si>
    <t>CNTR101482</t>
  </si>
  <si>
    <t>CNTR101483</t>
  </si>
  <si>
    <t>CNTR101484</t>
  </si>
  <si>
    <t>CNTR101485</t>
  </si>
  <si>
    <t>CNTR101486</t>
  </si>
  <si>
    <t>CNTR101487</t>
  </si>
  <si>
    <t>CNTR101488</t>
  </si>
  <si>
    <t>CNTR101489</t>
  </si>
  <si>
    <t>CNTR101490</t>
  </si>
  <si>
    <t>CNTR101491</t>
  </si>
  <si>
    <t>CNTR101492</t>
  </si>
  <si>
    <t>CNTR101493</t>
  </si>
  <si>
    <t>CNTR101494</t>
  </si>
  <si>
    <t>CNTR101495</t>
  </si>
  <si>
    <t>CNTR101496</t>
  </si>
  <si>
    <t>CNTR101497</t>
  </si>
  <si>
    <t>CNTR101498</t>
  </si>
  <si>
    <t>CNTR101499</t>
  </si>
  <si>
    <t>Note: ~30% of rows have a blank Gate Out Date — these containers are still in the yard as of the Report Date.</t>
  </si>
  <si>
    <t>You build: Last Free Day, Dwell Time, Days Over Free Time, Risk Category, Est. Demurrage Cost, KPI Summary, Dashboard.</t>
  </si>
  <si>
    <t>The KPIs, and why each one matters</t>
  </si>
  <si>
    <r>
      <t>Average Dwell Time (days)</t>
    </r>
    <r>
      <rPr>
        <sz val="11"/>
        <color theme="1"/>
        <rFont val="Calibri"/>
        <family val="2"/>
        <scheme val="minor"/>
      </rPr>
      <t xml:space="preserve"> — the core metric. How long, on average, a container sits before leaving the terminal. Rising trend = a systemic problem (customs delays, customer pickup issues, yard congestion).</t>
    </r>
  </si>
  <si>
    <r>
      <t>% Containers Over Free Time</t>
    </r>
    <r>
      <rPr>
        <sz val="11"/>
        <color theme="1"/>
        <rFont val="Calibri"/>
        <family val="2"/>
        <scheme val="minor"/>
      </rPr>
      <t xml:space="preserve"> — the percentage that have blown past their free storage window and are now accruing demurrage charges. This is your headline risk number.</t>
    </r>
  </si>
  <si>
    <r>
      <t>Risk Category counts (High / Medium / Low)</t>
    </r>
    <r>
      <rPr>
        <sz val="11"/>
        <color theme="1"/>
        <rFont val="Calibri"/>
        <family val="2"/>
        <scheme val="minor"/>
      </rPr>
      <t xml:space="preserve"> — buckets containers by how far over free time they are (10+ days = High, 1–9 = Medium, 0 = Low). Lets you triage: which containers need action </t>
    </r>
    <r>
      <rPr>
        <i/>
        <sz val="11"/>
        <color theme="1"/>
        <rFont val="Calibri"/>
        <family val="2"/>
        <scheme val="minor"/>
      </rPr>
      <t>today</t>
    </r>
    <r>
      <rPr>
        <sz val="11"/>
        <color theme="1"/>
        <rFont val="Calibri"/>
        <family val="2"/>
        <scheme val="minor"/>
      </rPr>
      <t>.</t>
    </r>
  </si>
  <si>
    <r>
      <t>Total Estimated Demurrage Exposure</t>
    </r>
    <r>
      <rPr>
        <sz val="11"/>
        <color theme="1"/>
        <rFont val="Calibri"/>
        <family val="2"/>
        <scheme val="minor"/>
      </rPr>
      <t xml:space="preserve"> — the dollar cost of all the "Days Over" across every container. This is the number a manager actually cares about — it turns dwell time into a financial risk.</t>
    </r>
  </si>
  <si>
    <r>
      <t>Avg Demurrage Cost per At-Risk Container</t>
    </r>
    <r>
      <rPr>
        <sz val="11"/>
        <color theme="1"/>
        <rFont val="Calibri"/>
        <family val="2"/>
        <scheme val="minor"/>
      </rPr>
      <t xml:space="preserve"> — helps you spot whether a few expensive containers are driving the total, or if it's spread evenly.</t>
    </r>
  </si>
  <si>
    <r>
      <t>Containers Still In Yard</t>
    </r>
    <r>
      <rPr>
        <sz val="11"/>
        <color theme="1"/>
        <rFont val="Calibri"/>
        <family val="2"/>
        <scheme val="minor"/>
      </rPr>
      <t xml:space="preserve"> — how many haven't moved yet. High volume here + approaching free time deadlines = escalating risk pipeline.</t>
    </r>
  </si>
  <si>
    <r>
      <t>Avg Dwell by Terminal</t>
    </r>
    <r>
      <rPr>
        <sz val="11"/>
        <color theme="1"/>
        <rFont val="Calibri"/>
        <family val="2"/>
        <scheme val="minor"/>
      </rPr>
      <t xml:space="preserve"> — surfaces operational bottlenecks (is one terminal consistently slower?).</t>
    </r>
  </si>
  <si>
    <r>
      <t>Demurrage Exposure by Customer</t>
    </r>
    <r>
      <rPr>
        <sz val="11"/>
        <color theme="1"/>
        <rFont val="Calibri"/>
        <family val="2"/>
        <scheme val="minor"/>
      </rPr>
      <t xml:space="preserve"> — surfaces which customers are chronically slow to pick up their containers, useful for account management conversations.</t>
    </r>
  </si>
  <si>
    <r>
      <t>Highest Single Dwell Time</t>
    </r>
    <r>
      <rPr>
        <sz val="11"/>
        <color theme="1"/>
        <rFont val="Calibri"/>
        <family val="2"/>
        <scheme val="minor"/>
      </rPr>
      <t xml:space="preserve"> — a quick outlier check, useful for catching a container that's been forgotten entirely.</t>
    </r>
  </si>
  <si>
    <t>Container Dwell Risk — Raw Data</t>
  </si>
  <si>
    <t>Dwell Time</t>
  </si>
  <si>
    <t>Risk Level</t>
  </si>
  <si>
    <t>Demurrage Calculation$</t>
  </si>
  <si>
    <t>Terminal Name</t>
  </si>
  <si>
    <t>Count of containers</t>
  </si>
  <si>
    <t>Average dwell time</t>
  </si>
  <si>
    <t>Count of containers at high risk</t>
  </si>
  <si>
    <t>S.No</t>
  </si>
  <si>
    <t>Grand Total</t>
  </si>
  <si>
    <t>Average of Dwell Time</t>
  </si>
  <si>
    <t>Count of Container ID</t>
  </si>
  <si>
    <t>HIGH</t>
  </si>
  <si>
    <t>LOW</t>
  </si>
  <si>
    <t>MEDIUM</t>
  </si>
  <si>
    <t>Sum of Demurrage Calculation$</t>
  </si>
  <si>
    <t>Free Time Finish Day</t>
  </si>
  <si>
    <t>Customers</t>
  </si>
  <si>
    <t>S.no</t>
  </si>
  <si>
    <t>Containers still in Yard</t>
  </si>
  <si>
    <t>Percentage of Risk</t>
  </si>
  <si>
    <t>Terminals</t>
  </si>
  <si>
    <t>Estimated demurrage for high risk containers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</si>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</sst>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
  </numFmts>
  <fonts count="9" x14ac:knownFonts="1">
    <font>
      <sz val="11"/>
      <color theme="1"/>
      <name val="Calibri"/>
      <family val="2"/>
      <scheme val="minor"/>
    </font>
    <font>
      <b/>
      <sz val="14"/>
      <color rgb="FF1F4E78"/>
      <name val="Arial"/>
    </font>
    <font>
      <b/>
      <sz val="11"/>
      <name val="Arial"/>
    </font>
    <font>
      <i/>
      <sz val="9"/>
      <color rgb="FF666666"/>
      <name val="Arial"/>
    </font>
    <font>
      <b/>
      <sz val="11"/>
      <color rgb="FFFFFFFF"/>
      <name val="Arial"/>
    </font>
    <font>
      <sz val="11"/>
      <name val="Arial"/>
    </font>
    <font>
      <b/>
      <sz val="11"/>
      <color theme="1"/>
      <name val="Calibri"/>
      <family val="2"/>
      <scheme val="minor"/>
    </font>
    <font>
      <b/>
      <sz val="13.5"/>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rgb="FFFFF2CC"/>
        <bgColor rgb="FFFFF2CC"/>
      </patternFill>
    </fill>
    <fill>
      <patternFill patternType="solid">
        <fgColor rgb="FF1F4E78"/>
        <bgColor rgb="FF1F4E78"/>
      </patternFill>
    </fill>
    <fill>
      <patternFill patternType="solid">
        <fgColor theme="4"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1">
    <xf numFmtId="0" fontId="0" fillId="0" borderId="0" xfId="0"/>
    <xf numFmtId="0" fontId="2" fillId="0" borderId="0" xfId="0" applyFont="1"/>
    <xf numFmtId="164" fontId="0" fillId="2" borderId="0" xfId="0" applyNumberFormat="1" applyFill="1"/>
    <xf numFmtId="0" fontId="3" fillId="0" borderId="0" xfId="0" applyFont="1"/>
    <xf numFmtId="0" fontId="7" fillId="0" borderId="0" xfId="0" applyFont="1" applyAlignment="1">
      <alignment vertical="center"/>
    </xf>
    <xf numFmtId="0" fontId="6" fillId="0" borderId="0" xfId="0" applyFont="1"/>
    <xf numFmtId="0" fontId="5" fillId="0" borderId="1" xfId="0" applyFont="1" applyBorder="1" applyAlignment="1">
      <alignment horizontal="center"/>
    </xf>
    <xf numFmtId="164" fontId="5" fillId="0" borderId="1" xfId="0" applyNumberFormat="1" applyFont="1" applyBorder="1" applyAlignment="1">
      <alignment horizontal="center"/>
    </xf>
    <xf numFmtId="165" fontId="5" fillId="0" borderId="1" xfId="0" applyNumberFormat="1"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0" xfId="0" pivotButton="1"/>
    <xf numFmtId="0" fontId="0" fillId="0" borderId="0" xfId="0" applyAlignment="1">
      <alignment horizontal="left"/>
    </xf>
    <xf numFmtId="9" fontId="0" fillId="0" borderId="0" xfId="0" applyNumberFormat="1"/>
    <xf numFmtId="18" fontId="0" fillId="0" borderId="0" xfId="0" applyNumberFormat="1"/>
    <xf numFmtId="0" fontId="0" fillId="0" borderId="0" xfId="0" applyAlignment="1">
      <alignment horizontal="center"/>
    </xf>
    <xf numFmtId="0" fontId="0" fillId="0" borderId="0" xfId="0" pivotButton="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0" fillId="0" borderId="8" xfId="0" applyBorder="1" applyAlignment="1">
      <alignment horizontal="center"/>
    </xf>
    <xf numFmtId="0" fontId="5" fillId="0" borderId="2" xfId="0" applyFont="1" applyBorder="1" applyAlignment="1">
      <alignment horizontal="center"/>
    </xf>
    <xf numFmtId="164" fontId="5" fillId="0" borderId="2" xfId="0" applyNumberFormat="1" applyFont="1" applyBorder="1" applyAlignment="1">
      <alignment horizontal="center"/>
    </xf>
    <xf numFmtId="165" fontId="5" fillId="0" borderId="2" xfId="0" applyNumberFormat="1" applyFont="1" applyBorder="1" applyAlignment="1">
      <alignment horizontal="center"/>
    </xf>
    <xf numFmtId="0" fontId="0" fillId="0" borderId="9" xfId="0" applyBorder="1" applyAlignment="1">
      <alignment horizontal="center"/>
    </xf>
    <xf numFmtId="9" fontId="0" fillId="0" borderId="1" xfId="0" applyNumberFormat="1" applyBorder="1" applyAlignment="1">
      <alignment horizontal="center"/>
    </xf>
    <xf numFmtId="0" fontId="0" fillId="4" borderId="1" xfId="0" applyFill="1" applyBorder="1" applyAlignment="1">
      <alignment horizontal="center"/>
    </xf>
    <xf numFmtId="0" fontId="1" fillId="0" borderId="0" xfId="0" applyFont="1"/>
    <xf numFmtId="0" fontId="0" fillId="0" borderId="0" xfId="0"/>
  </cellXfs>
  <cellStyles count="1">
    <cellStyle name="Normal" xfId="0" builtinId="0"/>
  </cellStyles>
  <dxfs count="37">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scheme val="none"/>
      </font>
      <numFmt numFmtId="165"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scheme val="none"/>
      </font>
      <numFmt numFmtId="164" formatCode="yyyy\-mm\-dd"/>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scheme val="none"/>
      </font>
      <numFmt numFmtId="164" formatCode="yyyy\-mm\-dd"/>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scheme val="none"/>
      </font>
      <numFmt numFmtId="164" formatCode="yyyy\-mm\-dd"/>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[Container_Dwell_Time &amp; Operational_Risk_Dashboard.xlsx]Pivot table!PivotTable14</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i="0" baseline="0"/>
              <a:t>Average dwell time by terminals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table'!$A$4:$A$8</c:f>
              <c:strCache>
                <c:ptCount val="4"/>
                <c:pt idx="0">
                  <c:v>Terminal A</c:v>
                </c:pt>
                <c:pt idx="1">
                  <c:v>Terminal B</c:v>
                </c:pt>
                <c:pt idx="2">
                  <c:v>Terminal C</c:v>
                </c:pt>
                <c:pt idx="3">
                  <c:v>Terminal D</c:v>
                </c:pt>
              </c:strCache>
            </c:strRef>
          </c:cat>
          <c:val>
            <c:numRef>
              <c:f>'Pivot table'!$B$4:$B$8</c:f>
              <c:numCache>
                <c:formatCode>General</c:formatCode>
                <c:ptCount val="4"/>
                <c:pt idx="0">
                  <c:v>14.717032967032967</c:v>
                </c:pt>
                <c:pt idx="1">
                  <c:v>14.750692520775623</c:v>
                </c:pt>
                <c:pt idx="2">
                  <c:v>13.153246753246753</c:v>
                </c:pt>
                <c:pt idx="3">
                  <c:v>13.151282051282051</c:v>
                </c:pt>
              </c:numCache>
            </c:numRef>
          </c:val>
          <c:extLst>
            <c:ext xmlns:c16="http://schemas.microsoft.com/office/drawing/2014/chart" uri="{C3380CC4-5D6E-409C-BE32-E72D297353CC}">
              <c16:uniqueId val="{00000000-842C-4F82-BE43-AC7CFBC8E6E5}"/>
            </c:ext>
          </c:extLst>
        </c:ser>
        <c:dLbls>
          <c:showLegendKey val="0"/>
          <c:showVal val="0"/>
          <c:showCatName val="0"/>
          <c:showSerName val="0"/>
          <c:showPercent val="0"/>
          <c:showBubbleSize val="0"/>
        </c:dLbls>
        <c:gapWidth val="219"/>
        <c:overlap val="-27"/>
        <c:axId val="654283640"/>
        <c:axId val="654278712"/>
      </c:barChart>
      <c:catAx>
        <c:axId val="65428364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i="0" baseline="0"/>
                  <a:t>Terminals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4278712"/>
        <c:crosses val="autoZero"/>
        <c:auto val="1"/>
        <c:lblAlgn val="ctr"/>
        <c:lblOffset val="100"/>
        <c:noMultiLvlLbl val="0"/>
      </c:catAx>
      <c:valAx>
        <c:axId val="654278712"/>
        <c:scaling>
          <c:orientation val="minMax"/>
        </c:scaling>
        <c:delete val="0"/>
        <c:axPos val="l"/>
        <c:majorGridlines>
          <c:spPr>
            <a:ln w="9525" cap="flat" cmpd="sng" algn="ctr">
              <a:solidFill>
                <a:schemeClr val="accent1"/>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i="0" baseline="0"/>
                  <a:t>Average dwell time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83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[Container_Dwell_Time &amp; Operational_Risk_Dashboard.xlsx]Pivot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baseline="0">
                <a:solidFill>
                  <a:schemeClr val="bg2">
                    <a:lumMod val="10000"/>
                  </a:schemeClr>
                </a:solidFill>
              </a:rPr>
              <a:t>Average dwell time by customers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chemeClr val="accent1"/>
            </a:solidFill>
            <a:ln>
              <a:noFill/>
            </a:ln>
            <a:effectLst/>
          </c:spPr>
          <c:invertIfNegative val="0"/>
          <c:cat>
            <c:strRef>
              <c:f>'Pivot table'!$E$4:$E$14</c:f>
              <c:strCache>
                <c:ptCount val="10"/>
                <c:pt idx="0">
                  <c:v>Atlas Motors</c:v>
                </c:pt>
                <c:pt idx="1">
                  <c:v>BlueCrest Mfg</c:v>
                </c:pt>
                <c:pt idx="2">
                  <c:v>Coastal Imports</c:v>
                </c:pt>
                <c:pt idx="3">
                  <c:v>Harbor Direct</c:v>
                </c:pt>
                <c:pt idx="4">
                  <c:v>Horizon Foods</c:v>
                </c:pt>
                <c:pt idx="5">
                  <c:v>Nova Retail</c:v>
                </c:pt>
                <c:pt idx="6">
                  <c:v>Pioneer Goods</c:v>
                </c:pt>
                <c:pt idx="7">
                  <c:v>Redline Logistics</c:v>
                </c:pt>
                <c:pt idx="8">
                  <c:v>Summit Traders</c:v>
                </c:pt>
                <c:pt idx="9">
                  <c:v>Vantage Traders</c:v>
                </c:pt>
              </c:strCache>
            </c:strRef>
          </c:cat>
          <c:val>
            <c:numRef>
              <c:f>'Pivot table'!$F$4:$F$14</c:f>
              <c:numCache>
                <c:formatCode>General</c:formatCode>
                <c:ptCount val="10"/>
                <c:pt idx="0">
                  <c:v>11.401129943502825</c:v>
                </c:pt>
                <c:pt idx="1">
                  <c:v>19.617391304347827</c:v>
                </c:pt>
                <c:pt idx="2">
                  <c:v>14.558333333333334</c:v>
                </c:pt>
                <c:pt idx="3">
                  <c:v>11.96</c:v>
                </c:pt>
                <c:pt idx="4">
                  <c:v>17.759493670886076</c:v>
                </c:pt>
                <c:pt idx="5">
                  <c:v>12.76878612716763</c:v>
                </c:pt>
                <c:pt idx="6">
                  <c:v>12.088607594936709</c:v>
                </c:pt>
                <c:pt idx="7">
                  <c:v>13.328671328671328</c:v>
                </c:pt>
                <c:pt idx="8">
                  <c:v>13.152317880794701</c:v>
                </c:pt>
                <c:pt idx="9">
                  <c:v>14.470967741935484</c:v>
                </c:pt>
              </c:numCache>
            </c:numRef>
          </c:val>
          <c:extLst>
            <c:ext xmlns:c16="http://schemas.microsoft.com/office/drawing/2014/chart" uri="{C3380CC4-5D6E-409C-BE32-E72D297353CC}">
              <c16:uniqueId val="{00000000-5569-4E47-A9FC-ADBCFFAF2087}"/>
            </c:ext>
          </c:extLst>
        </c:ser>
        <c:dLbls>
          <c:showLegendKey val="0"/>
          <c:showVal val="0"/>
          <c:showCatName val="0"/>
          <c:showSerName val="0"/>
          <c:showPercent val="0"/>
          <c:showBubbleSize val="0"/>
        </c:dLbls>
        <c:gapWidth val="182"/>
        <c:axId val="654288216"/>
        <c:axId val="654285752"/>
      </c:barChart>
      <c:catAx>
        <c:axId val="65428821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i="0" baseline="0"/>
                  <a:t>Customers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4285752"/>
        <c:crosses val="autoZero"/>
        <c:auto val="1"/>
        <c:lblAlgn val="ctr"/>
        <c:lblOffset val="100"/>
        <c:noMultiLvlLbl val="0"/>
      </c:catAx>
      <c:valAx>
        <c:axId val="654285752"/>
        <c:scaling>
          <c:orientation val="minMax"/>
        </c:scaling>
        <c:delete val="0"/>
        <c:axPos val="b"/>
        <c:majorGridlines>
          <c:spPr>
            <a:ln w="9525" cap="flat" cmpd="sng" algn="ctr">
              <a:solidFill>
                <a:schemeClr val="accent1"/>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i="0" baseline="0"/>
                  <a:t>Average dwell time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88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[Container_Dwell_Time &amp; Operational_Risk_Dashboard.xlsx]Pivot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r>
              <a:rPr lang="en-US" b="1" i="0" baseline="0">
                <a:solidFill>
                  <a:schemeClr val="bg2">
                    <a:lumMod val="10000"/>
                  </a:schemeClr>
                </a:solidFill>
              </a:rPr>
              <a:t>Percentage of demurrage by terminals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AA-46A1-8183-96E06DEAA0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AA-46A1-8183-96E06DEAA0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AA-46A1-8183-96E06DEAA0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CAA-46A1-8183-96E06DEAA04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table'!$H$4:$H$8</c:f>
              <c:strCache>
                <c:ptCount val="4"/>
                <c:pt idx="0">
                  <c:v>Terminal A</c:v>
                </c:pt>
                <c:pt idx="1">
                  <c:v>Terminal B</c:v>
                </c:pt>
                <c:pt idx="2">
                  <c:v>Terminal C</c:v>
                </c:pt>
                <c:pt idx="3">
                  <c:v>Terminal D</c:v>
                </c:pt>
              </c:strCache>
            </c:strRef>
          </c:cat>
          <c:val>
            <c:numRef>
              <c:f>'Pivot table'!$I$4:$I$8</c:f>
              <c:numCache>
                <c:formatCode>General</c:formatCode>
                <c:ptCount val="4"/>
                <c:pt idx="0">
                  <c:v>602295</c:v>
                </c:pt>
                <c:pt idx="1">
                  <c:v>560655</c:v>
                </c:pt>
                <c:pt idx="2">
                  <c:v>567225</c:v>
                </c:pt>
                <c:pt idx="3">
                  <c:v>577745</c:v>
                </c:pt>
              </c:numCache>
            </c:numRef>
          </c:val>
          <c:extLst>
            <c:ext xmlns:c16="http://schemas.microsoft.com/office/drawing/2014/chart" uri="{C3380CC4-5D6E-409C-BE32-E72D297353CC}">
              <c16:uniqueId val="{00000008-7CAA-46A1-8183-96E06DEAA04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[Container_Dwell_Time &amp; Operational_Risk_Dashboard.xlsx]Pivot table!PivotTable4</c:name>
    <c:fmtId val="5"/>
  </c:pivotSource>
  <c:chart>
    <c:title>
      <c:tx>
        <c:rich>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r>
              <a:rPr lang="en-US" b="1" i="0" baseline="0">
                <a:solidFill>
                  <a:schemeClr val="tx2">
                    <a:lumMod val="90000"/>
                    <a:lumOff val="10000"/>
                  </a:schemeClr>
                </a:solidFill>
              </a:rPr>
              <a:t>Risk Level by containers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7A-4ED5-B341-2C41BB1F69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7A-4ED5-B341-2C41BB1F69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7A-4ED5-B341-2C41BB1F699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table'!$K$4:$K$7</c:f>
              <c:strCache>
                <c:ptCount val="3"/>
                <c:pt idx="0">
                  <c:v>HIGH</c:v>
                </c:pt>
                <c:pt idx="1">
                  <c:v>LOW</c:v>
                </c:pt>
                <c:pt idx="2">
                  <c:v>MEDIUM</c:v>
                </c:pt>
              </c:strCache>
            </c:strRef>
          </c:cat>
          <c:val>
            <c:numRef>
              <c:f>'Pivot table'!$L$4:$L$7</c:f>
              <c:numCache>
                <c:formatCode>General</c:formatCode>
                <c:ptCount val="3"/>
                <c:pt idx="0">
                  <c:v>405</c:v>
                </c:pt>
                <c:pt idx="1">
                  <c:v>655</c:v>
                </c:pt>
                <c:pt idx="2">
                  <c:v>440</c:v>
                </c:pt>
              </c:numCache>
            </c:numRef>
          </c:val>
          <c:extLst>
            <c:ext xmlns:c16="http://schemas.microsoft.com/office/drawing/2014/chart" uri="{C3380CC4-5D6E-409C-BE32-E72D297353CC}">
              <c16:uniqueId val="{00000006-597A-4ED5-B341-2C41BB1F699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[Container_Dwell_Time &amp; Operational_Risk_Dashboard.xlsx]Pivot table!PivotTable5</c:name>
    <c:fmtId val="5"/>
  </c:pivotSource>
  <c:chart>
    <c:title>
      <c:tx>
        <c:rich>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r>
              <a:rPr lang="en-US" b="1" i="0" baseline="0">
                <a:solidFill>
                  <a:schemeClr val="bg2">
                    <a:lumMod val="10000"/>
                  </a:schemeClr>
                </a:solidFill>
              </a:rPr>
              <a:t>Total amount of demurrage by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c:f>
              <c:strCache>
                <c:ptCount val="1"/>
                <c:pt idx="0">
                  <c:v>Total</c:v>
                </c:pt>
              </c:strCache>
            </c:strRef>
          </c:tx>
          <c:spPr>
            <a:ln w="28575" cap="rnd">
              <a:solidFill>
                <a:schemeClr val="accent1"/>
              </a:solidFill>
              <a:round/>
            </a:ln>
            <a:effectLst/>
          </c:spPr>
          <c:marker>
            <c:symbol val="none"/>
          </c:marker>
          <c:cat>
            <c:strRef>
              <c:f>'Pivot table'!$A$19:$A$29</c:f>
              <c:strCache>
                <c:ptCount val="10"/>
                <c:pt idx="0">
                  <c:v>Atlas Motors</c:v>
                </c:pt>
                <c:pt idx="1">
                  <c:v>BlueCrest Mfg</c:v>
                </c:pt>
                <c:pt idx="2">
                  <c:v>Coastal Imports</c:v>
                </c:pt>
                <c:pt idx="3">
                  <c:v>Harbor Direct</c:v>
                </c:pt>
                <c:pt idx="4">
                  <c:v>Horizon Foods</c:v>
                </c:pt>
                <c:pt idx="5">
                  <c:v>Nova Retail</c:v>
                </c:pt>
                <c:pt idx="6">
                  <c:v>Pioneer Goods</c:v>
                </c:pt>
                <c:pt idx="7">
                  <c:v>Redline Logistics</c:v>
                </c:pt>
                <c:pt idx="8">
                  <c:v>Summit Traders</c:v>
                </c:pt>
                <c:pt idx="9">
                  <c:v>Vantage Traders</c:v>
                </c:pt>
              </c:strCache>
            </c:strRef>
          </c:cat>
          <c:val>
            <c:numRef>
              <c:f>'Pivot table'!$B$19:$B$29</c:f>
              <c:numCache>
                <c:formatCode>General</c:formatCode>
                <c:ptCount val="10"/>
                <c:pt idx="0">
                  <c:v>220000</c:v>
                </c:pt>
                <c:pt idx="1">
                  <c:v>254100</c:v>
                </c:pt>
                <c:pt idx="2">
                  <c:v>186165</c:v>
                </c:pt>
                <c:pt idx="3">
                  <c:v>200645</c:v>
                </c:pt>
                <c:pt idx="4">
                  <c:v>303065</c:v>
                </c:pt>
                <c:pt idx="5">
                  <c:v>245450</c:v>
                </c:pt>
                <c:pt idx="6">
                  <c:v>221280</c:v>
                </c:pt>
                <c:pt idx="7">
                  <c:v>222225</c:v>
                </c:pt>
                <c:pt idx="8">
                  <c:v>207490</c:v>
                </c:pt>
                <c:pt idx="9">
                  <c:v>247500</c:v>
                </c:pt>
              </c:numCache>
            </c:numRef>
          </c:val>
          <c:smooth val="0"/>
          <c:extLst>
            <c:ext xmlns:c16="http://schemas.microsoft.com/office/drawing/2014/chart" uri="{C3380CC4-5D6E-409C-BE32-E72D297353CC}">
              <c16:uniqueId val="{00000000-31D3-475C-A489-A37042EC795B}"/>
            </c:ext>
          </c:extLst>
        </c:ser>
        <c:dLbls>
          <c:showLegendKey val="0"/>
          <c:showVal val="0"/>
          <c:showCatName val="0"/>
          <c:showSerName val="0"/>
          <c:showPercent val="0"/>
          <c:showBubbleSize val="0"/>
        </c:dLbls>
        <c:smooth val="0"/>
        <c:axId val="654286808"/>
        <c:axId val="654287864"/>
      </c:lineChart>
      <c:catAx>
        <c:axId val="654286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4287864"/>
        <c:crosses val="autoZero"/>
        <c:auto val="1"/>
        <c:lblAlgn val="ctr"/>
        <c:lblOffset val="100"/>
        <c:noMultiLvlLbl val="0"/>
      </c:catAx>
      <c:valAx>
        <c:axId val="654287864"/>
        <c:scaling>
          <c:orientation val="minMax"/>
        </c:scaling>
        <c:delete val="0"/>
        <c:axPos val="l"/>
        <c:majorGridlines>
          <c:spPr>
            <a:ln w="9525" cap="flat" cmpd="sng" algn="ctr">
              <a:solidFill>
                <a:sysClr val="windowText" lastClr="000000">
                  <a:lumMod val="25000"/>
                  <a:lumOff val="75000"/>
                </a:sys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4286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[Container_Dwell_Time &amp; Operational_Risk_Dashboard.xlsx]Pivot table!PivotTable6</c:name>
    <c:fmtId val="5"/>
  </c:pivotSource>
  <c:chart>
    <c:title>
      <c:tx>
        <c:rich>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r>
              <a:rPr lang="en-US" b="1" i="0" baseline="0">
                <a:solidFill>
                  <a:schemeClr val="bg2">
                    <a:lumMod val="10000"/>
                  </a:schemeClr>
                </a:solidFill>
              </a:rPr>
              <a:t>Risk level by terminals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table'!$F$18:$F$19</c:f>
              <c:strCache>
                <c:ptCount val="1"/>
                <c:pt idx="0">
                  <c:v>Terminal A</c:v>
                </c:pt>
              </c:strCache>
            </c:strRef>
          </c:tx>
          <c:spPr>
            <a:solidFill>
              <a:schemeClr val="accent1"/>
            </a:solidFill>
            <a:ln>
              <a:noFill/>
            </a:ln>
            <a:effectLst/>
          </c:spPr>
          <c:invertIfNegative val="0"/>
          <c:cat>
            <c:strRef>
              <c:f>'Pivot table'!$E$20:$E$23</c:f>
              <c:strCache>
                <c:ptCount val="3"/>
                <c:pt idx="0">
                  <c:v>HIGH</c:v>
                </c:pt>
                <c:pt idx="1">
                  <c:v>LOW</c:v>
                </c:pt>
                <c:pt idx="2">
                  <c:v>MEDIUM</c:v>
                </c:pt>
              </c:strCache>
            </c:strRef>
          </c:cat>
          <c:val>
            <c:numRef>
              <c:f>'Pivot table'!$F$20:$F$23</c:f>
              <c:numCache>
                <c:formatCode>General</c:formatCode>
                <c:ptCount val="3"/>
                <c:pt idx="0">
                  <c:v>101</c:v>
                </c:pt>
                <c:pt idx="1">
                  <c:v>155</c:v>
                </c:pt>
                <c:pt idx="2">
                  <c:v>108</c:v>
                </c:pt>
              </c:numCache>
            </c:numRef>
          </c:val>
          <c:extLst>
            <c:ext xmlns:c16="http://schemas.microsoft.com/office/drawing/2014/chart" uri="{C3380CC4-5D6E-409C-BE32-E72D297353CC}">
              <c16:uniqueId val="{00000000-FEA0-4AFE-A237-3312696CF5C8}"/>
            </c:ext>
          </c:extLst>
        </c:ser>
        <c:ser>
          <c:idx val="1"/>
          <c:order val="1"/>
          <c:tx>
            <c:strRef>
              <c:f>'Pivot table'!$G$18:$G$19</c:f>
              <c:strCache>
                <c:ptCount val="1"/>
                <c:pt idx="0">
                  <c:v>Terminal B</c:v>
                </c:pt>
              </c:strCache>
            </c:strRef>
          </c:tx>
          <c:spPr>
            <a:solidFill>
              <a:schemeClr val="accent2"/>
            </a:solidFill>
            <a:ln>
              <a:noFill/>
            </a:ln>
            <a:effectLst/>
          </c:spPr>
          <c:invertIfNegative val="0"/>
          <c:cat>
            <c:strRef>
              <c:f>'Pivot table'!$E$20:$E$23</c:f>
              <c:strCache>
                <c:ptCount val="3"/>
                <c:pt idx="0">
                  <c:v>HIGH</c:v>
                </c:pt>
                <c:pt idx="1">
                  <c:v>LOW</c:v>
                </c:pt>
                <c:pt idx="2">
                  <c:v>MEDIUM</c:v>
                </c:pt>
              </c:strCache>
            </c:strRef>
          </c:cat>
          <c:val>
            <c:numRef>
              <c:f>'Pivot table'!$G$20:$G$23</c:f>
              <c:numCache>
                <c:formatCode>General</c:formatCode>
                <c:ptCount val="3"/>
                <c:pt idx="0">
                  <c:v>104</c:v>
                </c:pt>
                <c:pt idx="1">
                  <c:v>152</c:v>
                </c:pt>
                <c:pt idx="2">
                  <c:v>105</c:v>
                </c:pt>
              </c:numCache>
            </c:numRef>
          </c:val>
          <c:extLst>
            <c:ext xmlns:c16="http://schemas.microsoft.com/office/drawing/2014/chart" uri="{C3380CC4-5D6E-409C-BE32-E72D297353CC}">
              <c16:uniqueId val="{00000001-FEA0-4AFE-A237-3312696CF5C8}"/>
            </c:ext>
          </c:extLst>
        </c:ser>
        <c:ser>
          <c:idx val="2"/>
          <c:order val="2"/>
          <c:tx>
            <c:strRef>
              <c:f>'Pivot table'!$H$18:$H$19</c:f>
              <c:strCache>
                <c:ptCount val="1"/>
                <c:pt idx="0">
                  <c:v>Terminal C</c:v>
                </c:pt>
              </c:strCache>
            </c:strRef>
          </c:tx>
          <c:spPr>
            <a:solidFill>
              <a:schemeClr val="accent3"/>
            </a:solidFill>
            <a:ln>
              <a:noFill/>
            </a:ln>
            <a:effectLst/>
          </c:spPr>
          <c:invertIfNegative val="0"/>
          <c:cat>
            <c:strRef>
              <c:f>'Pivot table'!$E$20:$E$23</c:f>
              <c:strCache>
                <c:ptCount val="3"/>
                <c:pt idx="0">
                  <c:v>HIGH</c:v>
                </c:pt>
                <c:pt idx="1">
                  <c:v>LOW</c:v>
                </c:pt>
                <c:pt idx="2">
                  <c:v>MEDIUM</c:v>
                </c:pt>
              </c:strCache>
            </c:strRef>
          </c:cat>
          <c:val>
            <c:numRef>
              <c:f>'Pivot table'!$H$20:$H$23</c:f>
              <c:numCache>
                <c:formatCode>General</c:formatCode>
                <c:ptCount val="3"/>
                <c:pt idx="0">
                  <c:v>96</c:v>
                </c:pt>
                <c:pt idx="1">
                  <c:v>170</c:v>
                </c:pt>
                <c:pt idx="2">
                  <c:v>119</c:v>
                </c:pt>
              </c:numCache>
            </c:numRef>
          </c:val>
          <c:extLst>
            <c:ext xmlns:c16="http://schemas.microsoft.com/office/drawing/2014/chart" uri="{C3380CC4-5D6E-409C-BE32-E72D297353CC}">
              <c16:uniqueId val="{00000002-FEA0-4AFE-A237-3312696CF5C8}"/>
            </c:ext>
          </c:extLst>
        </c:ser>
        <c:ser>
          <c:idx val="3"/>
          <c:order val="3"/>
          <c:tx>
            <c:strRef>
              <c:f>'Pivot table'!$I$18:$I$19</c:f>
              <c:strCache>
                <c:ptCount val="1"/>
                <c:pt idx="0">
                  <c:v>Terminal D</c:v>
                </c:pt>
              </c:strCache>
            </c:strRef>
          </c:tx>
          <c:spPr>
            <a:solidFill>
              <a:schemeClr val="accent4"/>
            </a:solidFill>
            <a:ln>
              <a:noFill/>
            </a:ln>
            <a:effectLst/>
          </c:spPr>
          <c:invertIfNegative val="0"/>
          <c:cat>
            <c:strRef>
              <c:f>'Pivot table'!$E$20:$E$23</c:f>
              <c:strCache>
                <c:ptCount val="3"/>
                <c:pt idx="0">
                  <c:v>HIGH</c:v>
                </c:pt>
                <c:pt idx="1">
                  <c:v>LOW</c:v>
                </c:pt>
                <c:pt idx="2">
                  <c:v>MEDIUM</c:v>
                </c:pt>
              </c:strCache>
            </c:strRef>
          </c:cat>
          <c:val>
            <c:numRef>
              <c:f>'Pivot table'!$I$20:$I$23</c:f>
              <c:numCache>
                <c:formatCode>General</c:formatCode>
                <c:ptCount val="3"/>
                <c:pt idx="0">
                  <c:v>104</c:v>
                </c:pt>
                <c:pt idx="1">
                  <c:v>178</c:v>
                </c:pt>
                <c:pt idx="2">
                  <c:v>108</c:v>
                </c:pt>
              </c:numCache>
            </c:numRef>
          </c:val>
          <c:extLst>
            <c:ext xmlns:c16="http://schemas.microsoft.com/office/drawing/2014/chart" uri="{C3380CC4-5D6E-409C-BE32-E72D297353CC}">
              <c16:uniqueId val="{00000003-FEA0-4AFE-A237-3312696CF5C8}"/>
            </c:ext>
          </c:extLst>
        </c:ser>
        <c:dLbls>
          <c:showLegendKey val="0"/>
          <c:showVal val="0"/>
          <c:showCatName val="0"/>
          <c:showSerName val="0"/>
          <c:showPercent val="0"/>
          <c:showBubbleSize val="0"/>
        </c:dLbls>
        <c:gapWidth val="219"/>
        <c:overlap val="-27"/>
        <c:axId val="654294200"/>
        <c:axId val="654294552"/>
      </c:barChart>
      <c:catAx>
        <c:axId val="654294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4294552"/>
        <c:crosses val="autoZero"/>
        <c:auto val="1"/>
        <c:lblAlgn val="ctr"/>
        <c:lblOffset val="100"/>
        <c:noMultiLvlLbl val="0"/>
      </c:catAx>
      <c:valAx>
        <c:axId val="654294552"/>
        <c:scaling>
          <c:orientation val="minMax"/>
        </c:scaling>
        <c:delete val="0"/>
        <c:axPos val="l"/>
        <c:majorGridlines>
          <c:spPr>
            <a:ln w="9525" cap="flat" cmpd="sng" algn="ctr">
              <a:solidFill>
                <a:sysClr val="windowText" lastClr="000000">
                  <a:lumMod val="25000"/>
                  <a:lumOff val="75000"/>
                </a:sys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54294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314325</xdr:colOff>
      <xdr:row>0</xdr:row>
      <xdr:rowOff>95250</xdr:rowOff>
    </xdr:from>
    <xdr:to>
      <xdr:col>28</xdr:col>
      <xdr:colOff>209550</xdr:colOff>
      <xdr:row>6</xdr:row>
      <xdr:rowOff>85725</xdr:rowOff>
    </xdr:to>
    <xdr:sp macro="" textlink="">
      <xdr:nvSpPr>
        <xdr:cNvPr id="7" name="Rectangle: Rounded Corners 6">
          <a:extLst>
            <a:ext uri="{FF2B5EF4-FFF2-40B4-BE49-F238E27FC236}">
              <a16:creationId xmlns:a16="http://schemas.microsoft.com/office/drawing/2014/main" id="{A7F94F13-865D-2C5F-B185-3AEA083DBADA}"/>
            </a:ext>
          </a:extLst>
        </xdr:cNvPr>
        <xdr:cNvSpPr/>
      </xdr:nvSpPr>
      <xdr:spPr>
        <a:xfrm>
          <a:off x="314325" y="95250"/>
          <a:ext cx="16964025" cy="11334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t>                                             Containers Dwell Time &amp;</a:t>
          </a:r>
          <a:r>
            <a:rPr lang="en-US" sz="3200" baseline="0"/>
            <a:t> Operational</a:t>
          </a:r>
          <a:r>
            <a:rPr lang="en-US" sz="3200"/>
            <a:t> Risk Dashboard</a:t>
          </a:r>
        </a:p>
      </xdr:txBody>
    </xdr:sp>
    <xdr:clientData/>
  </xdr:twoCellAnchor>
  <xdr:twoCellAnchor>
    <xdr:from>
      <xdr:col>2</xdr:col>
      <xdr:colOff>152400</xdr:colOff>
      <xdr:row>6</xdr:row>
      <xdr:rowOff>161925</xdr:rowOff>
    </xdr:from>
    <xdr:to>
      <xdr:col>5</xdr:col>
      <xdr:colOff>523875</xdr:colOff>
      <xdr:row>12</xdr:row>
      <xdr:rowOff>47625</xdr:rowOff>
    </xdr:to>
    <xdr:sp macro="" textlink="">
      <xdr:nvSpPr>
        <xdr:cNvPr id="23" name="Rectangle 22">
          <a:extLst>
            <a:ext uri="{FF2B5EF4-FFF2-40B4-BE49-F238E27FC236}">
              <a16:creationId xmlns:a16="http://schemas.microsoft.com/office/drawing/2014/main" id="{D8DA6E5C-FE49-AF5A-2B6D-E36961457E40}"/>
            </a:ext>
          </a:extLst>
        </xdr:cNvPr>
        <xdr:cNvSpPr/>
      </xdr:nvSpPr>
      <xdr:spPr>
        <a:xfrm>
          <a:off x="1371600" y="1304925"/>
          <a:ext cx="2200275" cy="1028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Total number of containers</a:t>
          </a:r>
          <a:r>
            <a:rPr lang="en-US" sz="2000" baseline="0"/>
            <a:t> : 1500</a:t>
          </a:r>
          <a:r>
            <a:rPr lang="en-US" sz="1100"/>
            <a:t>				</a:t>
          </a:r>
        </a:p>
      </xdr:txBody>
    </xdr:sp>
    <xdr:clientData/>
  </xdr:twoCellAnchor>
  <xdr:twoCellAnchor>
    <xdr:from>
      <xdr:col>6</xdr:col>
      <xdr:colOff>361950</xdr:colOff>
      <xdr:row>6</xdr:row>
      <xdr:rowOff>171450</xdr:rowOff>
    </xdr:from>
    <xdr:to>
      <xdr:col>10</xdr:col>
      <xdr:colOff>123825</xdr:colOff>
      <xdr:row>12</xdr:row>
      <xdr:rowOff>57150</xdr:rowOff>
    </xdr:to>
    <xdr:sp macro="" textlink="">
      <xdr:nvSpPr>
        <xdr:cNvPr id="24" name="Rectangle 23">
          <a:extLst>
            <a:ext uri="{FF2B5EF4-FFF2-40B4-BE49-F238E27FC236}">
              <a16:creationId xmlns:a16="http://schemas.microsoft.com/office/drawing/2014/main" id="{8F25B574-24A6-44FE-A10D-2DF47F13596E}"/>
            </a:ext>
          </a:extLst>
        </xdr:cNvPr>
        <xdr:cNvSpPr/>
      </xdr:nvSpPr>
      <xdr:spPr>
        <a:xfrm>
          <a:off x="4019550" y="1314450"/>
          <a:ext cx="2200275" cy="1028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Average</a:t>
          </a:r>
          <a:r>
            <a:rPr lang="en-US" sz="2000" baseline="0"/>
            <a:t> dwell time in days : 14</a:t>
          </a:r>
          <a:endParaRPr lang="en-US" sz="2000"/>
        </a:p>
      </xdr:txBody>
    </xdr:sp>
    <xdr:clientData/>
  </xdr:twoCellAnchor>
  <xdr:twoCellAnchor>
    <xdr:from>
      <xdr:col>11</xdr:col>
      <xdr:colOff>161925</xdr:colOff>
      <xdr:row>6</xdr:row>
      <xdr:rowOff>180975</xdr:rowOff>
    </xdr:from>
    <xdr:to>
      <xdr:col>14</xdr:col>
      <xdr:colOff>533400</xdr:colOff>
      <xdr:row>12</xdr:row>
      <xdr:rowOff>66675</xdr:rowOff>
    </xdr:to>
    <xdr:sp macro="" textlink="">
      <xdr:nvSpPr>
        <xdr:cNvPr id="25" name="Rectangle 24">
          <a:extLst>
            <a:ext uri="{FF2B5EF4-FFF2-40B4-BE49-F238E27FC236}">
              <a16:creationId xmlns:a16="http://schemas.microsoft.com/office/drawing/2014/main" id="{4EF6D8BB-2FAA-49F2-8041-F62A12AF66AA}"/>
            </a:ext>
          </a:extLst>
        </xdr:cNvPr>
        <xdr:cNvSpPr/>
      </xdr:nvSpPr>
      <xdr:spPr>
        <a:xfrm>
          <a:off x="6867525" y="1323975"/>
          <a:ext cx="2200275" cy="1028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Total number of containers at Risk</a:t>
          </a:r>
          <a:r>
            <a:rPr lang="en-US" sz="2000" baseline="0"/>
            <a:t> : 845</a:t>
          </a:r>
          <a:endParaRPr lang="en-US" sz="2000"/>
        </a:p>
      </xdr:txBody>
    </xdr:sp>
    <xdr:clientData/>
  </xdr:twoCellAnchor>
  <xdr:twoCellAnchor>
    <xdr:from>
      <xdr:col>15</xdr:col>
      <xdr:colOff>571500</xdr:colOff>
      <xdr:row>6</xdr:row>
      <xdr:rowOff>171450</xdr:rowOff>
    </xdr:from>
    <xdr:to>
      <xdr:col>19</xdr:col>
      <xdr:colOff>333375</xdr:colOff>
      <xdr:row>12</xdr:row>
      <xdr:rowOff>57150</xdr:rowOff>
    </xdr:to>
    <xdr:sp macro="" textlink="">
      <xdr:nvSpPr>
        <xdr:cNvPr id="26" name="Rectangle 25">
          <a:extLst>
            <a:ext uri="{FF2B5EF4-FFF2-40B4-BE49-F238E27FC236}">
              <a16:creationId xmlns:a16="http://schemas.microsoft.com/office/drawing/2014/main" id="{C4BA5547-177B-4094-AA4D-F7CF1F559A8A}"/>
            </a:ext>
          </a:extLst>
        </xdr:cNvPr>
        <xdr:cNvSpPr/>
      </xdr:nvSpPr>
      <xdr:spPr>
        <a:xfrm>
          <a:off x="9715500" y="1314450"/>
          <a:ext cx="2200275" cy="1028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Percentage</a:t>
          </a:r>
          <a:r>
            <a:rPr lang="en-US" sz="2000" baseline="0"/>
            <a:t> of containers at Risk : 56%</a:t>
          </a:r>
          <a:endParaRPr lang="en-US" sz="2000"/>
        </a:p>
      </xdr:txBody>
    </xdr:sp>
    <xdr:clientData/>
  </xdr:twoCellAnchor>
  <xdr:twoCellAnchor>
    <xdr:from>
      <xdr:col>20</xdr:col>
      <xdr:colOff>381000</xdr:colOff>
      <xdr:row>7</xdr:row>
      <xdr:rowOff>0</xdr:rowOff>
    </xdr:from>
    <xdr:to>
      <xdr:col>24</xdr:col>
      <xdr:colOff>142875</xdr:colOff>
      <xdr:row>12</xdr:row>
      <xdr:rowOff>76200</xdr:rowOff>
    </xdr:to>
    <xdr:sp macro="" textlink="">
      <xdr:nvSpPr>
        <xdr:cNvPr id="27" name="Rectangle 26">
          <a:extLst>
            <a:ext uri="{FF2B5EF4-FFF2-40B4-BE49-F238E27FC236}">
              <a16:creationId xmlns:a16="http://schemas.microsoft.com/office/drawing/2014/main" id="{2E493622-05BA-4CC6-9237-24C6F125D186}"/>
            </a:ext>
          </a:extLst>
        </xdr:cNvPr>
        <xdr:cNvSpPr/>
      </xdr:nvSpPr>
      <xdr:spPr>
        <a:xfrm>
          <a:off x="12573000" y="1333500"/>
          <a:ext cx="2200275" cy="1028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Percentage of Containers</a:t>
          </a:r>
          <a:r>
            <a:rPr lang="en-US" sz="2000" baseline="0"/>
            <a:t> at High Risk : 27%</a:t>
          </a:r>
          <a:endParaRPr lang="en-US" sz="2000"/>
        </a:p>
      </xdr:txBody>
    </xdr:sp>
    <xdr:clientData/>
  </xdr:twoCellAnchor>
  <xdr:twoCellAnchor>
    <xdr:from>
      <xdr:col>2</xdr:col>
      <xdr:colOff>161925</xdr:colOff>
      <xdr:row>13</xdr:row>
      <xdr:rowOff>66675</xdr:rowOff>
    </xdr:from>
    <xdr:to>
      <xdr:col>5</xdr:col>
      <xdr:colOff>533400</xdr:colOff>
      <xdr:row>18</xdr:row>
      <xdr:rowOff>142875</xdr:rowOff>
    </xdr:to>
    <xdr:sp macro="" textlink="">
      <xdr:nvSpPr>
        <xdr:cNvPr id="28" name="Rectangle 27">
          <a:extLst>
            <a:ext uri="{FF2B5EF4-FFF2-40B4-BE49-F238E27FC236}">
              <a16:creationId xmlns:a16="http://schemas.microsoft.com/office/drawing/2014/main" id="{6C12149A-2D3E-46C9-9BDC-A97E8B75A757}"/>
            </a:ext>
          </a:extLst>
        </xdr:cNvPr>
        <xdr:cNvSpPr/>
      </xdr:nvSpPr>
      <xdr:spPr>
        <a:xfrm>
          <a:off x="1381125" y="2543175"/>
          <a:ext cx="2200275" cy="1028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Total number of containers still in yard :  474</a:t>
          </a:r>
        </a:p>
      </xdr:txBody>
    </xdr:sp>
    <xdr:clientData/>
  </xdr:twoCellAnchor>
  <xdr:twoCellAnchor>
    <xdr:from>
      <xdr:col>6</xdr:col>
      <xdr:colOff>323850</xdr:colOff>
      <xdr:row>13</xdr:row>
      <xdr:rowOff>104775</xdr:rowOff>
    </xdr:from>
    <xdr:to>
      <xdr:col>10</xdr:col>
      <xdr:colOff>85725</xdr:colOff>
      <xdr:row>18</xdr:row>
      <xdr:rowOff>180975</xdr:rowOff>
    </xdr:to>
    <xdr:sp macro="" textlink="">
      <xdr:nvSpPr>
        <xdr:cNvPr id="29" name="Rectangle 28">
          <a:extLst>
            <a:ext uri="{FF2B5EF4-FFF2-40B4-BE49-F238E27FC236}">
              <a16:creationId xmlns:a16="http://schemas.microsoft.com/office/drawing/2014/main" id="{25D243C2-7530-4CDA-861F-5343A181DC01}"/>
            </a:ext>
          </a:extLst>
        </xdr:cNvPr>
        <xdr:cNvSpPr/>
      </xdr:nvSpPr>
      <xdr:spPr>
        <a:xfrm>
          <a:off x="3981450" y="2581275"/>
          <a:ext cx="2200275" cy="1028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Highest</a:t>
          </a:r>
          <a:r>
            <a:rPr lang="en-US" sz="2000" baseline="0"/>
            <a:t> dwell time in days : 87 days</a:t>
          </a:r>
          <a:endParaRPr lang="en-US" sz="2000"/>
        </a:p>
      </xdr:txBody>
    </xdr:sp>
    <xdr:clientData/>
  </xdr:twoCellAnchor>
  <xdr:twoCellAnchor editAs="oneCell">
    <xdr:from>
      <xdr:col>5</xdr:col>
      <xdr:colOff>476250</xdr:colOff>
      <xdr:row>0</xdr:row>
      <xdr:rowOff>0</xdr:rowOff>
    </xdr:from>
    <xdr:to>
      <xdr:col>7</xdr:col>
      <xdr:colOff>171450</xdr:colOff>
      <xdr:row>4</xdr:row>
      <xdr:rowOff>152400</xdr:rowOff>
    </xdr:to>
    <xdr:pic>
      <xdr:nvPicPr>
        <xdr:cNvPr id="31" name="Graphic 30" descr="Cruise ship with solid fill">
          <a:extLst>
            <a:ext uri="{FF2B5EF4-FFF2-40B4-BE49-F238E27FC236}">
              <a16:creationId xmlns:a16="http://schemas.microsoft.com/office/drawing/2014/main" id="{F6D17E51-EFBE-8F6A-B711-251E3746EA7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524250" y="0"/>
          <a:ext cx="914400" cy="914400"/>
        </a:xfrm>
        <a:prstGeom prst="rect">
          <a:avLst/>
        </a:prstGeom>
      </xdr:spPr>
    </xdr:pic>
    <xdr:clientData/>
  </xdr:twoCellAnchor>
  <xdr:twoCellAnchor editAs="oneCell">
    <xdr:from>
      <xdr:col>22</xdr:col>
      <xdr:colOff>133350</xdr:colOff>
      <xdr:row>0</xdr:row>
      <xdr:rowOff>142875</xdr:rowOff>
    </xdr:from>
    <xdr:to>
      <xdr:col>23</xdr:col>
      <xdr:colOff>438150</xdr:colOff>
      <xdr:row>5</xdr:row>
      <xdr:rowOff>104775</xdr:rowOff>
    </xdr:to>
    <xdr:pic>
      <xdr:nvPicPr>
        <xdr:cNvPr id="33" name="Graphic 32" descr="Crane with solid fill">
          <a:extLst>
            <a:ext uri="{FF2B5EF4-FFF2-40B4-BE49-F238E27FC236}">
              <a16:creationId xmlns:a16="http://schemas.microsoft.com/office/drawing/2014/main" id="{5B62B838-CAF3-9100-3C19-A6AD57C8D09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544550" y="142875"/>
          <a:ext cx="914400" cy="914400"/>
        </a:xfrm>
        <a:prstGeom prst="rect">
          <a:avLst/>
        </a:prstGeom>
      </xdr:spPr>
    </xdr:pic>
    <xdr:clientData/>
  </xdr:twoCellAnchor>
  <xdr:twoCellAnchor editAs="oneCell">
    <xdr:from>
      <xdr:col>23</xdr:col>
      <xdr:colOff>495300</xdr:colOff>
      <xdr:row>0</xdr:row>
      <xdr:rowOff>180975</xdr:rowOff>
    </xdr:from>
    <xdr:to>
      <xdr:col>25</xdr:col>
      <xdr:colOff>190500</xdr:colOff>
      <xdr:row>5</xdr:row>
      <xdr:rowOff>142875</xdr:rowOff>
    </xdr:to>
    <xdr:pic>
      <xdr:nvPicPr>
        <xdr:cNvPr id="35" name="Graphic 34" descr="Box with solid fill">
          <a:extLst>
            <a:ext uri="{FF2B5EF4-FFF2-40B4-BE49-F238E27FC236}">
              <a16:creationId xmlns:a16="http://schemas.microsoft.com/office/drawing/2014/main" id="{AE708A7B-DC4C-E8AB-9765-37D0CF2F644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516100" y="180975"/>
          <a:ext cx="914400" cy="914400"/>
        </a:xfrm>
        <a:prstGeom prst="rect">
          <a:avLst/>
        </a:prstGeom>
      </xdr:spPr>
    </xdr:pic>
    <xdr:clientData/>
  </xdr:twoCellAnchor>
  <xdr:twoCellAnchor editAs="oneCell">
    <xdr:from>
      <xdr:col>4</xdr:col>
      <xdr:colOff>123825</xdr:colOff>
      <xdr:row>0</xdr:row>
      <xdr:rowOff>95250</xdr:rowOff>
    </xdr:from>
    <xdr:to>
      <xdr:col>5</xdr:col>
      <xdr:colOff>428625</xdr:colOff>
      <xdr:row>5</xdr:row>
      <xdr:rowOff>57150</xdr:rowOff>
    </xdr:to>
    <xdr:pic>
      <xdr:nvPicPr>
        <xdr:cNvPr id="37" name="Graphic 36" descr="Truck with solid fill">
          <a:extLst>
            <a:ext uri="{FF2B5EF4-FFF2-40B4-BE49-F238E27FC236}">
              <a16:creationId xmlns:a16="http://schemas.microsoft.com/office/drawing/2014/main" id="{4A125B55-08B2-6FF2-A8E6-EEBEC463D0B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562225" y="95250"/>
          <a:ext cx="914400" cy="914400"/>
        </a:xfrm>
        <a:prstGeom prst="rect">
          <a:avLst/>
        </a:prstGeom>
      </xdr:spPr>
    </xdr:pic>
    <xdr:clientData/>
  </xdr:twoCellAnchor>
  <xdr:twoCellAnchor editAs="oneCell">
    <xdr:from>
      <xdr:col>25</xdr:col>
      <xdr:colOff>171450</xdr:colOff>
      <xdr:row>0</xdr:row>
      <xdr:rowOff>142875</xdr:rowOff>
    </xdr:from>
    <xdr:to>
      <xdr:col>26</xdr:col>
      <xdr:colOff>476250</xdr:colOff>
      <xdr:row>5</xdr:row>
      <xdr:rowOff>104775</xdr:rowOff>
    </xdr:to>
    <xdr:pic>
      <xdr:nvPicPr>
        <xdr:cNvPr id="39" name="Graphic 38" descr="Bar graph with upward trend with solid fill">
          <a:extLst>
            <a:ext uri="{FF2B5EF4-FFF2-40B4-BE49-F238E27FC236}">
              <a16:creationId xmlns:a16="http://schemas.microsoft.com/office/drawing/2014/main" id="{ED266A24-398A-0E1E-3E51-C8885B779FA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411450" y="142875"/>
          <a:ext cx="914400" cy="914400"/>
        </a:xfrm>
        <a:prstGeom prst="rect">
          <a:avLst/>
        </a:prstGeom>
      </xdr:spPr>
    </xdr:pic>
    <xdr:clientData/>
  </xdr:twoCellAnchor>
  <xdr:twoCellAnchor editAs="oneCell">
    <xdr:from>
      <xdr:col>2</xdr:col>
      <xdr:colOff>457200</xdr:colOff>
      <xdr:row>0</xdr:row>
      <xdr:rowOff>57150</xdr:rowOff>
    </xdr:from>
    <xdr:to>
      <xdr:col>4</xdr:col>
      <xdr:colOff>152400</xdr:colOff>
      <xdr:row>5</xdr:row>
      <xdr:rowOff>19050</xdr:rowOff>
    </xdr:to>
    <xdr:pic>
      <xdr:nvPicPr>
        <xdr:cNvPr id="41" name="Graphic 40" descr="Anchor with solid fill">
          <a:extLst>
            <a:ext uri="{FF2B5EF4-FFF2-40B4-BE49-F238E27FC236}">
              <a16:creationId xmlns:a16="http://schemas.microsoft.com/office/drawing/2014/main" id="{766EEA09-3097-059D-EBAB-EC96BA27971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76400" y="57150"/>
          <a:ext cx="914400" cy="914400"/>
        </a:xfrm>
        <a:prstGeom prst="rect">
          <a:avLst/>
        </a:prstGeom>
      </xdr:spPr>
    </xdr:pic>
    <xdr:clientData/>
  </xdr:twoCellAnchor>
  <xdr:twoCellAnchor editAs="oneCell">
    <xdr:from>
      <xdr:col>11</xdr:col>
      <xdr:colOff>85725</xdr:colOff>
      <xdr:row>13</xdr:row>
      <xdr:rowOff>57150</xdr:rowOff>
    </xdr:from>
    <xdr:to>
      <xdr:col>14</xdr:col>
      <xdr:colOff>85725</xdr:colOff>
      <xdr:row>20</xdr:row>
      <xdr:rowOff>123825</xdr:rowOff>
    </xdr:to>
    <mc:AlternateContent xmlns:mc="http://schemas.openxmlformats.org/markup-compatibility/2006" xmlns:a14="http://schemas.microsoft.com/office/drawing/2010/main">
      <mc:Choice Requires="a14">
        <xdr:graphicFrame macro="">
          <xdr:nvGraphicFramePr>
            <xdr:cNvPr id="2" name="Terminal">
              <a:extLst>
                <a:ext uri="{FF2B5EF4-FFF2-40B4-BE49-F238E27FC236}">
                  <a16:creationId xmlns:a16="http://schemas.microsoft.com/office/drawing/2014/main" id="{0B29F550-0D79-4E72-BD41-9088C7AED11C}"/>
                </a:ext>
              </a:extLst>
            </xdr:cNvPr>
            <xdr:cNvGraphicFramePr/>
          </xdr:nvGraphicFramePr>
          <xdr:xfrm>
            <a:off x="0" y="0"/>
            <a:ext cx="0" cy="0"/>
          </xdr:xfrm>
          <a:graphic>
            <a:graphicData uri="http://schemas.microsoft.com/office/drawing/2010/slicer">
              <sle:slicer xmlns:sle="http://schemas.microsoft.com/office/drawing/2010/slicer" name="Terminal"/>
            </a:graphicData>
          </a:graphic>
        </xdr:graphicFrame>
      </mc:Choice>
      <mc:Fallback xmlns="">
        <xdr:sp macro="" textlink="">
          <xdr:nvSpPr>
            <xdr:cNvPr id="0" name=""/>
            <xdr:cNvSpPr>
              <a:spLocks noTextEdit="1"/>
            </xdr:cNvSpPr>
          </xdr:nvSpPr>
          <xdr:spPr>
            <a:xfrm>
              <a:off x="6791325" y="2533650"/>
              <a:ext cx="1828800" cy="140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13</xdr:row>
      <xdr:rowOff>0</xdr:rowOff>
    </xdr:from>
    <xdr:to>
      <xdr:col>18</xdr:col>
      <xdr:colOff>0</xdr:colOff>
      <xdr:row>18</xdr:row>
      <xdr:rowOff>171450</xdr:rowOff>
    </xdr:to>
    <mc:AlternateContent xmlns:mc="http://schemas.openxmlformats.org/markup-compatibility/2006" xmlns:a14="http://schemas.microsoft.com/office/drawing/2010/main">
      <mc:Choice Requires="a14">
        <xdr:graphicFrame macro="">
          <xdr:nvGraphicFramePr>
            <xdr:cNvPr id="3" name="Risk Level">
              <a:extLst>
                <a:ext uri="{FF2B5EF4-FFF2-40B4-BE49-F238E27FC236}">
                  <a16:creationId xmlns:a16="http://schemas.microsoft.com/office/drawing/2014/main" id="{EFBDEDF0-5616-4DBD-9FB0-F8B181C24C9B}"/>
                </a:ext>
              </a:extLst>
            </xdr:cNvPr>
            <xdr:cNvGraphicFramePr/>
          </xdr:nvGraphicFramePr>
          <xdr:xfrm>
            <a:off x="0" y="0"/>
            <a:ext cx="0" cy="0"/>
          </xdr:xfrm>
          <a:graphic>
            <a:graphicData uri="http://schemas.microsoft.com/office/drawing/2010/slicer">
              <sle:slicer xmlns:sle="http://schemas.microsoft.com/office/drawing/2010/slicer" name="Risk Level"/>
            </a:graphicData>
          </a:graphic>
        </xdr:graphicFrame>
      </mc:Choice>
      <mc:Fallback xmlns="">
        <xdr:sp macro="" textlink="">
          <xdr:nvSpPr>
            <xdr:cNvPr id="0" name=""/>
            <xdr:cNvSpPr>
              <a:spLocks noTextEdit="1"/>
            </xdr:cNvSpPr>
          </xdr:nvSpPr>
          <xdr:spPr>
            <a:xfrm>
              <a:off x="9144000" y="2476500"/>
              <a:ext cx="1828800" cy="112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400050</xdr:colOff>
      <xdr:row>13</xdr:row>
      <xdr:rowOff>104775</xdr:rowOff>
    </xdr:from>
    <xdr:to>
      <xdr:col>21</xdr:col>
      <xdr:colOff>400050</xdr:colOff>
      <xdr:row>18</xdr:row>
      <xdr:rowOff>0</xdr:rowOff>
    </xdr:to>
    <mc:AlternateContent xmlns:mc="http://schemas.openxmlformats.org/markup-compatibility/2006" xmlns:a14="http://schemas.microsoft.com/office/drawing/2010/main">
      <mc:Choice Requires="a14">
        <xdr:graphicFrame macro="">
          <xdr:nvGraphicFramePr>
            <xdr:cNvPr id="4" name="Containers still in Yard">
              <a:extLst>
                <a:ext uri="{FF2B5EF4-FFF2-40B4-BE49-F238E27FC236}">
                  <a16:creationId xmlns:a16="http://schemas.microsoft.com/office/drawing/2014/main" id="{622F7752-B926-4C69-B0FD-83BD4D5AC0D5}"/>
                </a:ext>
              </a:extLst>
            </xdr:cNvPr>
            <xdr:cNvGraphicFramePr/>
          </xdr:nvGraphicFramePr>
          <xdr:xfrm>
            <a:off x="0" y="0"/>
            <a:ext cx="0" cy="0"/>
          </xdr:xfrm>
          <a:graphic>
            <a:graphicData uri="http://schemas.microsoft.com/office/drawing/2010/slicer">
              <sle:slicer xmlns:sle="http://schemas.microsoft.com/office/drawing/2010/slicer" name="Containers still in Yard"/>
            </a:graphicData>
          </a:graphic>
        </xdr:graphicFrame>
      </mc:Choice>
      <mc:Fallback xmlns="">
        <xdr:sp macro="" textlink="">
          <xdr:nvSpPr>
            <xdr:cNvPr id="0" name=""/>
            <xdr:cNvSpPr>
              <a:spLocks noTextEdit="1"/>
            </xdr:cNvSpPr>
          </xdr:nvSpPr>
          <xdr:spPr>
            <a:xfrm>
              <a:off x="11372850" y="2581275"/>
              <a:ext cx="1828800" cy="847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533400</xdr:colOff>
      <xdr:row>23</xdr:row>
      <xdr:rowOff>9525</xdr:rowOff>
    </xdr:from>
    <xdr:to>
      <xdr:col>11</xdr:col>
      <xdr:colOff>228600</xdr:colOff>
      <xdr:row>37</xdr:row>
      <xdr:rowOff>85725</xdr:rowOff>
    </xdr:to>
    <xdr:graphicFrame macro="">
      <xdr:nvGraphicFramePr>
        <xdr:cNvPr id="5" name="Chart 4">
          <a:extLst>
            <a:ext uri="{FF2B5EF4-FFF2-40B4-BE49-F238E27FC236}">
              <a16:creationId xmlns:a16="http://schemas.microsoft.com/office/drawing/2014/main" id="{E5241F54-7DE4-4310-9235-BDA162A8B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0</xdr:colOff>
      <xdr:row>23</xdr:row>
      <xdr:rowOff>19050</xdr:rowOff>
    </xdr:from>
    <xdr:to>
      <xdr:col>19</xdr:col>
      <xdr:colOff>438150</xdr:colOff>
      <xdr:row>37</xdr:row>
      <xdr:rowOff>95250</xdr:rowOff>
    </xdr:to>
    <xdr:graphicFrame macro="">
      <xdr:nvGraphicFramePr>
        <xdr:cNvPr id="6" name="Chart 5">
          <a:extLst>
            <a:ext uri="{FF2B5EF4-FFF2-40B4-BE49-F238E27FC236}">
              <a16:creationId xmlns:a16="http://schemas.microsoft.com/office/drawing/2014/main" id="{8C991A97-379A-4CD6-996A-DD1C86920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514350</xdr:colOff>
      <xdr:row>39</xdr:row>
      <xdr:rowOff>66675</xdr:rowOff>
    </xdr:from>
    <xdr:to>
      <xdr:col>11</xdr:col>
      <xdr:colOff>209550</xdr:colOff>
      <xdr:row>53</xdr:row>
      <xdr:rowOff>142875</xdr:rowOff>
    </xdr:to>
    <xdr:graphicFrame macro="">
      <xdr:nvGraphicFramePr>
        <xdr:cNvPr id="8" name="Chart 7">
          <a:extLst>
            <a:ext uri="{FF2B5EF4-FFF2-40B4-BE49-F238E27FC236}">
              <a16:creationId xmlns:a16="http://schemas.microsoft.com/office/drawing/2014/main" id="{9F92E533-4BBB-49B4-AC0B-9696F00A5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28575</xdr:colOff>
      <xdr:row>39</xdr:row>
      <xdr:rowOff>57150</xdr:rowOff>
    </xdr:from>
    <xdr:to>
      <xdr:col>19</xdr:col>
      <xdr:colOff>333375</xdr:colOff>
      <xdr:row>53</xdr:row>
      <xdr:rowOff>133350</xdr:rowOff>
    </xdr:to>
    <xdr:graphicFrame macro="">
      <xdr:nvGraphicFramePr>
        <xdr:cNvPr id="9" name="Chart 8">
          <a:extLst>
            <a:ext uri="{FF2B5EF4-FFF2-40B4-BE49-F238E27FC236}">
              <a16:creationId xmlns:a16="http://schemas.microsoft.com/office/drawing/2014/main" id="{0E408AFD-BF9B-444F-8D9E-A8442A87B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504825</xdr:colOff>
      <xdr:row>55</xdr:row>
      <xdr:rowOff>123825</xdr:rowOff>
    </xdr:from>
    <xdr:to>
      <xdr:col>11</xdr:col>
      <xdr:colOff>200025</xdr:colOff>
      <xdr:row>70</xdr:row>
      <xdr:rowOff>9525</xdr:rowOff>
    </xdr:to>
    <xdr:graphicFrame macro="">
      <xdr:nvGraphicFramePr>
        <xdr:cNvPr id="10" name="Chart 9">
          <a:extLst>
            <a:ext uri="{FF2B5EF4-FFF2-40B4-BE49-F238E27FC236}">
              <a16:creationId xmlns:a16="http://schemas.microsoft.com/office/drawing/2014/main" id="{4E5F2019-4CBC-4450-8235-D489AC7A4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0</xdr:colOff>
      <xdr:row>55</xdr:row>
      <xdr:rowOff>133350</xdr:rowOff>
    </xdr:from>
    <xdr:to>
      <xdr:col>19</xdr:col>
      <xdr:colOff>600075</xdr:colOff>
      <xdr:row>70</xdr:row>
      <xdr:rowOff>52388</xdr:rowOff>
    </xdr:to>
    <xdr:graphicFrame macro="">
      <xdr:nvGraphicFramePr>
        <xdr:cNvPr id="11" name="Chart 10">
          <a:extLst>
            <a:ext uri="{FF2B5EF4-FFF2-40B4-BE49-F238E27FC236}">
              <a16:creationId xmlns:a16="http://schemas.microsoft.com/office/drawing/2014/main" id="{27DCCCAC-98B7-43E9-9772-6E7552C1D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1.679743981484" createdVersion="8" refreshedVersion="8" minRefreshableVersion="3" recordCount="1500" xr:uid="{A2620594-D1E7-4F40-82F9-1D9DA72F081C}">
  <cacheSource type="worksheet">
    <worksheetSource name="Table1"/>
  </cacheSource>
  <cacheFields count="15">
    <cacheField name="S.no" numFmtId="0">
      <sharedItems containsSemiMixedTypes="0" containsString="0" containsNumber="1" containsInteger="1" minValue="1" maxValue="1500"/>
    </cacheField>
    <cacheField name="Container ID" numFmtId="0">
      <sharedItems/>
    </cacheField>
    <cacheField name="Terminal" numFmtId="0">
      <sharedItems count="4">
        <s v="Terminal C"/>
        <s v="Terminal A"/>
        <s v="Terminal D"/>
        <s v="Terminal B"/>
      </sharedItems>
    </cacheField>
    <cacheField name="Vessel" numFmtId="0">
      <sharedItems/>
    </cacheField>
    <cacheField name="Customer" numFmtId="0">
      <sharedItems count="10">
        <s v="Redline Logistics"/>
        <s v="Atlas Motors"/>
        <s v="Harbor Direct"/>
        <s v="BlueCrest Mfg"/>
        <s v="Pioneer Goods"/>
        <s v="Coastal Imports"/>
        <s v="Horizon Foods"/>
        <s v="Nova Retail"/>
        <s v="Summit Traders"/>
        <s v="Vantage Traders"/>
      </sharedItems>
    </cacheField>
    <cacheField name="Type" numFmtId="0">
      <sharedItems/>
    </cacheField>
    <cacheField name="Discharge_x000a_Date" numFmtId="164">
      <sharedItems containsSemiMixedTypes="0" containsNonDate="0" containsDate="1" containsString="0" minDate="2026-05-27T00:00:00" maxDate="2026-08-25T00:00:00"/>
    </cacheField>
    <cacheField name="Free Time_x000a_(days)" numFmtId="0">
      <sharedItems containsSemiMixedTypes="0" containsString="0" containsNumber="1" containsInteger="1" minValue="3" maxValue="7"/>
    </cacheField>
    <cacheField name="Gate Out_x000a_Date" numFmtId="0">
      <sharedItems containsNonDate="0" containsDate="1" containsString="0" containsBlank="1" minDate="2026-05-28T00:00:00" maxDate="2026-08-26T00:00:00"/>
    </cacheField>
    <cacheField name="Free Time Finish Day" numFmtId="164">
      <sharedItems containsSemiMixedTypes="0" containsNonDate="0" containsDate="1" containsString="0" minDate="2026-05-30T00:00:00" maxDate="2026-09-01T00:00:00"/>
    </cacheField>
    <cacheField name="Demurrage_x000a_Rate/day" numFmtId="165">
      <sharedItems containsSemiMixedTypes="0" containsString="0" containsNumber="1" containsInteger="1" minValue="60" maxValue="180"/>
    </cacheField>
    <cacheField name="Dwell Time" numFmtId="0">
      <sharedItems containsSemiMixedTypes="0" containsString="0" containsNumber="1" containsInteger="1" minValue="0" maxValue="87"/>
    </cacheField>
    <cacheField name="Risk Level" numFmtId="0">
      <sharedItems count="3">
        <s v="MEDIUM"/>
        <s v="LOW"/>
        <s v="HIGH"/>
      </sharedItems>
    </cacheField>
    <cacheField name="Demurrage Calculation$" numFmtId="0">
      <sharedItems containsMixedTypes="1" containsNumber="1" containsInteger="1" minValue="60" maxValue="14940"/>
    </cacheField>
    <cacheField name="Containers still in Yard" numFmtId="0">
      <sharedItems count="2">
        <s v="still in yard"/>
        <s v="cleared"/>
      </sharedItems>
    </cacheField>
  </cacheFields>
  <extLst>
    <ext xmlns:x14="http://schemas.microsoft.com/office/spreadsheetml/2009/9/main" uri="{725AE2AE-9491-48be-B2B4-4EB974FC3084}">
      <x14:pivotCacheDefinition pivotCacheId="20471743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
    <s v="CNTR100000"/>
    <x v="0"/>
    <s v="Maersk Kiel"/>
    <x v="0"/>
    <s v="20GP"/>
    <d v="2026-08-15T00:00:00"/>
    <n v="7"/>
    <m/>
    <d v="2026-08-22T00:00:00"/>
    <n v="130"/>
    <n v="3"/>
    <x v="0"/>
    <n v="390"/>
    <x v="0"/>
  </r>
  <r>
    <n v="2"/>
    <s v="CNTR100001"/>
    <x v="1"/>
    <s v="COSCO Harmony"/>
    <x v="1"/>
    <s v="20GP"/>
    <d v="2026-08-13T00:00:00"/>
    <n v="6"/>
    <d v="2026-08-19T00:00:00"/>
    <d v="2026-08-19T00:00:00"/>
    <n v="60"/>
    <n v="0"/>
    <x v="1"/>
    <s v="NA"/>
    <x v="1"/>
  </r>
  <r>
    <n v="3"/>
    <s v="CNTR100002"/>
    <x v="1"/>
    <s v="OOCL Bergen"/>
    <x v="2"/>
    <s v="20GP"/>
    <d v="2026-06-12T00:00:00"/>
    <n v="7"/>
    <d v="2026-06-24T00:00:00"/>
    <d v="2026-06-19T00:00:00"/>
    <n v="75"/>
    <n v="5"/>
    <x v="0"/>
    <n v="375"/>
    <x v="1"/>
  </r>
  <r>
    <n v="4"/>
    <s v="CNTR100003"/>
    <x v="1"/>
    <s v="COSCO Harmony"/>
    <x v="3"/>
    <s v="40HC"/>
    <d v="2026-07-02T00:00:00"/>
    <n v="5"/>
    <d v="2026-07-03T00:00:00"/>
    <d v="2026-07-07T00:00:00"/>
    <n v="75"/>
    <n v="0"/>
    <x v="1"/>
    <s v="NA"/>
    <x v="1"/>
  </r>
  <r>
    <n v="5"/>
    <s v="CNTR100004"/>
    <x v="1"/>
    <s v="ZIM Voyager"/>
    <x v="2"/>
    <s v="40GP"/>
    <d v="2026-07-08T00:00:00"/>
    <n v="4"/>
    <d v="2026-07-09T00:00:00"/>
    <d v="2026-07-12T00:00:00"/>
    <n v="60"/>
    <n v="0"/>
    <x v="1"/>
    <s v="NA"/>
    <x v="1"/>
  </r>
  <r>
    <n v="6"/>
    <s v="CNTR100005"/>
    <x v="1"/>
    <s v="ZIM Voyager"/>
    <x v="1"/>
    <s v="40RF"/>
    <d v="2026-05-29T00:00:00"/>
    <n v="4"/>
    <d v="2026-05-30T00:00:00"/>
    <d v="2026-06-02T00:00:00"/>
    <n v="150"/>
    <n v="0"/>
    <x v="1"/>
    <s v="NA"/>
    <x v="1"/>
  </r>
  <r>
    <n v="7"/>
    <s v="CNTR100006"/>
    <x v="0"/>
    <s v="Evergreen Ace"/>
    <x v="1"/>
    <s v="40GP"/>
    <d v="2026-05-27T00:00:00"/>
    <n v="5"/>
    <m/>
    <d v="2026-06-01T00:00:00"/>
    <n v="90"/>
    <n v="85"/>
    <x v="2"/>
    <n v="7650"/>
    <x v="0"/>
  </r>
  <r>
    <n v="8"/>
    <s v="CNTR100007"/>
    <x v="2"/>
    <s v="ONE Kestrel"/>
    <x v="4"/>
    <s v="40HC"/>
    <d v="2026-06-08T00:00:00"/>
    <n v="4"/>
    <m/>
    <d v="2026-06-12T00:00:00"/>
    <n v="110"/>
    <n v="74"/>
    <x v="2"/>
    <n v="8140"/>
    <x v="0"/>
  </r>
  <r>
    <n v="9"/>
    <s v="CNTR100008"/>
    <x v="3"/>
    <s v="ONE Kestrel"/>
    <x v="3"/>
    <s v="40RF"/>
    <d v="2026-07-02T00:00:00"/>
    <n v="3"/>
    <d v="2026-07-09T00:00:00"/>
    <d v="2026-07-05T00:00:00"/>
    <n v="120"/>
    <n v="4"/>
    <x v="0"/>
    <n v="480"/>
    <x v="1"/>
  </r>
  <r>
    <n v="10"/>
    <s v="CNTR100009"/>
    <x v="0"/>
    <s v="ONE Kestrel"/>
    <x v="5"/>
    <s v="40RF"/>
    <d v="2026-06-11T00:00:00"/>
    <n v="4"/>
    <m/>
    <d v="2026-06-15T00:00:00"/>
    <n v="120"/>
    <n v="71"/>
    <x v="2"/>
    <n v="8520"/>
    <x v="0"/>
  </r>
  <r>
    <n v="11"/>
    <s v="CNTR100010"/>
    <x v="0"/>
    <s v="Yang Ming Peak"/>
    <x v="6"/>
    <s v="20GP"/>
    <d v="2026-05-27T00:00:00"/>
    <n v="5"/>
    <d v="2026-06-08T00:00:00"/>
    <d v="2026-06-01T00:00:00"/>
    <n v="90"/>
    <n v="7"/>
    <x v="0"/>
    <n v="630"/>
    <x v="1"/>
  </r>
  <r>
    <n v="12"/>
    <s v="CNTR100011"/>
    <x v="2"/>
    <s v="ONE Kestrel"/>
    <x v="7"/>
    <s v="40RF"/>
    <d v="2026-07-10T00:00:00"/>
    <n v="3"/>
    <d v="2026-07-12T00:00:00"/>
    <d v="2026-07-13T00:00:00"/>
    <n v="150"/>
    <n v="0"/>
    <x v="1"/>
    <s v="NA"/>
    <x v="1"/>
  </r>
  <r>
    <n v="13"/>
    <s v="CNTR100012"/>
    <x v="1"/>
    <s v="OOCL Bergen"/>
    <x v="8"/>
    <s v="40GP"/>
    <d v="2026-07-24T00:00:00"/>
    <n v="6"/>
    <d v="2026-07-31T00:00:00"/>
    <d v="2026-07-30T00:00:00"/>
    <n v="110"/>
    <n v="1"/>
    <x v="0"/>
    <n v="110"/>
    <x v="1"/>
  </r>
  <r>
    <n v="14"/>
    <s v="CNTR100013"/>
    <x v="2"/>
    <s v="COSCO Harmony"/>
    <x v="8"/>
    <s v="40GP"/>
    <d v="2026-06-30T00:00:00"/>
    <n v="7"/>
    <m/>
    <d v="2026-07-07T00:00:00"/>
    <n v="110"/>
    <n v="49"/>
    <x v="2"/>
    <n v="5390"/>
    <x v="0"/>
  </r>
  <r>
    <n v="15"/>
    <s v="CNTR100014"/>
    <x v="0"/>
    <s v="Hapag Lloyd Bern"/>
    <x v="1"/>
    <s v="40GP"/>
    <d v="2026-08-14T00:00:00"/>
    <n v="5"/>
    <m/>
    <d v="2026-08-19T00:00:00"/>
    <n v="75"/>
    <n v="6"/>
    <x v="0"/>
    <n v="450"/>
    <x v="0"/>
  </r>
  <r>
    <n v="16"/>
    <s v="CNTR100015"/>
    <x v="1"/>
    <s v="Yang Ming Peak"/>
    <x v="2"/>
    <s v="40GP"/>
    <d v="2026-07-22T00:00:00"/>
    <n v="5"/>
    <m/>
    <d v="2026-07-27T00:00:00"/>
    <n v="110"/>
    <n v="29"/>
    <x v="2"/>
    <n v="3190"/>
    <x v="0"/>
  </r>
  <r>
    <n v="17"/>
    <s v="CNTR100016"/>
    <x v="0"/>
    <s v="ZIM Voyager"/>
    <x v="2"/>
    <s v="40HC"/>
    <d v="2026-08-08T00:00:00"/>
    <n v="7"/>
    <d v="2026-08-13T00:00:00"/>
    <d v="2026-08-15T00:00:00"/>
    <n v="60"/>
    <n v="0"/>
    <x v="1"/>
    <s v="NA"/>
    <x v="1"/>
  </r>
  <r>
    <n v="18"/>
    <s v="CNTR100017"/>
    <x v="2"/>
    <s v="COSCO Harmony"/>
    <x v="0"/>
    <s v="40RF"/>
    <d v="2026-07-04T00:00:00"/>
    <n v="4"/>
    <m/>
    <d v="2026-07-08T00:00:00"/>
    <n v="180"/>
    <n v="48"/>
    <x v="2"/>
    <n v="8640"/>
    <x v="0"/>
  </r>
  <r>
    <n v="19"/>
    <s v="CNTR100018"/>
    <x v="2"/>
    <s v="MSC Elena"/>
    <x v="1"/>
    <s v="20GP"/>
    <d v="2026-07-29T00:00:00"/>
    <n v="6"/>
    <m/>
    <d v="2026-08-04T00:00:00"/>
    <n v="90"/>
    <n v="21"/>
    <x v="2"/>
    <n v="1890"/>
    <x v="0"/>
  </r>
  <r>
    <n v="20"/>
    <s v="CNTR100019"/>
    <x v="1"/>
    <s v="CMA CGM Rhone"/>
    <x v="7"/>
    <s v="40GP"/>
    <d v="2026-06-17T00:00:00"/>
    <n v="4"/>
    <d v="2026-06-19T00:00:00"/>
    <d v="2026-06-21T00:00:00"/>
    <n v="75"/>
    <n v="0"/>
    <x v="1"/>
    <s v="NA"/>
    <x v="1"/>
  </r>
  <r>
    <n v="21"/>
    <s v="CNTR100020"/>
    <x v="2"/>
    <s v="Maersk Kiel"/>
    <x v="8"/>
    <s v="40HC"/>
    <d v="2026-06-08T00:00:00"/>
    <n v="5"/>
    <d v="2026-06-11T00:00:00"/>
    <d v="2026-06-13T00:00:00"/>
    <n v="60"/>
    <n v="0"/>
    <x v="1"/>
    <s v="NA"/>
    <x v="1"/>
  </r>
  <r>
    <n v="22"/>
    <s v="CNTR100021"/>
    <x v="2"/>
    <s v="Yang Ming Peak"/>
    <x v="4"/>
    <s v="40RF"/>
    <d v="2026-07-16T00:00:00"/>
    <n v="3"/>
    <m/>
    <d v="2026-07-19T00:00:00"/>
    <n v="180"/>
    <n v="37"/>
    <x v="2"/>
    <n v="6660"/>
    <x v="0"/>
  </r>
  <r>
    <n v="23"/>
    <s v="CNTR100022"/>
    <x v="0"/>
    <s v="Evergreen Ace"/>
    <x v="4"/>
    <s v="40GP"/>
    <d v="2026-06-19T00:00:00"/>
    <n v="4"/>
    <m/>
    <d v="2026-06-23T00:00:00"/>
    <n v="130"/>
    <n v="63"/>
    <x v="2"/>
    <n v="8190"/>
    <x v="0"/>
  </r>
  <r>
    <n v="24"/>
    <s v="CNTR100023"/>
    <x v="0"/>
    <s v="Maersk Kiel"/>
    <x v="9"/>
    <s v="20GP"/>
    <d v="2026-06-18T00:00:00"/>
    <n v="5"/>
    <d v="2026-06-27T00:00:00"/>
    <d v="2026-06-23T00:00:00"/>
    <n v="90"/>
    <n v="4"/>
    <x v="0"/>
    <n v="360"/>
    <x v="1"/>
  </r>
  <r>
    <n v="25"/>
    <s v="CNTR100024"/>
    <x v="0"/>
    <s v="Maersk Kiel"/>
    <x v="5"/>
    <s v="40GP"/>
    <d v="2026-06-17T00:00:00"/>
    <n v="7"/>
    <d v="2026-06-19T00:00:00"/>
    <d v="2026-06-24T00:00:00"/>
    <n v="90"/>
    <n v="0"/>
    <x v="1"/>
    <s v="NA"/>
    <x v="1"/>
  </r>
  <r>
    <n v="26"/>
    <s v="CNTR100025"/>
    <x v="3"/>
    <s v="ZIM Voyager"/>
    <x v="1"/>
    <s v="40GP"/>
    <d v="2026-07-04T00:00:00"/>
    <n v="5"/>
    <m/>
    <d v="2026-07-09T00:00:00"/>
    <n v="110"/>
    <n v="47"/>
    <x v="2"/>
    <n v="5170"/>
    <x v="0"/>
  </r>
  <r>
    <n v="27"/>
    <s v="CNTR100026"/>
    <x v="0"/>
    <s v="MSC Elena"/>
    <x v="7"/>
    <s v="40HC"/>
    <d v="2026-06-25T00:00:00"/>
    <n v="5"/>
    <m/>
    <d v="2026-06-30T00:00:00"/>
    <n v="130"/>
    <n v="56"/>
    <x v="2"/>
    <n v="7280"/>
    <x v="0"/>
  </r>
  <r>
    <n v="28"/>
    <s v="CNTR100027"/>
    <x v="0"/>
    <s v="Yang Ming Peak"/>
    <x v="5"/>
    <s v="40HC"/>
    <d v="2026-08-14T00:00:00"/>
    <n v="5"/>
    <m/>
    <d v="2026-08-19T00:00:00"/>
    <n v="110"/>
    <n v="6"/>
    <x v="0"/>
    <n v="660"/>
    <x v="0"/>
  </r>
  <r>
    <n v="29"/>
    <s v="CNTR100028"/>
    <x v="3"/>
    <s v="ONE Kestrel"/>
    <x v="1"/>
    <s v="40RF"/>
    <d v="2026-06-06T00:00:00"/>
    <n v="4"/>
    <d v="2026-06-07T00:00:00"/>
    <d v="2026-06-10T00:00:00"/>
    <n v="180"/>
    <n v="0"/>
    <x v="1"/>
    <s v="NA"/>
    <x v="1"/>
  </r>
  <r>
    <n v="30"/>
    <s v="CNTR100029"/>
    <x v="1"/>
    <s v="CMA CGM Rhone"/>
    <x v="0"/>
    <s v="40GP"/>
    <d v="2026-06-24T00:00:00"/>
    <n v="5"/>
    <d v="2026-06-29T00:00:00"/>
    <d v="2026-06-29T00:00:00"/>
    <n v="90"/>
    <n v="0"/>
    <x v="1"/>
    <s v="NA"/>
    <x v="1"/>
  </r>
  <r>
    <n v="31"/>
    <s v="CNTR100030"/>
    <x v="1"/>
    <s v="Hapag Lloyd Bern"/>
    <x v="4"/>
    <s v="40RF"/>
    <d v="2026-08-14T00:00:00"/>
    <n v="4"/>
    <m/>
    <d v="2026-08-18T00:00:00"/>
    <n v="120"/>
    <n v="7"/>
    <x v="0"/>
    <n v="840"/>
    <x v="0"/>
  </r>
  <r>
    <n v="32"/>
    <s v="CNTR100031"/>
    <x v="1"/>
    <s v="Maersk Kiel"/>
    <x v="2"/>
    <s v="40RF"/>
    <d v="2026-06-02T00:00:00"/>
    <n v="3"/>
    <d v="2026-06-03T00:00:00"/>
    <d v="2026-06-05T00:00:00"/>
    <n v="150"/>
    <n v="0"/>
    <x v="1"/>
    <s v="NA"/>
    <x v="1"/>
  </r>
  <r>
    <n v="33"/>
    <s v="CNTR100032"/>
    <x v="3"/>
    <s v="COSCO Harmony"/>
    <x v="9"/>
    <s v="40GP"/>
    <d v="2026-08-22T00:00:00"/>
    <n v="4"/>
    <d v="2026-08-23T00:00:00"/>
    <d v="2026-08-26T00:00:00"/>
    <n v="60"/>
    <n v="0"/>
    <x v="1"/>
    <s v="NA"/>
    <x v="1"/>
  </r>
  <r>
    <n v="34"/>
    <s v="CNTR100033"/>
    <x v="3"/>
    <s v="Hapag Lloyd Bern"/>
    <x v="1"/>
    <s v="40GP"/>
    <d v="2026-08-21T00:00:00"/>
    <n v="5"/>
    <m/>
    <d v="2026-08-26T00:00:00"/>
    <n v="130"/>
    <n v="0"/>
    <x v="1"/>
    <s v="NA"/>
    <x v="0"/>
  </r>
  <r>
    <n v="35"/>
    <s v="CNTR100034"/>
    <x v="3"/>
    <s v="ZIM Voyager"/>
    <x v="5"/>
    <s v="40HC"/>
    <d v="2026-06-16T00:00:00"/>
    <n v="6"/>
    <d v="2026-06-28T00:00:00"/>
    <d v="2026-06-22T00:00:00"/>
    <n v="110"/>
    <n v="6"/>
    <x v="0"/>
    <n v="660"/>
    <x v="1"/>
  </r>
  <r>
    <n v="36"/>
    <s v="CNTR100035"/>
    <x v="2"/>
    <s v="COSCO Harmony"/>
    <x v="3"/>
    <s v="40GP"/>
    <d v="2026-06-18T00:00:00"/>
    <n v="7"/>
    <m/>
    <d v="2026-06-25T00:00:00"/>
    <n v="110"/>
    <n v="61"/>
    <x v="2"/>
    <n v="6710"/>
    <x v="0"/>
  </r>
  <r>
    <n v="37"/>
    <s v="CNTR100036"/>
    <x v="3"/>
    <s v="ZIM Voyager"/>
    <x v="7"/>
    <s v="40GP"/>
    <d v="2026-08-02T00:00:00"/>
    <n v="5"/>
    <d v="2026-08-09T00:00:00"/>
    <d v="2026-08-07T00:00:00"/>
    <n v="60"/>
    <n v="2"/>
    <x v="0"/>
    <n v="120"/>
    <x v="1"/>
  </r>
  <r>
    <n v="38"/>
    <s v="CNTR100037"/>
    <x v="1"/>
    <s v="ONE Kestrel"/>
    <x v="9"/>
    <s v="40RF"/>
    <d v="2026-08-11T00:00:00"/>
    <n v="4"/>
    <m/>
    <d v="2026-08-15T00:00:00"/>
    <n v="120"/>
    <n v="10"/>
    <x v="2"/>
    <n v="1200"/>
    <x v="0"/>
  </r>
  <r>
    <n v="39"/>
    <s v="CNTR100038"/>
    <x v="0"/>
    <s v="MSC Elena"/>
    <x v="6"/>
    <s v="40RF"/>
    <d v="2026-06-14T00:00:00"/>
    <n v="3"/>
    <d v="2026-06-20T00:00:00"/>
    <d v="2026-06-17T00:00:00"/>
    <n v="180"/>
    <n v="3"/>
    <x v="0"/>
    <n v="540"/>
    <x v="1"/>
  </r>
  <r>
    <n v="40"/>
    <s v="CNTR100039"/>
    <x v="3"/>
    <s v="Evergreen Ace"/>
    <x v="4"/>
    <s v="40RF"/>
    <d v="2026-06-21T00:00:00"/>
    <n v="3"/>
    <d v="2026-06-22T00:00:00"/>
    <d v="2026-06-24T00:00:00"/>
    <n v="150"/>
    <n v="0"/>
    <x v="1"/>
    <s v="NA"/>
    <x v="1"/>
  </r>
  <r>
    <n v="41"/>
    <s v="CNTR100040"/>
    <x v="3"/>
    <s v="Yang Ming Peak"/>
    <x v="3"/>
    <s v="40RF"/>
    <d v="2026-08-09T00:00:00"/>
    <n v="4"/>
    <d v="2026-08-15T00:00:00"/>
    <d v="2026-08-13T00:00:00"/>
    <n v="120"/>
    <n v="2"/>
    <x v="0"/>
    <n v="240"/>
    <x v="1"/>
  </r>
  <r>
    <n v="42"/>
    <s v="CNTR100041"/>
    <x v="3"/>
    <s v="Evergreen Ace"/>
    <x v="6"/>
    <s v="40GP"/>
    <d v="2026-06-03T00:00:00"/>
    <n v="5"/>
    <m/>
    <d v="2026-06-08T00:00:00"/>
    <n v="75"/>
    <n v="78"/>
    <x v="2"/>
    <n v="5850"/>
    <x v="0"/>
  </r>
  <r>
    <n v="43"/>
    <s v="CNTR100042"/>
    <x v="2"/>
    <s v="OOCL Bergen"/>
    <x v="6"/>
    <s v="40RF"/>
    <d v="2026-06-23T00:00:00"/>
    <n v="3"/>
    <d v="2026-06-27T00:00:00"/>
    <d v="2026-06-26T00:00:00"/>
    <n v="120"/>
    <n v="1"/>
    <x v="0"/>
    <n v="120"/>
    <x v="1"/>
  </r>
  <r>
    <n v="44"/>
    <s v="CNTR100043"/>
    <x v="3"/>
    <s v="Hapag Lloyd Bern"/>
    <x v="9"/>
    <s v="40RF"/>
    <d v="2026-07-12T00:00:00"/>
    <n v="4"/>
    <m/>
    <d v="2026-07-16T00:00:00"/>
    <n v="150"/>
    <n v="40"/>
    <x v="2"/>
    <n v="6000"/>
    <x v="0"/>
  </r>
  <r>
    <n v="45"/>
    <s v="CNTR100044"/>
    <x v="1"/>
    <s v="ONE Kestrel"/>
    <x v="7"/>
    <s v="40HC"/>
    <d v="2026-06-15T00:00:00"/>
    <n v="6"/>
    <d v="2026-06-24T00:00:00"/>
    <d v="2026-06-21T00:00:00"/>
    <n v="130"/>
    <n v="3"/>
    <x v="0"/>
    <n v="390"/>
    <x v="1"/>
  </r>
  <r>
    <n v="46"/>
    <s v="CNTR100045"/>
    <x v="0"/>
    <s v="COSCO Harmony"/>
    <x v="6"/>
    <s v="20GP"/>
    <d v="2026-07-26T00:00:00"/>
    <n v="4"/>
    <m/>
    <d v="2026-07-30T00:00:00"/>
    <n v="90"/>
    <n v="26"/>
    <x v="2"/>
    <n v="2340"/>
    <x v="0"/>
  </r>
  <r>
    <n v="47"/>
    <s v="CNTR100046"/>
    <x v="1"/>
    <s v="Maersk Kiel"/>
    <x v="8"/>
    <s v="40GP"/>
    <d v="2026-07-01T00:00:00"/>
    <n v="5"/>
    <d v="2026-07-06T00:00:00"/>
    <d v="2026-07-06T00:00:00"/>
    <n v="130"/>
    <n v="0"/>
    <x v="1"/>
    <s v="NA"/>
    <x v="1"/>
  </r>
  <r>
    <n v="48"/>
    <s v="CNTR100047"/>
    <x v="2"/>
    <s v="ONE Kestrel"/>
    <x v="6"/>
    <s v="40HC"/>
    <d v="2026-08-17T00:00:00"/>
    <n v="5"/>
    <d v="2026-08-25T00:00:00"/>
    <d v="2026-08-22T00:00:00"/>
    <n v="60"/>
    <n v="3"/>
    <x v="0"/>
    <n v="180"/>
    <x v="1"/>
  </r>
  <r>
    <n v="49"/>
    <s v="CNTR100048"/>
    <x v="0"/>
    <s v="CMA CGM Rhone"/>
    <x v="2"/>
    <s v="40GP"/>
    <d v="2026-08-16T00:00:00"/>
    <n v="5"/>
    <d v="2026-08-25T00:00:00"/>
    <d v="2026-08-21T00:00:00"/>
    <n v="110"/>
    <n v="4"/>
    <x v="0"/>
    <n v="440"/>
    <x v="1"/>
  </r>
  <r>
    <n v="50"/>
    <s v="CNTR100049"/>
    <x v="1"/>
    <s v="ONE Kestrel"/>
    <x v="9"/>
    <s v="40RF"/>
    <d v="2026-07-21T00:00:00"/>
    <n v="4"/>
    <m/>
    <d v="2026-07-25T00:00:00"/>
    <n v="180"/>
    <n v="31"/>
    <x v="2"/>
    <n v="5580"/>
    <x v="0"/>
  </r>
  <r>
    <n v="51"/>
    <s v="CNTR100050"/>
    <x v="3"/>
    <s v="CMA CGM Rhone"/>
    <x v="3"/>
    <s v="40HC"/>
    <d v="2026-08-18T00:00:00"/>
    <n v="5"/>
    <m/>
    <d v="2026-08-23T00:00:00"/>
    <n v="90"/>
    <n v="2"/>
    <x v="0"/>
    <n v="180"/>
    <x v="0"/>
  </r>
  <r>
    <n v="52"/>
    <s v="CNTR100051"/>
    <x v="0"/>
    <s v="COSCO Harmony"/>
    <x v="1"/>
    <s v="40HC"/>
    <d v="2026-06-28T00:00:00"/>
    <n v="7"/>
    <d v="2026-07-04T00:00:00"/>
    <d v="2026-07-05T00:00:00"/>
    <n v="90"/>
    <n v="0"/>
    <x v="1"/>
    <s v="NA"/>
    <x v="1"/>
  </r>
  <r>
    <n v="53"/>
    <s v="CNTR100052"/>
    <x v="1"/>
    <s v="MSC Elena"/>
    <x v="7"/>
    <s v="40GP"/>
    <d v="2026-06-20T00:00:00"/>
    <n v="6"/>
    <m/>
    <d v="2026-06-26T00:00:00"/>
    <n v="110"/>
    <n v="60"/>
    <x v="2"/>
    <n v="6600"/>
    <x v="0"/>
  </r>
  <r>
    <n v="54"/>
    <s v="CNTR100053"/>
    <x v="1"/>
    <s v="Hapag Lloyd Bern"/>
    <x v="4"/>
    <s v="40RF"/>
    <d v="2026-06-21T00:00:00"/>
    <n v="4"/>
    <d v="2026-07-02T00:00:00"/>
    <d v="2026-06-25T00:00:00"/>
    <n v="120"/>
    <n v="7"/>
    <x v="0"/>
    <n v="840"/>
    <x v="1"/>
  </r>
  <r>
    <n v="55"/>
    <s v="CNTR100054"/>
    <x v="0"/>
    <s v="OOCL Bergen"/>
    <x v="3"/>
    <s v="40RF"/>
    <d v="2026-07-11T00:00:00"/>
    <n v="3"/>
    <d v="2026-07-19T00:00:00"/>
    <d v="2026-07-14T00:00:00"/>
    <n v="150"/>
    <n v="5"/>
    <x v="0"/>
    <n v="750"/>
    <x v="1"/>
  </r>
  <r>
    <n v="56"/>
    <s v="CNTR100055"/>
    <x v="2"/>
    <s v="Maersk Kiel"/>
    <x v="7"/>
    <s v="20GP"/>
    <d v="2026-05-31T00:00:00"/>
    <n v="6"/>
    <d v="2026-06-06T00:00:00"/>
    <d v="2026-06-06T00:00:00"/>
    <n v="90"/>
    <n v="0"/>
    <x v="1"/>
    <s v="NA"/>
    <x v="1"/>
  </r>
  <r>
    <n v="57"/>
    <s v="CNTR100056"/>
    <x v="3"/>
    <s v="Evergreen Ace"/>
    <x v="7"/>
    <s v="40RF"/>
    <d v="2026-08-01T00:00:00"/>
    <n v="3"/>
    <m/>
    <d v="2026-08-04T00:00:00"/>
    <n v="120"/>
    <n v="21"/>
    <x v="2"/>
    <n v="2520"/>
    <x v="0"/>
  </r>
  <r>
    <n v="58"/>
    <s v="CNTR100057"/>
    <x v="0"/>
    <s v="ONE Kestrel"/>
    <x v="5"/>
    <s v="40HC"/>
    <d v="2026-07-24T00:00:00"/>
    <n v="4"/>
    <d v="2026-07-26T00:00:00"/>
    <d v="2026-07-28T00:00:00"/>
    <n v="60"/>
    <n v="0"/>
    <x v="1"/>
    <s v="NA"/>
    <x v="1"/>
  </r>
  <r>
    <n v="59"/>
    <s v="CNTR100058"/>
    <x v="0"/>
    <s v="Hapag Lloyd Bern"/>
    <x v="6"/>
    <s v="40RF"/>
    <d v="2026-07-20T00:00:00"/>
    <n v="4"/>
    <d v="2026-07-27T00:00:00"/>
    <d v="2026-07-24T00:00:00"/>
    <n v="120"/>
    <n v="3"/>
    <x v="0"/>
    <n v="360"/>
    <x v="1"/>
  </r>
  <r>
    <n v="60"/>
    <s v="CNTR100059"/>
    <x v="1"/>
    <s v="CMA CGM Rhone"/>
    <x v="8"/>
    <s v="20GP"/>
    <d v="2026-08-06T00:00:00"/>
    <n v="6"/>
    <d v="2026-08-09T00:00:00"/>
    <d v="2026-08-12T00:00:00"/>
    <n v="75"/>
    <n v="0"/>
    <x v="1"/>
    <s v="NA"/>
    <x v="1"/>
  </r>
  <r>
    <n v="61"/>
    <s v="CNTR100060"/>
    <x v="1"/>
    <s v="ZIM Voyager"/>
    <x v="9"/>
    <s v="40GP"/>
    <d v="2026-06-01T00:00:00"/>
    <n v="7"/>
    <d v="2026-06-10T00:00:00"/>
    <d v="2026-06-08T00:00:00"/>
    <n v="90"/>
    <n v="2"/>
    <x v="0"/>
    <n v="180"/>
    <x v="1"/>
  </r>
  <r>
    <n v="62"/>
    <s v="CNTR100061"/>
    <x v="2"/>
    <s v="Maersk Kiel"/>
    <x v="8"/>
    <s v="40GP"/>
    <d v="2026-08-19T00:00:00"/>
    <n v="7"/>
    <d v="2026-08-25T00:00:00"/>
    <d v="2026-08-26T00:00:00"/>
    <n v="75"/>
    <n v="0"/>
    <x v="1"/>
    <s v="NA"/>
    <x v="1"/>
  </r>
  <r>
    <n v="63"/>
    <s v="CNTR100062"/>
    <x v="1"/>
    <s v="ZIM Voyager"/>
    <x v="1"/>
    <s v="20GP"/>
    <d v="2026-08-21T00:00:00"/>
    <n v="4"/>
    <m/>
    <d v="2026-08-25T00:00:00"/>
    <n v="90"/>
    <n v="0"/>
    <x v="1"/>
    <s v="NA"/>
    <x v="0"/>
  </r>
  <r>
    <n v="64"/>
    <s v="CNTR100063"/>
    <x v="1"/>
    <s v="Hapag Lloyd Bern"/>
    <x v="4"/>
    <s v="20GP"/>
    <d v="2026-06-05T00:00:00"/>
    <n v="4"/>
    <d v="2026-06-06T00:00:00"/>
    <d v="2026-06-09T00:00:00"/>
    <n v="75"/>
    <n v="0"/>
    <x v="1"/>
    <s v="NA"/>
    <x v="1"/>
  </r>
  <r>
    <n v="65"/>
    <s v="CNTR100064"/>
    <x v="2"/>
    <s v="Evergreen Ace"/>
    <x v="7"/>
    <s v="40RF"/>
    <d v="2026-08-16T00:00:00"/>
    <n v="4"/>
    <d v="2026-08-21T00:00:00"/>
    <d v="2026-08-20T00:00:00"/>
    <n v="180"/>
    <n v="1"/>
    <x v="0"/>
    <n v="180"/>
    <x v="1"/>
  </r>
  <r>
    <n v="66"/>
    <s v="CNTR100065"/>
    <x v="1"/>
    <s v="Yang Ming Peak"/>
    <x v="8"/>
    <s v="20GP"/>
    <d v="2026-07-22T00:00:00"/>
    <n v="5"/>
    <d v="2026-07-25T00:00:00"/>
    <d v="2026-07-27T00:00:00"/>
    <n v="75"/>
    <n v="0"/>
    <x v="1"/>
    <s v="NA"/>
    <x v="1"/>
  </r>
  <r>
    <n v="67"/>
    <s v="CNTR100066"/>
    <x v="3"/>
    <s v="Yang Ming Peak"/>
    <x v="4"/>
    <s v="40RF"/>
    <d v="2026-08-15T00:00:00"/>
    <n v="4"/>
    <d v="2026-08-18T00:00:00"/>
    <d v="2026-08-19T00:00:00"/>
    <n v="180"/>
    <n v="0"/>
    <x v="1"/>
    <s v="NA"/>
    <x v="1"/>
  </r>
  <r>
    <n v="68"/>
    <s v="CNTR100067"/>
    <x v="3"/>
    <s v="CMA CGM Rhone"/>
    <x v="2"/>
    <s v="40GP"/>
    <d v="2026-07-13T00:00:00"/>
    <n v="5"/>
    <d v="2026-07-19T00:00:00"/>
    <d v="2026-07-18T00:00:00"/>
    <n v="90"/>
    <n v="1"/>
    <x v="0"/>
    <n v="90"/>
    <x v="1"/>
  </r>
  <r>
    <n v="69"/>
    <s v="CNTR100068"/>
    <x v="3"/>
    <s v="MSC Elena"/>
    <x v="4"/>
    <s v="20GP"/>
    <d v="2026-06-23T00:00:00"/>
    <n v="5"/>
    <d v="2026-06-30T00:00:00"/>
    <d v="2026-06-28T00:00:00"/>
    <n v="110"/>
    <n v="2"/>
    <x v="0"/>
    <n v="220"/>
    <x v="1"/>
  </r>
  <r>
    <n v="70"/>
    <s v="CNTR100069"/>
    <x v="0"/>
    <s v="COSCO Harmony"/>
    <x v="8"/>
    <s v="40RF"/>
    <d v="2026-06-26T00:00:00"/>
    <n v="4"/>
    <d v="2026-07-01T00:00:00"/>
    <d v="2026-06-30T00:00:00"/>
    <n v="180"/>
    <n v="1"/>
    <x v="0"/>
    <n v="180"/>
    <x v="1"/>
  </r>
  <r>
    <n v="71"/>
    <s v="CNTR100070"/>
    <x v="3"/>
    <s v="Evergreen Ace"/>
    <x v="6"/>
    <s v="40RF"/>
    <d v="2026-08-22T00:00:00"/>
    <n v="4"/>
    <d v="2026-08-25T00:00:00"/>
    <d v="2026-08-26T00:00:00"/>
    <n v="150"/>
    <n v="0"/>
    <x v="1"/>
    <s v="NA"/>
    <x v="1"/>
  </r>
  <r>
    <n v="72"/>
    <s v="CNTR100071"/>
    <x v="0"/>
    <s v="Hapag Lloyd Bern"/>
    <x v="1"/>
    <s v="40GP"/>
    <d v="2026-08-15T00:00:00"/>
    <n v="7"/>
    <m/>
    <d v="2026-08-22T00:00:00"/>
    <n v="130"/>
    <n v="3"/>
    <x v="0"/>
    <n v="390"/>
    <x v="0"/>
  </r>
  <r>
    <n v="73"/>
    <s v="CNTR100072"/>
    <x v="0"/>
    <s v="ONE Kestrel"/>
    <x v="3"/>
    <s v="40HC"/>
    <d v="2026-08-10T00:00:00"/>
    <n v="5"/>
    <m/>
    <d v="2026-08-15T00:00:00"/>
    <n v="110"/>
    <n v="10"/>
    <x v="2"/>
    <n v="1100"/>
    <x v="0"/>
  </r>
  <r>
    <n v="74"/>
    <s v="CNTR100073"/>
    <x v="2"/>
    <s v="MSC Elena"/>
    <x v="3"/>
    <s v="20GP"/>
    <d v="2026-06-23T00:00:00"/>
    <n v="6"/>
    <d v="2026-06-24T00:00:00"/>
    <d v="2026-06-29T00:00:00"/>
    <n v="75"/>
    <n v="0"/>
    <x v="1"/>
    <s v="NA"/>
    <x v="1"/>
  </r>
  <r>
    <n v="75"/>
    <s v="CNTR100074"/>
    <x v="2"/>
    <s v="ONE Kestrel"/>
    <x v="0"/>
    <s v="40HC"/>
    <d v="2026-08-09T00:00:00"/>
    <n v="5"/>
    <m/>
    <d v="2026-08-14T00:00:00"/>
    <n v="90"/>
    <n v="11"/>
    <x v="2"/>
    <n v="990"/>
    <x v="0"/>
  </r>
  <r>
    <n v="76"/>
    <s v="CNTR100075"/>
    <x v="2"/>
    <s v="CMA CGM Rhone"/>
    <x v="1"/>
    <s v="20GP"/>
    <d v="2026-07-18T00:00:00"/>
    <n v="5"/>
    <d v="2026-07-19T00:00:00"/>
    <d v="2026-07-23T00:00:00"/>
    <n v="130"/>
    <n v="0"/>
    <x v="1"/>
    <s v="NA"/>
    <x v="1"/>
  </r>
  <r>
    <n v="77"/>
    <s v="CNTR100076"/>
    <x v="1"/>
    <s v="ONE Kestrel"/>
    <x v="0"/>
    <s v="40HC"/>
    <d v="2026-08-18T00:00:00"/>
    <n v="5"/>
    <m/>
    <d v="2026-08-23T00:00:00"/>
    <n v="90"/>
    <n v="2"/>
    <x v="0"/>
    <n v="180"/>
    <x v="0"/>
  </r>
  <r>
    <n v="78"/>
    <s v="CNTR100077"/>
    <x v="3"/>
    <s v="OOCL Bergen"/>
    <x v="8"/>
    <s v="40RF"/>
    <d v="2026-06-20T00:00:00"/>
    <n v="4"/>
    <m/>
    <d v="2026-06-24T00:00:00"/>
    <n v="150"/>
    <n v="62"/>
    <x v="2"/>
    <n v="9300"/>
    <x v="0"/>
  </r>
  <r>
    <n v="79"/>
    <s v="CNTR100078"/>
    <x v="2"/>
    <s v="MSC Elena"/>
    <x v="0"/>
    <s v="40GP"/>
    <d v="2026-08-14T00:00:00"/>
    <n v="4"/>
    <d v="2026-08-25T00:00:00"/>
    <d v="2026-08-18T00:00:00"/>
    <n v="110"/>
    <n v="7"/>
    <x v="0"/>
    <n v="770"/>
    <x v="1"/>
  </r>
  <r>
    <n v="80"/>
    <s v="CNTR100079"/>
    <x v="2"/>
    <s v="ZIM Voyager"/>
    <x v="3"/>
    <s v="40HC"/>
    <d v="2026-06-23T00:00:00"/>
    <n v="4"/>
    <d v="2026-06-24T00:00:00"/>
    <d v="2026-06-27T00:00:00"/>
    <n v="110"/>
    <n v="0"/>
    <x v="1"/>
    <s v="NA"/>
    <x v="1"/>
  </r>
  <r>
    <n v="81"/>
    <s v="CNTR100080"/>
    <x v="0"/>
    <s v="Evergreen Ace"/>
    <x v="8"/>
    <s v="40HC"/>
    <d v="2026-06-02T00:00:00"/>
    <n v="5"/>
    <d v="2026-06-06T00:00:00"/>
    <d v="2026-06-07T00:00:00"/>
    <n v="75"/>
    <n v="0"/>
    <x v="1"/>
    <s v="NA"/>
    <x v="1"/>
  </r>
  <r>
    <n v="82"/>
    <s v="CNTR100081"/>
    <x v="0"/>
    <s v="Yang Ming Peak"/>
    <x v="9"/>
    <s v="40RF"/>
    <d v="2026-08-09T00:00:00"/>
    <n v="3"/>
    <d v="2026-08-16T00:00:00"/>
    <d v="2026-08-12T00:00:00"/>
    <n v="150"/>
    <n v="4"/>
    <x v="0"/>
    <n v="600"/>
    <x v="1"/>
  </r>
  <r>
    <n v="83"/>
    <s v="CNTR100082"/>
    <x v="3"/>
    <s v="Yang Ming Peak"/>
    <x v="5"/>
    <s v="40RF"/>
    <d v="2026-07-01T00:00:00"/>
    <n v="3"/>
    <d v="2026-07-06T00:00:00"/>
    <d v="2026-07-04T00:00:00"/>
    <n v="120"/>
    <n v="2"/>
    <x v="0"/>
    <n v="240"/>
    <x v="1"/>
  </r>
  <r>
    <n v="84"/>
    <s v="CNTR100083"/>
    <x v="1"/>
    <s v="Maersk Kiel"/>
    <x v="5"/>
    <s v="20GP"/>
    <d v="2026-07-15T00:00:00"/>
    <n v="5"/>
    <d v="2026-07-20T00:00:00"/>
    <d v="2026-07-20T00:00:00"/>
    <n v="60"/>
    <n v="0"/>
    <x v="1"/>
    <s v="NA"/>
    <x v="1"/>
  </r>
  <r>
    <n v="85"/>
    <s v="CNTR100084"/>
    <x v="2"/>
    <s v="Hapag Lloyd Bern"/>
    <x v="0"/>
    <s v="40GP"/>
    <d v="2026-07-07T00:00:00"/>
    <n v="5"/>
    <d v="2026-07-09T00:00:00"/>
    <d v="2026-07-12T00:00:00"/>
    <n v="60"/>
    <n v="0"/>
    <x v="1"/>
    <s v="NA"/>
    <x v="1"/>
  </r>
  <r>
    <n v="86"/>
    <s v="CNTR100085"/>
    <x v="2"/>
    <s v="Evergreen Ace"/>
    <x v="2"/>
    <s v="40HC"/>
    <d v="2026-08-08T00:00:00"/>
    <n v="7"/>
    <d v="2026-08-16T00:00:00"/>
    <d v="2026-08-15T00:00:00"/>
    <n v="60"/>
    <n v="1"/>
    <x v="0"/>
    <n v="60"/>
    <x v="1"/>
  </r>
  <r>
    <n v="87"/>
    <s v="CNTR100086"/>
    <x v="0"/>
    <s v="OOCL Bergen"/>
    <x v="0"/>
    <s v="40RF"/>
    <d v="2026-06-03T00:00:00"/>
    <n v="4"/>
    <d v="2026-06-04T00:00:00"/>
    <d v="2026-06-07T00:00:00"/>
    <n v="150"/>
    <n v="0"/>
    <x v="1"/>
    <s v="NA"/>
    <x v="1"/>
  </r>
  <r>
    <n v="88"/>
    <s v="CNTR100087"/>
    <x v="1"/>
    <s v="Maersk Kiel"/>
    <x v="7"/>
    <s v="40RF"/>
    <d v="2026-06-25T00:00:00"/>
    <n v="4"/>
    <d v="2026-07-07T00:00:00"/>
    <d v="2026-06-29T00:00:00"/>
    <n v="180"/>
    <n v="8"/>
    <x v="0"/>
    <n v="1440"/>
    <x v="1"/>
  </r>
  <r>
    <n v="89"/>
    <s v="CNTR100088"/>
    <x v="2"/>
    <s v="Yang Ming Peak"/>
    <x v="1"/>
    <s v="20GP"/>
    <d v="2026-07-27T00:00:00"/>
    <n v="5"/>
    <m/>
    <d v="2026-08-01T00:00:00"/>
    <n v="60"/>
    <n v="24"/>
    <x v="2"/>
    <n v="1440"/>
    <x v="0"/>
  </r>
  <r>
    <n v="90"/>
    <s v="CNTR100089"/>
    <x v="2"/>
    <s v="CMA CGM Rhone"/>
    <x v="9"/>
    <s v="20GP"/>
    <d v="2026-08-24T00:00:00"/>
    <n v="5"/>
    <m/>
    <d v="2026-08-29T00:00:00"/>
    <n v="60"/>
    <n v="0"/>
    <x v="1"/>
    <s v="NA"/>
    <x v="0"/>
  </r>
  <r>
    <n v="91"/>
    <s v="CNTR100090"/>
    <x v="0"/>
    <s v="Maersk Kiel"/>
    <x v="8"/>
    <s v="40RF"/>
    <d v="2026-05-27T00:00:00"/>
    <n v="3"/>
    <m/>
    <d v="2026-05-30T00:00:00"/>
    <n v="150"/>
    <n v="87"/>
    <x v="2"/>
    <n v="13050"/>
    <x v="0"/>
  </r>
  <r>
    <n v="92"/>
    <s v="CNTR100091"/>
    <x v="3"/>
    <s v="Hapag Lloyd Bern"/>
    <x v="8"/>
    <s v="40GP"/>
    <d v="2026-06-09T00:00:00"/>
    <n v="4"/>
    <m/>
    <d v="2026-06-13T00:00:00"/>
    <n v="90"/>
    <n v="73"/>
    <x v="2"/>
    <n v="6570"/>
    <x v="0"/>
  </r>
  <r>
    <n v="93"/>
    <s v="CNTR100092"/>
    <x v="2"/>
    <s v="Evergreen Ace"/>
    <x v="5"/>
    <s v="40GP"/>
    <d v="2026-06-25T00:00:00"/>
    <n v="7"/>
    <m/>
    <d v="2026-07-02T00:00:00"/>
    <n v="75"/>
    <n v="54"/>
    <x v="2"/>
    <n v="4050"/>
    <x v="0"/>
  </r>
  <r>
    <n v="94"/>
    <s v="CNTR100093"/>
    <x v="1"/>
    <s v="Hapag Lloyd Bern"/>
    <x v="8"/>
    <s v="20GP"/>
    <d v="2026-08-22T00:00:00"/>
    <n v="5"/>
    <d v="2026-08-25T00:00:00"/>
    <d v="2026-08-27T00:00:00"/>
    <n v="110"/>
    <n v="0"/>
    <x v="1"/>
    <s v="NA"/>
    <x v="1"/>
  </r>
  <r>
    <n v="95"/>
    <s v="CNTR100094"/>
    <x v="1"/>
    <s v="Evergreen Ace"/>
    <x v="1"/>
    <s v="40RF"/>
    <d v="2026-07-08T00:00:00"/>
    <n v="3"/>
    <d v="2026-07-09T00:00:00"/>
    <d v="2026-07-11T00:00:00"/>
    <n v="150"/>
    <n v="0"/>
    <x v="1"/>
    <s v="NA"/>
    <x v="1"/>
  </r>
  <r>
    <n v="96"/>
    <s v="CNTR100095"/>
    <x v="2"/>
    <s v="OOCL Bergen"/>
    <x v="7"/>
    <s v="40HC"/>
    <d v="2026-06-21T00:00:00"/>
    <n v="4"/>
    <m/>
    <d v="2026-06-25T00:00:00"/>
    <n v="75"/>
    <n v="61"/>
    <x v="2"/>
    <n v="4575"/>
    <x v="0"/>
  </r>
  <r>
    <n v="97"/>
    <s v="CNTR100096"/>
    <x v="0"/>
    <s v="OOCL Bergen"/>
    <x v="1"/>
    <s v="40RF"/>
    <d v="2026-07-27T00:00:00"/>
    <n v="4"/>
    <d v="2026-07-28T00:00:00"/>
    <d v="2026-07-31T00:00:00"/>
    <n v="150"/>
    <n v="0"/>
    <x v="1"/>
    <s v="NA"/>
    <x v="1"/>
  </r>
  <r>
    <n v="98"/>
    <s v="CNTR100097"/>
    <x v="1"/>
    <s v="ZIM Voyager"/>
    <x v="4"/>
    <s v="40GP"/>
    <d v="2026-07-27T00:00:00"/>
    <n v="6"/>
    <d v="2026-07-28T00:00:00"/>
    <d v="2026-08-02T00:00:00"/>
    <n v="75"/>
    <n v="0"/>
    <x v="1"/>
    <s v="NA"/>
    <x v="1"/>
  </r>
  <r>
    <n v="99"/>
    <s v="CNTR100098"/>
    <x v="2"/>
    <s v="MSC Elena"/>
    <x v="1"/>
    <s v="20GP"/>
    <d v="2026-06-09T00:00:00"/>
    <n v="5"/>
    <d v="2026-06-10T00:00:00"/>
    <d v="2026-06-14T00:00:00"/>
    <n v="60"/>
    <n v="0"/>
    <x v="1"/>
    <s v="NA"/>
    <x v="1"/>
  </r>
  <r>
    <n v="100"/>
    <s v="CNTR100099"/>
    <x v="3"/>
    <s v="Hapag Lloyd Bern"/>
    <x v="4"/>
    <s v="40HC"/>
    <d v="2026-08-10T00:00:00"/>
    <n v="4"/>
    <d v="2026-08-12T00:00:00"/>
    <d v="2026-08-14T00:00:00"/>
    <n v="130"/>
    <n v="0"/>
    <x v="1"/>
    <s v="NA"/>
    <x v="1"/>
  </r>
  <r>
    <n v="101"/>
    <s v="CNTR100100"/>
    <x v="2"/>
    <s v="MSC Elena"/>
    <x v="8"/>
    <s v="40RF"/>
    <d v="2026-07-08T00:00:00"/>
    <n v="4"/>
    <d v="2026-07-14T00:00:00"/>
    <d v="2026-07-12T00:00:00"/>
    <n v="120"/>
    <n v="2"/>
    <x v="0"/>
    <n v="240"/>
    <x v="1"/>
  </r>
  <r>
    <n v="102"/>
    <s v="CNTR100101"/>
    <x v="1"/>
    <s v="CMA CGM Rhone"/>
    <x v="8"/>
    <s v="20GP"/>
    <d v="2026-07-11T00:00:00"/>
    <n v="6"/>
    <d v="2026-07-24T00:00:00"/>
    <d v="2026-07-17T00:00:00"/>
    <n v="75"/>
    <n v="7"/>
    <x v="0"/>
    <n v="525"/>
    <x v="1"/>
  </r>
  <r>
    <n v="103"/>
    <s v="CNTR100102"/>
    <x v="2"/>
    <s v="ONE Kestrel"/>
    <x v="8"/>
    <s v="40RF"/>
    <d v="2026-08-13T00:00:00"/>
    <n v="3"/>
    <d v="2026-08-23T00:00:00"/>
    <d v="2026-08-16T00:00:00"/>
    <n v="120"/>
    <n v="7"/>
    <x v="0"/>
    <n v="840"/>
    <x v="1"/>
  </r>
  <r>
    <n v="104"/>
    <s v="CNTR100103"/>
    <x v="0"/>
    <s v="COSCO Harmony"/>
    <x v="4"/>
    <s v="40GP"/>
    <d v="2026-07-14T00:00:00"/>
    <n v="5"/>
    <d v="2026-07-15T00:00:00"/>
    <d v="2026-07-19T00:00:00"/>
    <n v="75"/>
    <n v="0"/>
    <x v="1"/>
    <s v="NA"/>
    <x v="1"/>
  </r>
  <r>
    <n v="105"/>
    <s v="CNTR100104"/>
    <x v="2"/>
    <s v="MSC Elena"/>
    <x v="0"/>
    <s v="20GP"/>
    <d v="2026-06-26T00:00:00"/>
    <n v="4"/>
    <d v="2026-06-30T00:00:00"/>
    <d v="2026-06-30T00:00:00"/>
    <n v="60"/>
    <n v="0"/>
    <x v="1"/>
    <s v="NA"/>
    <x v="1"/>
  </r>
  <r>
    <n v="106"/>
    <s v="CNTR100105"/>
    <x v="0"/>
    <s v="OOCL Bergen"/>
    <x v="6"/>
    <s v="40HC"/>
    <d v="2026-07-09T00:00:00"/>
    <n v="5"/>
    <d v="2026-07-15T00:00:00"/>
    <d v="2026-07-14T00:00:00"/>
    <n v="90"/>
    <n v="1"/>
    <x v="0"/>
    <n v="90"/>
    <x v="1"/>
  </r>
  <r>
    <n v="107"/>
    <s v="CNTR100106"/>
    <x v="0"/>
    <s v="Evergreen Ace"/>
    <x v="7"/>
    <s v="20GP"/>
    <d v="2026-08-21T00:00:00"/>
    <n v="5"/>
    <m/>
    <d v="2026-08-26T00:00:00"/>
    <n v="110"/>
    <n v="0"/>
    <x v="1"/>
    <s v="NA"/>
    <x v="0"/>
  </r>
  <r>
    <n v="108"/>
    <s v="CNTR100107"/>
    <x v="2"/>
    <s v="Evergreen Ace"/>
    <x v="0"/>
    <s v="40RF"/>
    <d v="2026-08-08T00:00:00"/>
    <n v="4"/>
    <m/>
    <d v="2026-08-12T00:00:00"/>
    <n v="180"/>
    <n v="13"/>
    <x v="2"/>
    <n v="2340"/>
    <x v="0"/>
  </r>
  <r>
    <n v="109"/>
    <s v="CNTR100108"/>
    <x v="0"/>
    <s v="Maersk Kiel"/>
    <x v="2"/>
    <s v="40GP"/>
    <d v="2026-07-14T00:00:00"/>
    <n v="5"/>
    <d v="2026-07-18T00:00:00"/>
    <d v="2026-07-19T00:00:00"/>
    <n v="130"/>
    <n v="0"/>
    <x v="1"/>
    <s v="NA"/>
    <x v="1"/>
  </r>
  <r>
    <n v="110"/>
    <s v="CNTR100109"/>
    <x v="1"/>
    <s v="COSCO Harmony"/>
    <x v="1"/>
    <s v="40RF"/>
    <d v="2026-08-04T00:00:00"/>
    <n v="3"/>
    <d v="2026-08-05T00:00:00"/>
    <d v="2026-08-07T00:00:00"/>
    <n v="180"/>
    <n v="0"/>
    <x v="1"/>
    <s v="NA"/>
    <x v="1"/>
  </r>
  <r>
    <n v="111"/>
    <s v="CNTR100110"/>
    <x v="0"/>
    <s v="Maersk Kiel"/>
    <x v="0"/>
    <s v="20GP"/>
    <d v="2026-08-15T00:00:00"/>
    <n v="5"/>
    <d v="2026-08-16T00:00:00"/>
    <d v="2026-08-20T00:00:00"/>
    <n v="75"/>
    <n v="0"/>
    <x v="1"/>
    <s v="NA"/>
    <x v="1"/>
  </r>
  <r>
    <n v="112"/>
    <s v="CNTR100111"/>
    <x v="1"/>
    <s v="Hapag Lloyd Bern"/>
    <x v="4"/>
    <s v="40RF"/>
    <d v="2026-08-02T00:00:00"/>
    <n v="3"/>
    <m/>
    <d v="2026-08-05T00:00:00"/>
    <n v="150"/>
    <n v="20"/>
    <x v="2"/>
    <n v="3000"/>
    <x v="0"/>
  </r>
  <r>
    <n v="113"/>
    <s v="CNTR100112"/>
    <x v="3"/>
    <s v="COSCO Harmony"/>
    <x v="6"/>
    <s v="40HC"/>
    <d v="2026-07-18T00:00:00"/>
    <n v="5"/>
    <d v="2026-07-19T00:00:00"/>
    <d v="2026-07-23T00:00:00"/>
    <n v="75"/>
    <n v="0"/>
    <x v="1"/>
    <s v="NA"/>
    <x v="1"/>
  </r>
  <r>
    <n v="114"/>
    <s v="CNTR100113"/>
    <x v="2"/>
    <s v="OOCL Bergen"/>
    <x v="3"/>
    <s v="40GP"/>
    <d v="2026-07-25T00:00:00"/>
    <n v="5"/>
    <m/>
    <d v="2026-07-30T00:00:00"/>
    <n v="130"/>
    <n v="26"/>
    <x v="2"/>
    <n v="3380"/>
    <x v="0"/>
  </r>
  <r>
    <n v="115"/>
    <s v="CNTR100114"/>
    <x v="3"/>
    <s v="ONE Kestrel"/>
    <x v="6"/>
    <s v="40RF"/>
    <d v="2026-07-23T00:00:00"/>
    <n v="3"/>
    <d v="2026-07-30T00:00:00"/>
    <d v="2026-07-26T00:00:00"/>
    <n v="120"/>
    <n v="4"/>
    <x v="0"/>
    <n v="480"/>
    <x v="1"/>
  </r>
  <r>
    <n v="116"/>
    <s v="CNTR100115"/>
    <x v="1"/>
    <s v="Yang Ming Peak"/>
    <x v="7"/>
    <s v="20GP"/>
    <d v="2026-08-24T00:00:00"/>
    <n v="6"/>
    <d v="2026-08-25T00:00:00"/>
    <d v="2026-08-30T00:00:00"/>
    <n v="90"/>
    <n v="0"/>
    <x v="1"/>
    <s v="NA"/>
    <x v="1"/>
  </r>
  <r>
    <n v="117"/>
    <s v="CNTR100116"/>
    <x v="1"/>
    <s v="Evergreen Ace"/>
    <x v="1"/>
    <s v="20GP"/>
    <d v="2026-08-18T00:00:00"/>
    <n v="5"/>
    <d v="2026-08-25T00:00:00"/>
    <d v="2026-08-23T00:00:00"/>
    <n v="130"/>
    <n v="2"/>
    <x v="0"/>
    <n v="260"/>
    <x v="1"/>
  </r>
  <r>
    <n v="118"/>
    <s v="CNTR100117"/>
    <x v="3"/>
    <s v="CMA CGM Rhone"/>
    <x v="5"/>
    <s v="40GP"/>
    <d v="2026-06-28T00:00:00"/>
    <n v="7"/>
    <m/>
    <d v="2026-07-05T00:00:00"/>
    <n v="60"/>
    <n v="51"/>
    <x v="2"/>
    <n v="3060"/>
    <x v="0"/>
  </r>
  <r>
    <n v="119"/>
    <s v="CNTR100118"/>
    <x v="1"/>
    <s v="ZIM Voyager"/>
    <x v="2"/>
    <s v="40HC"/>
    <d v="2026-07-28T00:00:00"/>
    <n v="4"/>
    <d v="2026-08-02T00:00:00"/>
    <d v="2026-08-01T00:00:00"/>
    <n v="90"/>
    <n v="1"/>
    <x v="0"/>
    <n v="90"/>
    <x v="1"/>
  </r>
  <r>
    <n v="120"/>
    <s v="CNTR100119"/>
    <x v="1"/>
    <s v="ZIM Voyager"/>
    <x v="1"/>
    <s v="20GP"/>
    <d v="2026-07-14T00:00:00"/>
    <n v="6"/>
    <d v="2026-07-22T00:00:00"/>
    <d v="2026-07-20T00:00:00"/>
    <n v="75"/>
    <n v="2"/>
    <x v="0"/>
    <n v="150"/>
    <x v="1"/>
  </r>
  <r>
    <n v="121"/>
    <s v="CNTR100120"/>
    <x v="0"/>
    <s v="CMA CGM Rhone"/>
    <x v="1"/>
    <s v="20GP"/>
    <d v="2026-06-22T00:00:00"/>
    <n v="7"/>
    <d v="2026-06-23T00:00:00"/>
    <d v="2026-06-29T00:00:00"/>
    <n v="130"/>
    <n v="0"/>
    <x v="1"/>
    <s v="NA"/>
    <x v="1"/>
  </r>
  <r>
    <n v="122"/>
    <s v="CNTR100121"/>
    <x v="3"/>
    <s v="COSCO Harmony"/>
    <x v="6"/>
    <s v="40GP"/>
    <d v="2026-07-05T00:00:00"/>
    <n v="5"/>
    <d v="2026-07-13T00:00:00"/>
    <d v="2026-07-10T00:00:00"/>
    <n v="90"/>
    <n v="3"/>
    <x v="0"/>
    <n v="270"/>
    <x v="1"/>
  </r>
  <r>
    <n v="123"/>
    <s v="CNTR100122"/>
    <x v="0"/>
    <s v="Hapag Lloyd Bern"/>
    <x v="7"/>
    <s v="40HC"/>
    <d v="2026-06-13T00:00:00"/>
    <n v="5"/>
    <d v="2026-06-24T00:00:00"/>
    <d v="2026-06-18T00:00:00"/>
    <n v="90"/>
    <n v="6"/>
    <x v="0"/>
    <n v="540"/>
    <x v="1"/>
  </r>
  <r>
    <n v="124"/>
    <s v="CNTR100123"/>
    <x v="3"/>
    <s v="Hapag Lloyd Bern"/>
    <x v="0"/>
    <s v="40GP"/>
    <d v="2026-08-24T00:00:00"/>
    <n v="6"/>
    <d v="2026-08-25T00:00:00"/>
    <d v="2026-08-30T00:00:00"/>
    <n v="110"/>
    <n v="0"/>
    <x v="1"/>
    <s v="NA"/>
    <x v="1"/>
  </r>
  <r>
    <n v="125"/>
    <s v="CNTR100124"/>
    <x v="1"/>
    <s v="CMA CGM Rhone"/>
    <x v="0"/>
    <s v="40HC"/>
    <d v="2026-06-27T00:00:00"/>
    <n v="5"/>
    <m/>
    <d v="2026-07-02T00:00:00"/>
    <n v="60"/>
    <n v="54"/>
    <x v="2"/>
    <n v="3240"/>
    <x v="0"/>
  </r>
  <r>
    <n v="126"/>
    <s v="CNTR100125"/>
    <x v="3"/>
    <s v="Hapag Lloyd Bern"/>
    <x v="6"/>
    <s v="40HC"/>
    <d v="2026-06-21T00:00:00"/>
    <n v="5"/>
    <m/>
    <d v="2026-06-26T00:00:00"/>
    <n v="90"/>
    <n v="60"/>
    <x v="2"/>
    <n v="5400"/>
    <x v="0"/>
  </r>
  <r>
    <n v="127"/>
    <s v="CNTR100126"/>
    <x v="3"/>
    <s v="COSCO Harmony"/>
    <x v="3"/>
    <s v="20GP"/>
    <d v="2026-08-11T00:00:00"/>
    <n v="6"/>
    <d v="2026-08-20T00:00:00"/>
    <d v="2026-08-17T00:00:00"/>
    <n v="75"/>
    <n v="3"/>
    <x v="0"/>
    <n v="225"/>
    <x v="1"/>
  </r>
  <r>
    <n v="128"/>
    <s v="CNTR100127"/>
    <x v="0"/>
    <s v="Maersk Kiel"/>
    <x v="7"/>
    <s v="40RF"/>
    <d v="2026-07-15T00:00:00"/>
    <n v="3"/>
    <d v="2026-07-16T00:00:00"/>
    <d v="2026-07-18T00:00:00"/>
    <n v="180"/>
    <n v="0"/>
    <x v="1"/>
    <s v="NA"/>
    <x v="1"/>
  </r>
  <r>
    <n v="129"/>
    <s v="CNTR100128"/>
    <x v="2"/>
    <s v="CMA CGM Rhone"/>
    <x v="2"/>
    <s v="40GP"/>
    <d v="2026-06-04T00:00:00"/>
    <n v="5"/>
    <d v="2026-06-07T00:00:00"/>
    <d v="2026-06-09T00:00:00"/>
    <n v="110"/>
    <n v="0"/>
    <x v="1"/>
    <s v="NA"/>
    <x v="1"/>
  </r>
  <r>
    <n v="130"/>
    <s v="CNTR100129"/>
    <x v="3"/>
    <s v="ZIM Voyager"/>
    <x v="1"/>
    <s v="20GP"/>
    <d v="2026-07-04T00:00:00"/>
    <n v="7"/>
    <m/>
    <d v="2026-07-11T00:00:00"/>
    <n v="90"/>
    <n v="45"/>
    <x v="2"/>
    <n v="4050"/>
    <x v="0"/>
  </r>
  <r>
    <n v="131"/>
    <s v="CNTR100130"/>
    <x v="1"/>
    <s v="Maersk Kiel"/>
    <x v="1"/>
    <s v="40GP"/>
    <d v="2026-08-19T00:00:00"/>
    <n v="7"/>
    <d v="2026-08-24T00:00:00"/>
    <d v="2026-08-26T00:00:00"/>
    <n v="60"/>
    <n v="0"/>
    <x v="1"/>
    <s v="NA"/>
    <x v="1"/>
  </r>
  <r>
    <n v="132"/>
    <s v="CNTR100131"/>
    <x v="0"/>
    <s v="CMA CGM Rhone"/>
    <x v="0"/>
    <s v="40RF"/>
    <d v="2026-06-15T00:00:00"/>
    <n v="4"/>
    <d v="2026-06-16T00:00:00"/>
    <d v="2026-06-19T00:00:00"/>
    <n v="120"/>
    <n v="0"/>
    <x v="1"/>
    <s v="NA"/>
    <x v="1"/>
  </r>
  <r>
    <n v="133"/>
    <s v="CNTR100132"/>
    <x v="2"/>
    <s v="Hapag Lloyd Bern"/>
    <x v="5"/>
    <s v="40RF"/>
    <d v="2026-06-21T00:00:00"/>
    <n v="4"/>
    <m/>
    <d v="2026-06-25T00:00:00"/>
    <n v="120"/>
    <n v="61"/>
    <x v="2"/>
    <n v="7320"/>
    <x v="0"/>
  </r>
  <r>
    <n v="134"/>
    <s v="CNTR100133"/>
    <x v="2"/>
    <s v="Yang Ming Peak"/>
    <x v="1"/>
    <s v="40RF"/>
    <d v="2026-06-06T00:00:00"/>
    <n v="4"/>
    <d v="2026-06-07T00:00:00"/>
    <d v="2026-06-10T00:00:00"/>
    <n v="150"/>
    <n v="0"/>
    <x v="1"/>
    <s v="NA"/>
    <x v="1"/>
  </r>
  <r>
    <n v="135"/>
    <s v="CNTR100134"/>
    <x v="2"/>
    <s v="CMA CGM Rhone"/>
    <x v="6"/>
    <s v="40GP"/>
    <d v="2026-07-10T00:00:00"/>
    <n v="6"/>
    <d v="2026-07-17T00:00:00"/>
    <d v="2026-07-16T00:00:00"/>
    <n v="60"/>
    <n v="1"/>
    <x v="0"/>
    <n v="60"/>
    <x v="1"/>
  </r>
  <r>
    <n v="136"/>
    <s v="CNTR100135"/>
    <x v="1"/>
    <s v="Maersk Kiel"/>
    <x v="6"/>
    <s v="40HC"/>
    <d v="2026-06-20T00:00:00"/>
    <n v="4"/>
    <m/>
    <d v="2026-06-24T00:00:00"/>
    <n v="130"/>
    <n v="62"/>
    <x v="2"/>
    <n v="8060"/>
    <x v="0"/>
  </r>
  <r>
    <n v="137"/>
    <s v="CNTR100136"/>
    <x v="2"/>
    <s v="Maersk Kiel"/>
    <x v="7"/>
    <s v="20GP"/>
    <d v="2026-06-07T00:00:00"/>
    <n v="4"/>
    <m/>
    <d v="2026-06-11T00:00:00"/>
    <n v="110"/>
    <n v="75"/>
    <x v="2"/>
    <n v="8250"/>
    <x v="0"/>
  </r>
  <r>
    <n v="138"/>
    <s v="CNTR100137"/>
    <x v="0"/>
    <s v="Maersk Kiel"/>
    <x v="1"/>
    <s v="20GP"/>
    <d v="2026-07-11T00:00:00"/>
    <n v="7"/>
    <d v="2026-07-13T00:00:00"/>
    <d v="2026-07-18T00:00:00"/>
    <n v="75"/>
    <n v="0"/>
    <x v="1"/>
    <s v="NA"/>
    <x v="1"/>
  </r>
  <r>
    <n v="139"/>
    <s v="CNTR100138"/>
    <x v="0"/>
    <s v="ZIM Voyager"/>
    <x v="8"/>
    <s v="40RF"/>
    <d v="2026-08-06T00:00:00"/>
    <n v="4"/>
    <d v="2026-08-12T00:00:00"/>
    <d v="2026-08-10T00:00:00"/>
    <n v="150"/>
    <n v="2"/>
    <x v="0"/>
    <n v="300"/>
    <x v="1"/>
  </r>
  <r>
    <n v="140"/>
    <s v="CNTR100139"/>
    <x v="3"/>
    <s v="ONE Kestrel"/>
    <x v="5"/>
    <s v="20GP"/>
    <d v="2026-07-30T00:00:00"/>
    <n v="5"/>
    <d v="2026-08-02T00:00:00"/>
    <d v="2026-08-04T00:00:00"/>
    <n v="90"/>
    <n v="0"/>
    <x v="1"/>
    <s v="NA"/>
    <x v="1"/>
  </r>
  <r>
    <n v="141"/>
    <s v="CNTR100140"/>
    <x v="0"/>
    <s v="Hapag Lloyd Bern"/>
    <x v="3"/>
    <s v="40HC"/>
    <d v="2026-08-10T00:00:00"/>
    <n v="7"/>
    <m/>
    <d v="2026-08-17T00:00:00"/>
    <n v="90"/>
    <n v="8"/>
    <x v="0"/>
    <n v="720"/>
    <x v="0"/>
  </r>
  <r>
    <n v="142"/>
    <s v="CNTR100141"/>
    <x v="2"/>
    <s v="COSCO Harmony"/>
    <x v="9"/>
    <s v="20GP"/>
    <d v="2026-07-23T00:00:00"/>
    <n v="7"/>
    <d v="2026-07-24T00:00:00"/>
    <d v="2026-07-30T00:00:00"/>
    <n v="90"/>
    <n v="0"/>
    <x v="1"/>
    <s v="NA"/>
    <x v="1"/>
  </r>
  <r>
    <n v="143"/>
    <s v="CNTR100142"/>
    <x v="2"/>
    <s v="ONE Kestrel"/>
    <x v="2"/>
    <s v="40GP"/>
    <d v="2026-07-09T00:00:00"/>
    <n v="5"/>
    <d v="2026-07-18T00:00:00"/>
    <d v="2026-07-14T00:00:00"/>
    <n v="110"/>
    <n v="4"/>
    <x v="0"/>
    <n v="440"/>
    <x v="1"/>
  </r>
  <r>
    <n v="144"/>
    <s v="CNTR100143"/>
    <x v="3"/>
    <s v="Maersk Kiel"/>
    <x v="2"/>
    <s v="20GP"/>
    <d v="2026-07-18T00:00:00"/>
    <n v="7"/>
    <m/>
    <d v="2026-07-25T00:00:00"/>
    <n v="130"/>
    <n v="31"/>
    <x v="2"/>
    <n v="4030"/>
    <x v="0"/>
  </r>
  <r>
    <n v="145"/>
    <s v="CNTR100144"/>
    <x v="0"/>
    <s v="MSC Elena"/>
    <x v="7"/>
    <s v="40GP"/>
    <d v="2026-08-05T00:00:00"/>
    <n v="5"/>
    <d v="2026-08-06T00:00:00"/>
    <d v="2026-08-10T00:00:00"/>
    <n v="60"/>
    <n v="0"/>
    <x v="1"/>
    <s v="NA"/>
    <x v="1"/>
  </r>
  <r>
    <n v="146"/>
    <s v="CNTR100145"/>
    <x v="3"/>
    <s v="Yang Ming Peak"/>
    <x v="1"/>
    <s v="20GP"/>
    <d v="2026-08-22T00:00:00"/>
    <n v="4"/>
    <m/>
    <d v="2026-08-26T00:00:00"/>
    <n v="90"/>
    <n v="0"/>
    <x v="1"/>
    <s v="NA"/>
    <x v="0"/>
  </r>
  <r>
    <n v="147"/>
    <s v="CNTR100146"/>
    <x v="0"/>
    <s v="CMA CGM Rhone"/>
    <x v="9"/>
    <s v="40HC"/>
    <d v="2026-06-17T00:00:00"/>
    <n v="5"/>
    <d v="2026-06-23T00:00:00"/>
    <d v="2026-06-22T00:00:00"/>
    <n v="90"/>
    <n v="1"/>
    <x v="0"/>
    <n v="90"/>
    <x v="1"/>
  </r>
  <r>
    <n v="148"/>
    <s v="CNTR100147"/>
    <x v="3"/>
    <s v="OOCL Bergen"/>
    <x v="5"/>
    <s v="40RF"/>
    <d v="2026-08-04T00:00:00"/>
    <n v="3"/>
    <m/>
    <d v="2026-08-07T00:00:00"/>
    <n v="120"/>
    <n v="18"/>
    <x v="2"/>
    <n v="2160"/>
    <x v="0"/>
  </r>
  <r>
    <n v="149"/>
    <s v="CNTR100148"/>
    <x v="3"/>
    <s v="Yang Ming Peak"/>
    <x v="6"/>
    <s v="20GP"/>
    <d v="2026-06-04T00:00:00"/>
    <n v="5"/>
    <d v="2026-06-09T00:00:00"/>
    <d v="2026-06-09T00:00:00"/>
    <n v="90"/>
    <n v="0"/>
    <x v="1"/>
    <s v="NA"/>
    <x v="1"/>
  </r>
  <r>
    <n v="150"/>
    <s v="CNTR100149"/>
    <x v="1"/>
    <s v="MSC Elena"/>
    <x v="9"/>
    <s v="40HC"/>
    <d v="2026-06-09T00:00:00"/>
    <n v="7"/>
    <d v="2026-06-12T00:00:00"/>
    <d v="2026-06-16T00:00:00"/>
    <n v="130"/>
    <n v="0"/>
    <x v="1"/>
    <s v="NA"/>
    <x v="1"/>
  </r>
  <r>
    <n v="151"/>
    <s v="CNTR100150"/>
    <x v="2"/>
    <s v="OOCL Bergen"/>
    <x v="3"/>
    <s v="20GP"/>
    <d v="2026-08-19T00:00:00"/>
    <n v="4"/>
    <d v="2026-08-20T00:00:00"/>
    <d v="2026-08-23T00:00:00"/>
    <n v="60"/>
    <n v="0"/>
    <x v="1"/>
    <s v="NA"/>
    <x v="1"/>
  </r>
  <r>
    <n v="152"/>
    <s v="CNTR100151"/>
    <x v="1"/>
    <s v="MSC Elena"/>
    <x v="2"/>
    <s v="40GP"/>
    <d v="2026-08-06T00:00:00"/>
    <n v="6"/>
    <m/>
    <d v="2026-08-12T00:00:00"/>
    <n v="130"/>
    <n v="13"/>
    <x v="2"/>
    <n v="1690"/>
    <x v="0"/>
  </r>
  <r>
    <n v="153"/>
    <s v="CNTR100152"/>
    <x v="2"/>
    <s v="ZIM Voyager"/>
    <x v="3"/>
    <s v="40HC"/>
    <d v="2026-08-16T00:00:00"/>
    <n v="5"/>
    <d v="2026-08-22T00:00:00"/>
    <d v="2026-08-21T00:00:00"/>
    <n v="110"/>
    <n v="1"/>
    <x v="0"/>
    <n v="110"/>
    <x v="1"/>
  </r>
  <r>
    <n v="154"/>
    <s v="CNTR100153"/>
    <x v="1"/>
    <s v="Hapag Lloyd Bern"/>
    <x v="0"/>
    <s v="40RF"/>
    <d v="2026-08-14T00:00:00"/>
    <n v="4"/>
    <d v="2026-08-24T00:00:00"/>
    <d v="2026-08-18T00:00:00"/>
    <n v="150"/>
    <n v="6"/>
    <x v="0"/>
    <n v="900"/>
    <x v="1"/>
  </r>
  <r>
    <n v="155"/>
    <s v="CNTR100154"/>
    <x v="3"/>
    <s v="MSC Elena"/>
    <x v="6"/>
    <s v="40HC"/>
    <d v="2026-05-28T00:00:00"/>
    <n v="5"/>
    <d v="2026-06-14T00:00:00"/>
    <d v="2026-06-02T00:00:00"/>
    <n v="90"/>
    <n v="12"/>
    <x v="2"/>
    <n v="1080"/>
    <x v="1"/>
  </r>
  <r>
    <n v="156"/>
    <s v="CNTR100155"/>
    <x v="2"/>
    <s v="COSCO Harmony"/>
    <x v="8"/>
    <s v="40HC"/>
    <d v="2026-06-03T00:00:00"/>
    <n v="5"/>
    <m/>
    <d v="2026-06-08T00:00:00"/>
    <n v="130"/>
    <n v="78"/>
    <x v="2"/>
    <n v="10140"/>
    <x v="0"/>
  </r>
  <r>
    <n v="157"/>
    <s v="CNTR100156"/>
    <x v="1"/>
    <s v="Maersk Kiel"/>
    <x v="8"/>
    <s v="40GP"/>
    <d v="2026-07-30T00:00:00"/>
    <n v="5"/>
    <d v="2026-07-31T00:00:00"/>
    <d v="2026-08-04T00:00:00"/>
    <n v="90"/>
    <n v="0"/>
    <x v="1"/>
    <s v="NA"/>
    <x v="1"/>
  </r>
  <r>
    <n v="158"/>
    <s v="CNTR100157"/>
    <x v="3"/>
    <s v="Hapag Lloyd Bern"/>
    <x v="9"/>
    <s v="40RF"/>
    <d v="2026-06-25T00:00:00"/>
    <n v="4"/>
    <d v="2026-07-06T00:00:00"/>
    <d v="2026-06-29T00:00:00"/>
    <n v="120"/>
    <n v="7"/>
    <x v="0"/>
    <n v="840"/>
    <x v="1"/>
  </r>
  <r>
    <n v="159"/>
    <s v="CNTR100158"/>
    <x v="2"/>
    <s v="OOCL Bergen"/>
    <x v="2"/>
    <s v="40HC"/>
    <d v="2026-07-28T00:00:00"/>
    <n v="6"/>
    <d v="2026-08-10T00:00:00"/>
    <d v="2026-08-03T00:00:00"/>
    <n v="75"/>
    <n v="7"/>
    <x v="0"/>
    <n v="525"/>
    <x v="1"/>
  </r>
  <r>
    <n v="160"/>
    <s v="CNTR100159"/>
    <x v="1"/>
    <s v="MSC Elena"/>
    <x v="6"/>
    <s v="20GP"/>
    <d v="2026-06-06T00:00:00"/>
    <n v="5"/>
    <d v="2026-06-15T00:00:00"/>
    <d v="2026-06-11T00:00:00"/>
    <n v="75"/>
    <n v="4"/>
    <x v="0"/>
    <n v="300"/>
    <x v="1"/>
  </r>
  <r>
    <n v="161"/>
    <s v="CNTR100160"/>
    <x v="1"/>
    <s v="MSC Elena"/>
    <x v="7"/>
    <s v="40GP"/>
    <d v="2026-05-28T00:00:00"/>
    <n v="4"/>
    <d v="2026-05-31T00:00:00"/>
    <d v="2026-06-01T00:00:00"/>
    <n v="130"/>
    <n v="0"/>
    <x v="1"/>
    <s v="NA"/>
    <x v="1"/>
  </r>
  <r>
    <n v="162"/>
    <s v="CNTR100161"/>
    <x v="0"/>
    <s v="OOCL Bergen"/>
    <x v="9"/>
    <s v="20GP"/>
    <d v="2026-07-06T00:00:00"/>
    <n v="4"/>
    <m/>
    <d v="2026-07-10T00:00:00"/>
    <n v="75"/>
    <n v="46"/>
    <x v="2"/>
    <n v="3450"/>
    <x v="0"/>
  </r>
  <r>
    <n v="163"/>
    <s v="CNTR100162"/>
    <x v="1"/>
    <s v="MSC Elena"/>
    <x v="7"/>
    <s v="20GP"/>
    <d v="2026-06-05T00:00:00"/>
    <n v="5"/>
    <d v="2026-06-08T00:00:00"/>
    <d v="2026-06-10T00:00:00"/>
    <n v="75"/>
    <n v="0"/>
    <x v="1"/>
    <s v="NA"/>
    <x v="1"/>
  </r>
  <r>
    <n v="164"/>
    <s v="CNTR100163"/>
    <x v="1"/>
    <s v="OOCL Bergen"/>
    <x v="8"/>
    <s v="40HC"/>
    <d v="2026-07-12T00:00:00"/>
    <n v="6"/>
    <m/>
    <d v="2026-07-18T00:00:00"/>
    <n v="90"/>
    <n v="38"/>
    <x v="2"/>
    <n v="3420"/>
    <x v="0"/>
  </r>
  <r>
    <n v="165"/>
    <s v="CNTR100164"/>
    <x v="0"/>
    <s v="Evergreen Ace"/>
    <x v="7"/>
    <s v="40HC"/>
    <d v="2026-07-14T00:00:00"/>
    <n v="7"/>
    <d v="2026-07-24T00:00:00"/>
    <d v="2026-07-21T00:00:00"/>
    <n v="60"/>
    <n v="3"/>
    <x v="0"/>
    <n v="180"/>
    <x v="1"/>
  </r>
  <r>
    <n v="166"/>
    <s v="CNTR100165"/>
    <x v="2"/>
    <s v="MSC Elena"/>
    <x v="0"/>
    <s v="20GP"/>
    <d v="2026-07-11T00:00:00"/>
    <n v="6"/>
    <d v="2026-07-12T00:00:00"/>
    <d v="2026-07-17T00:00:00"/>
    <n v="130"/>
    <n v="0"/>
    <x v="1"/>
    <s v="NA"/>
    <x v="1"/>
  </r>
  <r>
    <n v="167"/>
    <s v="CNTR100166"/>
    <x v="3"/>
    <s v="CMA CGM Rhone"/>
    <x v="2"/>
    <s v="40HC"/>
    <d v="2026-08-03T00:00:00"/>
    <n v="6"/>
    <m/>
    <d v="2026-08-09T00:00:00"/>
    <n v="75"/>
    <n v="16"/>
    <x v="2"/>
    <n v="1200"/>
    <x v="0"/>
  </r>
  <r>
    <n v="168"/>
    <s v="CNTR100167"/>
    <x v="0"/>
    <s v="MSC Elena"/>
    <x v="7"/>
    <s v="40HC"/>
    <d v="2026-06-23T00:00:00"/>
    <n v="4"/>
    <d v="2026-06-27T00:00:00"/>
    <d v="2026-06-27T00:00:00"/>
    <n v="110"/>
    <n v="0"/>
    <x v="1"/>
    <s v="NA"/>
    <x v="1"/>
  </r>
  <r>
    <n v="169"/>
    <s v="CNTR100168"/>
    <x v="0"/>
    <s v="COSCO Harmony"/>
    <x v="8"/>
    <s v="40GP"/>
    <d v="2026-07-19T00:00:00"/>
    <n v="5"/>
    <d v="2026-07-21T00:00:00"/>
    <d v="2026-07-24T00:00:00"/>
    <n v="75"/>
    <n v="0"/>
    <x v="1"/>
    <s v="NA"/>
    <x v="1"/>
  </r>
  <r>
    <n v="170"/>
    <s v="CNTR100169"/>
    <x v="2"/>
    <s v="Maersk Kiel"/>
    <x v="6"/>
    <s v="20GP"/>
    <d v="2026-06-23T00:00:00"/>
    <n v="7"/>
    <d v="2026-06-27T00:00:00"/>
    <d v="2026-06-30T00:00:00"/>
    <n v="110"/>
    <n v="0"/>
    <x v="1"/>
    <s v="NA"/>
    <x v="1"/>
  </r>
  <r>
    <n v="171"/>
    <s v="CNTR100170"/>
    <x v="2"/>
    <s v="CMA CGM Rhone"/>
    <x v="0"/>
    <s v="20GP"/>
    <d v="2026-07-08T00:00:00"/>
    <n v="5"/>
    <d v="2026-07-10T00:00:00"/>
    <d v="2026-07-13T00:00:00"/>
    <n v="110"/>
    <n v="0"/>
    <x v="1"/>
    <s v="NA"/>
    <x v="1"/>
  </r>
  <r>
    <n v="172"/>
    <s v="CNTR100171"/>
    <x v="3"/>
    <s v="Hapag Lloyd Bern"/>
    <x v="1"/>
    <s v="40RF"/>
    <d v="2026-08-08T00:00:00"/>
    <n v="4"/>
    <d v="2026-08-09T00:00:00"/>
    <d v="2026-08-12T00:00:00"/>
    <n v="120"/>
    <n v="0"/>
    <x v="1"/>
    <s v="NA"/>
    <x v="1"/>
  </r>
  <r>
    <n v="173"/>
    <s v="CNTR100172"/>
    <x v="0"/>
    <s v="ZIM Voyager"/>
    <x v="5"/>
    <s v="40GP"/>
    <d v="2026-06-28T00:00:00"/>
    <n v="7"/>
    <d v="2026-06-29T00:00:00"/>
    <d v="2026-07-05T00:00:00"/>
    <n v="75"/>
    <n v="0"/>
    <x v="1"/>
    <s v="NA"/>
    <x v="1"/>
  </r>
  <r>
    <n v="174"/>
    <s v="CNTR100173"/>
    <x v="2"/>
    <s v="Yang Ming Peak"/>
    <x v="8"/>
    <s v="40GP"/>
    <d v="2026-08-08T00:00:00"/>
    <n v="5"/>
    <d v="2026-08-15T00:00:00"/>
    <d v="2026-08-13T00:00:00"/>
    <n v="75"/>
    <n v="2"/>
    <x v="0"/>
    <n v="150"/>
    <x v="1"/>
  </r>
  <r>
    <n v="175"/>
    <s v="CNTR100174"/>
    <x v="0"/>
    <s v="Evergreen Ace"/>
    <x v="2"/>
    <s v="40GP"/>
    <d v="2026-08-05T00:00:00"/>
    <n v="5"/>
    <d v="2026-08-08T00:00:00"/>
    <d v="2026-08-10T00:00:00"/>
    <n v="130"/>
    <n v="0"/>
    <x v="1"/>
    <s v="NA"/>
    <x v="1"/>
  </r>
  <r>
    <n v="176"/>
    <s v="CNTR100175"/>
    <x v="0"/>
    <s v="Maersk Kiel"/>
    <x v="1"/>
    <s v="40HC"/>
    <d v="2026-07-31T00:00:00"/>
    <n v="5"/>
    <d v="2026-08-04T00:00:00"/>
    <d v="2026-08-05T00:00:00"/>
    <n v="60"/>
    <n v="0"/>
    <x v="1"/>
    <s v="NA"/>
    <x v="1"/>
  </r>
  <r>
    <n v="177"/>
    <s v="CNTR100176"/>
    <x v="3"/>
    <s v="Hapag Lloyd Bern"/>
    <x v="3"/>
    <s v="40GP"/>
    <d v="2026-07-17T00:00:00"/>
    <n v="5"/>
    <d v="2026-07-20T00:00:00"/>
    <d v="2026-07-22T00:00:00"/>
    <n v="75"/>
    <n v="0"/>
    <x v="1"/>
    <s v="NA"/>
    <x v="1"/>
  </r>
  <r>
    <n v="178"/>
    <s v="CNTR100177"/>
    <x v="1"/>
    <s v="CMA CGM Rhone"/>
    <x v="8"/>
    <s v="40GP"/>
    <d v="2026-07-06T00:00:00"/>
    <n v="6"/>
    <m/>
    <d v="2026-07-12T00:00:00"/>
    <n v="110"/>
    <n v="44"/>
    <x v="2"/>
    <n v="4840"/>
    <x v="0"/>
  </r>
  <r>
    <n v="179"/>
    <s v="CNTR100178"/>
    <x v="2"/>
    <s v="OOCL Bergen"/>
    <x v="9"/>
    <s v="40HC"/>
    <d v="2026-06-26T00:00:00"/>
    <n v="4"/>
    <m/>
    <d v="2026-06-30T00:00:00"/>
    <n v="130"/>
    <n v="56"/>
    <x v="2"/>
    <n v="7280"/>
    <x v="0"/>
  </r>
  <r>
    <n v="180"/>
    <s v="CNTR100179"/>
    <x v="2"/>
    <s v="MSC Elena"/>
    <x v="1"/>
    <s v="40RF"/>
    <d v="2026-05-27T00:00:00"/>
    <n v="4"/>
    <d v="2026-05-28T00:00:00"/>
    <d v="2026-05-31T00:00:00"/>
    <n v="180"/>
    <n v="0"/>
    <x v="1"/>
    <s v="NA"/>
    <x v="1"/>
  </r>
  <r>
    <n v="181"/>
    <s v="CNTR100180"/>
    <x v="3"/>
    <s v="Maersk Kiel"/>
    <x v="6"/>
    <s v="40RF"/>
    <d v="2026-06-30T00:00:00"/>
    <n v="4"/>
    <m/>
    <d v="2026-07-04T00:00:00"/>
    <n v="180"/>
    <n v="52"/>
    <x v="2"/>
    <n v="9360"/>
    <x v="0"/>
  </r>
  <r>
    <n v="182"/>
    <s v="CNTR100181"/>
    <x v="1"/>
    <s v="Hapag Lloyd Bern"/>
    <x v="1"/>
    <s v="40RF"/>
    <d v="2026-06-05T00:00:00"/>
    <n v="3"/>
    <m/>
    <d v="2026-06-08T00:00:00"/>
    <n v="150"/>
    <n v="78"/>
    <x v="2"/>
    <n v="11700"/>
    <x v="0"/>
  </r>
  <r>
    <n v="183"/>
    <s v="CNTR100182"/>
    <x v="2"/>
    <s v="Yang Ming Peak"/>
    <x v="7"/>
    <s v="40RF"/>
    <d v="2026-06-19T00:00:00"/>
    <n v="4"/>
    <d v="2026-06-20T00:00:00"/>
    <d v="2026-06-23T00:00:00"/>
    <n v="120"/>
    <n v="0"/>
    <x v="1"/>
    <s v="NA"/>
    <x v="1"/>
  </r>
  <r>
    <n v="184"/>
    <s v="CNTR100183"/>
    <x v="0"/>
    <s v="MSC Elena"/>
    <x v="0"/>
    <s v="40RF"/>
    <d v="2026-08-11T00:00:00"/>
    <n v="3"/>
    <m/>
    <d v="2026-08-14T00:00:00"/>
    <n v="120"/>
    <n v="11"/>
    <x v="2"/>
    <n v="1320"/>
    <x v="0"/>
  </r>
  <r>
    <n v="185"/>
    <s v="CNTR100184"/>
    <x v="3"/>
    <s v="OOCL Bergen"/>
    <x v="9"/>
    <s v="40HC"/>
    <d v="2026-08-12T00:00:00"/>
    <n v="7"/>
    <d v="2026-08-20T00:00:00"/>
    <d v="2026-08-19T00:00:00"/>
    <n v="60"/>
    <n v="1"/>
    <x v="0"/>
    <n v="60"/>
    <x v="1"/>
  </r>
  <r>
    <n v="186"/>
    <s v="CNTR100185"/>
    <x v="0"/>
    <s v="COSCO Harmony"/>
    <x v="5"/>
    <s v="40RF"/>
    <d v="2026-06-27T00:00:00"/>
    <n v="3"/>
    <d v="2026-07-04T00:00:00"/>
    <d v="2026-06-30T00:00:00"/>
    <n v="120"/>
    <n v="4"/>
    <x v="0"/>
    <n v="480"/>
    <x v="1"/>
  </r>
  <r>
    <n v="187"/>
    <s v="CNTR100186"/>
    <x v="2"/>
    <s v="COSCO Harmony"/>
    <x v="6"/>
    <s v="40HC"/>
    <d v="2026-06-04T00:00:00"/>
    <n v="4"/>
    <m/>
    <d v="2026-06-08T00:00:00"/>
    <n v="110"/>
    <n v="78"/>
    <x v="2"/>
    <n v="8580"/>
    <x v="0"/>
  </r>
  <r>
    <n v="188"/>
    <s v="CNTR100187"/>
    <x v="2"/>
    <s v="MSC Elena"/>
    <x v="7"/>
    <s v="20GP"/>
    <d v="2026-07-02T00:00:00"/>
    <n v="6"/>
    <d v="2026-07-05T00:00:00"/>
    <d v="2026-07-08T00:00:00"/>
    <n v="60"/>
    <n v="0"/>
    <x v="1"/>
    <s v="NA"/>
    <x v="1"/>
  </r>
  <r>
    <n v="189"/>
    <s v="CNTR100188"/>
    <x v="3"/>
    <s v="Evergreen Ace"/>
    <x v="0"/>
    <s v="40GP"/>
    <d v="2026-07-05T00:00:00"/>
    <n v="6"/>
    <m/>
    <d v="2026-07-11T00:00:00"/>
    <n v="75"/>
    <n v="45"/>
    <x v="2"/>
    <n v="3375"/>
    <x v="0"/>
  </r>
  <r>
    <n v="190"/>
    <s v="CNTR100189"/>
    <x v="1"/>
    <s v="OOCL Bergen"/>
    <x v="4"/>
    <s v="40GP"/>
    <d v="2026-08-06T00:00:00"/>
    <n v="5"/>
    <d v="2026-08-07T00:00:00"/>
    <d v="2026-08-11T00:00:00"/>
    <n v="110"/>
    <n v="0"/>
    <x v="1"/>
    <s v="NA"/>
    <x v="1"/>
  </r>
  <r>
    <n v="191"/>
    <s v="CNTR100190"/>
    <x v="2"/>
    <s v="Evergreen Ace"/>
    <x v="9"/>
    <s v="40GP"/>
    <d v="2026-06-25T00:00:00"/>
    <n v="5"/>
    <d v="2026-06-30T00:00:00"/>
    <d v="2026-06-30T00:00:00"/>
    <n v="90"/>
    <n v="0"/>
    <x v="1"/>
    <s v="NA"/>
    <x v="1"/>
  </r>
  <r>
    <n v="192"/>
    <s v="CNTR100191"/>
    <x v="2"/>
    <s v="Maersk Kiel"/>
    <x v="4"/>
    <s v="20GP"/>
    <d v="2026-07-20T00:00:00"/>
    <n v="5"/>
    <m/>
    <d v="2026-07-25T00:00:00"/>
    <n v="90"/>
    <n v="31"/>
    <x v="2"/>
    <n v="2790"/>
    <x v="0"/>
  </r>
  <r>
    <n v="193"/>
    <s v="CNTR100192"/>
    <x v="0"/>
    <s v="Yang Ming Peak"/>
    <x v="4"/>
    <s v="40RF"/>
    <d v="2026-06-06T00:00:00"/>
    <n v="4"/>
    <m/>
    <d v="2026-06-10T00:00:00"/>
    <n v="150"/>
    <n v="76"/>
    <x v="2"/>
    <n v="11400"/>
    <x v="0"/>
  </r>
  <r>
    <n v="194"/>
    <s v="CNTR100193"/>
    <x v="3"/>
    <s v="Evergreen Ace"/>
    <x v="0"/>
    <s v="20GP"/>
    <d v="2026-08-14T00:00:00"/>
    <n v="7"/>
    <d v="2026-08-25T00:00:00"/>
    <d v="2026-08-21T00:00:00"/>
    <n v="75"/>
    <n v="4"/>
    <x v="0"/>
    <n v="300"/>
    <x v="1"/>
  </r>
  <r>
    <n v="195"/>
    <s v="CNTR100194"/>
    <x v="0"/>
    <s v="ZIM Voyager"/>
    <x v="7"/>
    <s v="20GP"/>
    <d v="2026-07-29T00:00:00"/>
    <n v="4"/>
    <d v="2026-08-01T00:00:00"/>
    <d v="2026-08-02T00:00:00"/>
    <n v="75"/>
    <n v="0"/>
    <x v="1"/>
    <s v="NA"/>
    <x v="1"/>
  </r>
  <r>
    <n v="196"/>
    <s v="CNTR100195"/>
    <x v="3"/>
    <s v="Maersk Kiel"/>
    <x v="4"/>
    <s v="40HC"/>
    <d v="2026-08-05T00:00:00"/>
    <n v="5"/>
    <d v="2026-08-11T00:00:00"/>
    <d v="2026-08-10T00:00:00"/>
    <n v="130"/>
    <n v="1"/>
    <x v="0"/>
    <n v="130"/>
    <x v="1"/>
  </r>
  <r>
    <n v="197"/>
    <s v="CNTR100196"/>
    <x v="3"/>
    <s v="ZIM Voyager"/>
    <x v="2"/>
    <s v="20GP"/>
    <d v="2026-05-31T00:00:00"/>
    <n v="7"/>
    <d v="2026-06-08T00:00:00"/>
    <d v="2026-06-07T00:00:00"/>
    <n v="75"/>
    <n v="1"/>
    <x v="0"/>
    <n v="75"/>
    <x v="1"/>
  </r>
  <r>
    <n v="198"/>
    <s v="CNTR100197"/>
    <x v="1"/>
    <s v="Yang Ming Peak"/>
    <x v="6"/>
    <s v="20GP"/>
    <d v="2026-07-22T00:00:00"/>
    <n v="6"/>
    <m/>
    <d v="2026-07-28T00:00:00"/>
    <n v="75"/>
    <n v="28"/>
    <x v="2"/>
    <n v="2100"/>
    <x v="0"/>
  </r>
  <r>
    <n v="199"/>
    <s v="CNTR100198"/>
    <x v="2"/>
    <s v="Yang Ming Peak"/>
    <x v="9"/>
    <s v="20GP"/>
    <d v="2026-06-24T00:00:00"/>
    <n v="6"/>
    <d v="2026-06-27T00:00:00"/>
    <d v="2026-06-30T00:00:00"/>
    <n v="110"/>
    <n v="0"/>
    <x v="1"/>
    <s v="NA"/>
    <x v="1"/>
  </r>
  <r>
    <n v="200"/>
    <s v="CNTR100199"/>
    <x v="3"/>
    <s v="Yang Ming Peak"/>
    <x v="3"/>
    <s v="20GP"/>
    <d v="2026-08-04T00:00:00"/>
    <n v="5"/>
    <d v="2026-08-05T00:00:00"/>
    <d v="2026-08-09T00:00:00"/>
    <n v="110"/>
    <n v="0"/>
    <x v="1"/>
    <s v="NA"/>
    <x v="1"/>
  </r>
  <r>
    <n v="201"/>
    <s v="CNTR100200"/>
    <x v="0"/>
    <s v="Hapag Lloyd Bern"/>
    <x v="0"/>
    <s v="20GP"/>
    <d v="2026-08-01T00:00:00"/>
    <n v="5"/>
    <d v="2026-08-03T00:00:00"/>
    <d v="2026-08-06T00:00:00"/>
    <n v="60"/>
    <n v="0"/>
    <x v="1"/>
    <s v="NA"/>
    <x v="1"/>
  </r>
  <r>
    <n v="202"/>
    <s v="CNTR100201"/>
    <x v="1"/>
    <s v="ZIM Voyager"/>
    <x v="7"/>
    <s v="40HC"/>
    <d v="2026-08-12T00:00:00"/>
    <n v="7"/>
    <d v="2026-08-19T00:00:00"/>
    <d v="2026-08-19T00:00:00"/>
    <n v="75"/>
    <n v="0"/>
    <x v="1"/>
    <s v="NA"/>
    <x v="1"/>
  </r>
  <r>
    <n v="203"/>
    <s v="CNTR100202"/>
    <x v="2"/>
    <s v="Maersk Kiel"/>
    <x v="5"/>
    <s v="20GP"/>
    <d v="2026-06-01T00:00:00"/>
    <n v="5"/>
    <d v="2026-06-03T00:00:00"/>
    <d v="2026-06-06T00:00:00"/>
    <n v="130"/>
    <n v="0"/>
    <x v="1"/>
    <s v="NA"/>
    <x v="1"/>
  </r>
  <r>
    <n v="204"/>
    <s v="CNTR100203"/>
    <x v="3"/>
    <s v="Evergreen Ace"/>
    <x v="0"/>
    <s v="40HC"/>
    <d v="2026-07-01T00:00:00"/>
    <n v="5"/>
    <d v="2026-07-07T00:00:00"/>
    <d v="2026-07-06T00:00:00"/>
    <n v="110"/>
    <n v="1"/>
    <x v="0"/>
    <n v="110"/>
    <x v="1"/>
  </r>
  <r>
    <n v="205"/>
    <s v="CNTR100204"/>
    <x v="2"/>
    <s v="ONE Kestrel"/>
    <x v="9"/>
    <s v="40HC"/>
    <d v="2026-06-21T00:00:00"/>
    <n v="5"/>
    <d v="2026-06-23T00:00:00"/>
    <d v="2026-06-26T00:00:00"/>
    <n v="110"/>
    <n v="0"/>
    <x v="1"/>
    <s v="NA"/>
    <x v="1"/>
  </r>
  <r>
    <n v="206"/>
    <s v="CNTR100205"/>
    <x v="1"/>
    <s v="ONE Kestrel"/>
    <x v="1"/>
    <s v="40HC"/>
    <d v="2026-07-17T00:00:00"/>
    <n v="5"/>
    <d v="2026-07-18T00:00:00"/>
    <d v="2026-07-22T00:00:00"/>
    <n v="60"/>
    <n v="0"/>
    <x v="1"/>
    <s v="NA"/>
    <x v="1"/>
  </r>
  <r>
    <n v="207"/>
    <s v="CNTR100206"/>
    <x v="2"/>
    <s v="COSCO Harmony"/>
    <x v="0"/>
    <s v="20GP"/>
    <d v="2026-07-04T00:00:00"/>
    <n v="5"/>
    <m/>
    <d v="2026-07-09T00:00:00"/>
    <n v="60"/>
    <n v="47"/>
    <x v="2"/>
    <n v="2820"/>
    <x v="0"/>
  </r>
  <r>
    <n v="208"/>
    <s v="CNTR100207"/>
    <x v="3"/>
    <s v="Yang Ming Peak"/>
    <x v="2"/>
    <s v="20GP"/>
    <d v="2026-06-21T00:00:00"/>
    <n v="7"/>
    <d v="2026-06-22T00:00:00"/>
    <d v="2026-06-28T00:00:00"/>
    <n v="130"/>
    <n v="0"/>
    <x v="1"/>
    <s v="NA"/>
    <x v="1"/>
  </r>
  <r>
    <n v="209"/>
    <s v="CNTR100208"/>
    <x v="3"/>
    <s v="ZIM Voyager"/>
    <x v="6"/>
    <s v="40GP"/>
    <d v="2026-08-19T00:00:00"/>
    <n v="6"/>
    <d v="2026-08-25T00:00:00"/>
    <d v="2026-08-25T00:00:00"/>
    <n v="60"/>
    <n v="0"/>
    <x v="1"/>
    <s v="NA"/>
    <x v="1"/>
  </r>
  <r>
    <n v="210"/>
    <s v="CNTR100209"/>
    <x v="2"/>
    <s v="CMA CGM Rhone"/>
    <x v="7"/>
    <s v="40HC"/>
    <d v="2026-08-07T00:00:00"/>
    <n v="5"/>
    <d v="2026-08-17T00:00:00"/>
    <d v="2026-08-12T00:00:00"/>
    <n v="90"/>
    <n v="5"/>
    <x v="0"/>
    <n v="450"/>
    <x v="1"/>
  </r>
  <r>
    <n v="211"/>
    <s v="CNTR100210"/>
    <x v="0"/>
    <s v="Maersk Kiel"/>
    <x v="0"/>
    <s v="20GP"/>
    <d v="2026-07-15T00:00:00"/>
    <n v="4"/>
    <d v="2026-07-16T00:00:00"/>
    <d v="2026-07-19T00:00:00"/>
    <n v="60"/>
    <n v="0"/>
    <x v="1"/>
    <s v="NA"/>
    <x v="1"/>
  </r>
  <r>
    <n v="212"/>
    <s v="CNTR100211"/>
    <x v="2"/>
    <s v="ZIM Voyager"/>
    <x v="9"/>
    <s v="20GP"/>
    <d v="2026-08-09T00:00:00"/>
    <n v="6"/>
    <d v="2026-08-10T00:00:00"/>
    <d v="2026-08-15T00:00:00"/>
    <n v="110"/>
    <n v="0"/>
    <x v="1"/>
    <s v="NA"/>
    <x v="1"/>
  </r>
  <r>
    <n v="213"/>
    <s v="CNTR100212"/>
    <x v="2"/>
    <s v="CMA CGM Rhone"/>
    <x v="7"/>
    <s v="40RF"/>
    <d v="2026-06-09T00:00:00"/>
    <n v="4"/>
    <d v="2026-06-11T00:00:00"/>
    <d v="2026-06-13T00:00:00"/>
    <n v="150"/>
    <n v="0"/>
    <x v="1"/>
    <s v="NA"/>
    <x v="1"/>
  </r>
  <r>
    <n v="214"/>
    <s v="CNTR100213"/>
    <x v="1"/>
    <s v="CMA CGM Rhone"/>
    <x v="4"/>
    <s v="40GP"/>
    <d v="2026-08-05T00:00:00"/>
    <n v="4"/>
    <d v="2026-08-07T00:00:00"/>
    <d v="2026-08-09T00:00:00"/>
    <n v="60"/>
    <n v="0"/>
    <x v="1"/>
    <s v="NA"/>
    <x v="1"/>
  </r>
  <r>
    <n v="215"/>
    <s v="CNTR100214"/>
    <x v="1"/>
    <s v="CMA CGM Rhone"/>
    <x v="1"/>
    <s v="20GP"/>
    <d v="2026-08-08T00:00:00"/>
    <n v="6"/>
    <m/>
    <d v="2026-08-14T00:00:00"/>
    <n v="130"/>
    <n v="11"/>
    <x v="2"/>
    <n v="1430"/>
    <x v="0"/>
  </r>
  <r>
    <n v="216"/>
    <s v="CNTR100215"/>
    <x v="3"/>
    <s v="Yang Ming Peak"/>
    <x v="3"/>
    <s v="20GP"/>
    <d v="2026-07-09T00:00:00"/>
    <n v="5"/>
    <d v="2026-07-18T00:00:00"/>
    <d v="2026-07-14T00:00:00"/>
    <n v="110"/>
    <n v="4"/>
    <x v="0"/>
    <n v="440"/>
    <x v="1"/>
  </r>
  <r>
    <n v="217"/>
    <s v="CNTR100216"/>
    <x v="2"/>
    <s v="Evergreen Ace"/>
    <x v="7"/>
    <s v="20GP"/>
    <d v="2026-08-23T00:00:00"/>
    <n v="4"/>
    <m/>
    <d v="2026-08-27T00:00:00"/>
    <n v="130"/>
    <n v="0"/>
    <x v="1"/>
    <s v="NA"/>
    <x v="0"/>
  </r>
  <r>
    <n v="218"/>
    <s v="CNTR100217"/>
    <x v="1"/>
    <s v="Hapag Lloyd Bern"/>
    <x v="8"/>
    <s v="40HC"/>
    <d v="2026-06-09T00:00:00"/>
    <n v="5"/>
    <d v="2026-06-16T00:00:00"/>
    <d v="2026-06-14T00:00:00"/>
    <n v="110"/>
    <n v="2"/>
    <x v="0"/>
    <n v="220"/>
    <x v="1"/>
  </r>
  <r>
    <n v="219"/>
    <s v="CNTR100218"/>
    <x v="1"/>
    <s v="ONE Kestrel"/>
    <x v="5"/>
    <s v="40RF"/>
    <d v="2026-06-25T00:00:00"/>
    <n v="4"/>
    <m/>
    <d v="2026-06-29T00:00:00"/>
    <n v="120"/>
    <n v="57"/>
    <x v="2"/>
    <n v="6840"/>
    <x v="0"/>
  </r>
  <r>
    <n v="220"/>
    <s v="CNTR100219"/>
    <x v="0"/>
    <s v="Maersk Kiel"/>
    <x v="0"/>
    <s v="40RF"/>
    <d v="2026-07-06T00:00:00"/>
    <n v="4"/>
    <d v="2026-07-11T00:00:00"/>
    <d v="2026-07-10T00:00:00"/>
    <n v="150"/>
    <n v="1"/>
    <x v="0"/>
    <n v="150"/>
    <x v="1"/>
  </r>
  <r>
    <n v="221"/>
    <s v="CNTR100220"/>
    <x v="0"/>
    <s v="MSC Elena"/>
    <x v="2"/>
    <s v="40HC"/>
    <d v="2026-06-08T00:00:00"/>
    <n v="4"/>
    <d v="2026-06-09T00:00:00"/>
    <d v="2026-06-12T00:00:00"/>
    <n v="130"/>
    <n v="0"/>
    <x v="1"/>
    <s v="NA"/>
    <x v="1"/>
  </r>
  <r>
    <n v="222"/>
    <s v="CNTR100221"/>
    <x v="0"/>
    <s v="ZIM Voyager"/>
    <x v="0"/>
    <s v="40GP"/>
    <d v="2026-07-07T00:00:00"/>
    <n v="6"/>
    <d v="2026-07-08T00:00:00"/>
    <d v="2026-07-13T00:00:00"/>
    <n v="110"/>
    <n v="0"/>
    <x v="1"/>
    <s v="NA"/>
    <x v="1"/>
  </r>
  <r>
    <n v="223"/>
    <s v="CNTR100222"/>
    <x v="0"/>
    <s v="MSC Elena"/>
    <x v="5"/>
    <s v="40HC"/>
    <d v="2026-07-21T00:00:00"/>
    <n v="6"/>
    <m/>
    <d v="2026-07-27T00:00:00"/>
    <n v="60"/>
    <n v="29"/>
    <x v="2"/>
    <n v="1740"/>
    <x v="0"/>
  </r>
  <r>
    <n v="224"/>
    <s v="CNTR100223"/>
    <x v="0"/>
    <s v="Maersk Kiel"/>
    <x v="2"/>
    <s v="40GP"/>
    <d v="2026-07-20T00:00:00"/>
    <n v="7"/>
    <d v="2026-07-21T00:00:00"/>
    <d v="2026-07-27T00:00:00"/>
    <n v="110"/>
    <n v="0"/>
    <x v="1"/>
    <s v="NA"/>
    <x v="1"/>
  </r>
  <r>
    <n v="225"/>
    <s v="CNTR100224"/>
    <x v="0"/>
    <s v="COSCO Harmony"/>
    <x v="6"/>
    <s v="40RF"/>
    <d v="2026-07-07T00:00:00"/>
    <n v="3"/>
    <d v="2026-07-08T00:00:00"/>
    <d v="2026-07-10T00:00:00"/>
    <n v="150"/>
    <n v="0"/>
    <x v="1"/>
    <s v="NA"/>
    <x v="1"/>
  </r>
  <r>
    <n v="226"/>
    <s v="CNTR100225"/>
    <x v="1"/>
    <s v="Hapag Lloyd Bern"/>
    <x v="4"/>
    <s v="40GP"/>
    <d v="2026-07-23T00:00:00"/>
    <n v="7"/>
    <d v="2026-07-24T00:00:00"/>
    <d v="2026-07-30T00:00:00"/>
    <n v="110"/>
    <n v="0"/>
    <x v="1"/>
    <s v="NA"/>
    <x v="1"/>
  </r>
  <r>
    <n v="227"/>
    <s v="CNTR100226"/>
    <x v="2"/>
    <s v="COSCO Harmony"/>
    <x v="6"/>
    <s v="40HC"/>
    <d v="2026-08-16T00:00:00"/>
    <n v="5"/>
    <d v="2026-08-17T00:00:00"/>
    <d v="2026-08-21T00:00:00"/>
    <n v="130"/>
    <n v="0"/>
    <x v="1"/>
    <s v="NA"/>
    <x v="1"/>
  </r>
  <r>
    <n v="228"/>
    <s v="CNTR100227"/>
    <x v="0"/>
    <s v="Yang Ming Peak"/>
    <x v="9"/>
    <s v="40GP"/>
    <d v="2026-07-31T00:00:00"/>
    <n v="5"/>
    <m/>
    <d v="2026-08-05T00:00:00"/>
    <n v="75"/>
    <n v="20"/>
    <x v="2"/>
    <n v="1500"/>
    <x v="0"/>
  </r>
  <r>
    <n v="229"/>
    <s v="CNTR100228"/>
    <x v="0"/>
    <s v="ONE Kestrel"/>
    <x v="2"/>
    <s v="40HC"/>
    <d v="2026-07-04T00:00:00"/>
    <n v="7"/>
    <d v="2026-07-10T00:00:00"/>
    <d v="2026-07-11T00:00:00"/>
    <n v="75"/>
    <n v="0"/>
    <x v="1"/>
    <s v="NA"/>
    <x v="1"/>
  </r>
  <r>
    <n v="230"/>
    <s v="CNTR100229"/>
    <x v="1"/>
    <s v="Yang Ming Peak"/>
    <x v="5"/>
    <s v="20GP"/>
    <d v="2026-07-08T00:00:00"/>
    <n v="6"/>
    <d v="2026-07-16T00:00:00"/>
    <d v="2026-07-14T00:00:00"/>
    <n v="90"/>
    <n v="2"/>
    <x v="0"/>
    <n v="180"/>
    <x v="1"/>
  </r>
  <r>
    <n v="231"/>
    <s v="CNTR100230"/>
    <x v="0"/>
    <s v="COSCO Harmony"/>
    <x v="2"/>
    <s v="20GP"/>
    <d v="2026-08-12T00:00:00"/>
    <n v="4"/>
    <m/>
    <d v="2026-08-16T00:00:00"/>
    <n v="130"/>
    <n v="9"/>
    <x v="0"/>
    <n v="1170"/>
    <x v="0"/>
  </r>
  <r>
    <n v="232"/>
    <s v="CNTR100231"/>
    <x v="2"/>
    <s v="ZIM Voyager"/>
    <x v="2"/>
    <s v="40GP"/>
    <d v="2026-07-22T00:00:00"/>
    <n v="5"/>
    <d v="2026-07-31T00:00:00"/>
    <d v="2026-07-27T00:00:00"/>
    <n v="110"/>
    <n v="4"/>
    <x v="0"/>
    <n v="440"/>
    <x v="1"/>
  </r>
  <r>
    <n v="233"/>
    <s v="CNTR100232"/>
    <x v="3"/>
    <s v="Evergreen Ace"/>
    <x v="7"/>
    <s v="40HC"/>
    <d v="2026-07-30T00:00:00"/>
    <n v="5"/>
    <d v="2026-08-05T00:00:00"/>
    <d v="2026-08-04T00:00:00"/>
    <n v="90"/>
    <n v="1"/>
    <x v="0"/>
    <n v="90"/>
    <x v="1"/>
  </r>
  <r>
    <n v="234"/>
    <s v="CNTR100233"/>
    <x v="2"/>
    <s v="Yang Ming Peak"/>
    <x v="6"/>
    <s v="40RF"/>
    <d v="2026-08-09T00:00:00"/>
    <n v="4"/>
    <d v="2026-08-13T00:00:00"/>
    <d v="2026-08-13T00:00:00"/>
    <n v="150"/>
    <n v="0"/>
    <x v="1"/>
    <s v="NA"/>
    <x v="1"/>
  </r>
  <r>
    <n v="235"/>
    <s v="CNTR100234"/>
    <x v="0"/>
    <s v="ZIM Voyager"/>
    <x v="1"/>
    <s v="20GP"/>
    <d v="2026-05-31T00:00:00"/>
    <n v="7"/>
    <d v="2026-06-04T00:00:00"/>
    <d v="2026-06-07T00:00:00"/>
    <n v="75"/>
    <n v="0"/>
    <x v="1"/>
    <s v="NA"/>
    <x v="1"/>
  </r>
  <r>
    <n v="236"/>
    <s v="CNTR100235"/>
    <x v="3"/>
    <s v="Maersk Kiel"/>
    <x v="7"/>
    <s v="40HC"/>
    <d v="2026-07-10T00:00:00"/>
    <n v="4"/>
    <d v="2026-07-14T00:00:00"/>
    <d v="2026-07-14T00:00:00"/>
    <n v="60"/>
    <n v="0"/>
    <x v="1"/>
    <s v="NA"/>
    <x v="1"/>
  </r>
  <r>
    <n v="237"/>
    <s v="CNTR100236"/>
    <x v="1"/>
    <s v="Evergreen Ace"/>
    <x v="9"/>
    <s v="40RF"/>
    <d v="2026-08-17T00:00:00"/>
    <n v="3"/>
    <m/>
    <d v="2026-08-20T00:00:00"/>
    <n v="120"/>
    <n v="5"/>
    <x v="0"/>
    <n v="600"/>
    <x v="0"/>
  </r>
  <r>
    <n v="238"/>
    <s v="CNTR100237"/>
    <x v="3"/>
    <s v="Evergreen Ace"/>
    <x v="2"/>
    <s v="40RF"/>
    <d v="2026-06-02T00:00:00"/>
    <n v="3"/>
    <d v="2026-06-03T00:00:00"/>
    <d v="2026-06-05T00:00:00"/>
    <n v="150"/>
    <n v="0"/>
    <x v="1"/>
    <s v="NA"/>
    <x v="1"/>
  </r>
  <r>
    <n v="239"/>
    <s v="CNTR100238"/>
    <x v="2"/>
    <s v="Hapag Lloyd Bern"/>
    <x v="3"/>
    <s v="40RF"/>
    <d v="2026-07-25T00:00:00"/>
    <n v="3"/>
    <d v="2026-07-30T00:00:00"/>
    <d v="2026-07-28T00:00:00"/>
    <n v="120"/>
    <n v="2"/>
    <x v="0"/>
    <n v="240"/>
    <x v="1"/>
  </r>
  <r>
    <n v="240"/>
    <s v="CNTR100239"/>
    <x v="2"/>
    <s v="OOCL Bergen"/>
    <x v="7"/>
    <s v="40GP"/>
    <d v="2026-07-27T00:00:00"/>
    <n v="4"/>
    <d v="2026-08-05T00:00:00"/>
    <d v="2026-07-31T00:00:00"/>
    <n v="75"/>
    <n v="5"/>
    <x v="0"/>
    <n v="375"/>
    <x v="1"/>
  </r>
  <r>
    <n v="241"/>
    <s v="CNTR100240"/>
    <x v="2"/>
    <s v="CMA CGM Rhone"/>
    <x v="0"/>
    <s v="20GP"/>
    <d v="2026-06-05T00:00:00"/>
    <n v="4"/>
    <d v="2026-06-06T00:00:00"/>
    <d v="2026-06-09T00:00:00"/>
    <n v="90"/>
    <n v="0"/>
    <x v="1"/>
    <s v="NA"/>
    <x v="1"/>
  </r>
  <r>
    <n v="242"/>
    <s v="CNTR100241"/>
    <x v="0"/>
    <s v="OOCL Bergen"/>
    <x v="4"/>
    <s v="20GP"/>
    <d v="2026-06-05T00:00:00"/>
    <n v="5"/>
    <m/>
    <d v="2026-06-10T00:00:00"/>
    <n v="75"/>
    <n v="76"/>
    <x v="2"/>
    <n v="5700"/>
    <x v="0"/>
  </r>
  <r>
    <n v="243"/>
    <s v="CNTR100242"/>
    <x v="1"/>
    <s v="Maersk Kiel"/>
    <x v="4"/>
    <s v="40GP"/>
    <d v="2026-06-29T00:00:00"/>
    <n v="5"/>
    <m/>
    <d v="2026-07-04T00:00:00"/>
    <n v="110"/>
    <n v="52"/>
    <x v="2"/>
    <n v="5720"/>
    <x v="0"/>
  </r>
  <r>
    <n v="244"/>
    <s v="CNTR100243"/>
    <x v="3"/>
    <s v="Maersk Kiel"/>
    <x v="7"/>
    <s v="40HC"/>
    <d v="2026-06-12T00:00:00"/>
    <n v="5"/>
    <d v="2026-06-19T00:00:00"/>
    <d v="2026-06-17T00:00:00"/>
    <n v="90"/>
    <n v="2"/>
    <x v="0"/>
    <n v="180"/>
    <x v="1"/>
  </r>
  <r>
    <n v="245"/>
    <s v="CNTR100244"/>
    <x v="2"/>
    <s v="Yang Ming Peak"/>
    <x v="6"/>
    <s v="40GP"/>
    <d v="2026-06-20T00:00:00"/>
    <n v="4"/>
    <d v="2026-06-28T00:00:00"/>
    <d v="2026-06-24T00:00:00"/>
    <n v="75"/>
    <n v="4"/>
    <x v="0"/>
    <n v="300"/>
    <x v="1"/>
  </r>
  <r>
    <n v="246"/>
    <s v="CNTR100245"/>
    <x v="2"/>
    <s v="Evergreen Ace"/>
    <x v="6"/>
    <s v="40HC"/>
    <d v="2026-07-30T00:00:00"/>
    <n v="5"/>
    <d v="2026-08-03T00:00:00"/>
    <d v="2026-08-04T00:00:00"/>
    <n v="75"/>
    <n v="0"/>
    <x v="1"/>
    <s v="NA"/>
    <x v="1"/>
  </r>
  <r>
    <n v="247"/>
    <s v="CNTR100246"/>
    <x v="1"/>
    <s v="Hapag Lloyd Bern"/>
    <x v="8"/>
    <s v="40RF"/>
    <d v="2026-08-04T00:00:00"/>
    <n v="3"/>
    <d v="2026-08-09T00:00:00"/>
    <d v="2026-08-07T00:00:00"/>
    <n v="150"/>
    <n v="2"/>
    <x v="0"/>
    <n v="300"/>
    <x v="1"/>
  </r>
  <r>
    <n v="248"/>
    <s v="CNTR100247"/>
    <x v="3"/>
    <s v="MSC Elena"/>
    <x v="4"/>
    <s v="40HC"/>
    <d v="2026-06-20T00:00:00"/>
    <n v="5"/>
    <d v="2026-06-27T00:00:00"/>
    <d v="2026-06-25T00:00:00"/>
    <n v="90"/>
    <n v="2"/>
    <x v="0"/>
    <n v="180"/>
    <x v="1"/>
  </r>
  <r>
    <n v="249"/>
    <s v="CNTR100248"/>
    <x v="3"/>
    <s v="ONE Kestrel"/>
    <x v="0"/>
    <s v="20GP"/>
    <d v="2026-07-03T00:00:00"/>
    <n v="5"/>
    <m/>
    <d v="2026-07-08T00:00:00"/>
    <n v="75"/>
    <n v="48"/>
    <x v="2"/>
    <n v="3600"/>
    <x v="0"/>
  </r>
  <r>
    <n v="250"/>
    <s v="CNTR100249"/>
    <x v="3"/>
    <s v="Maersk Kiel"/>
    <x v="9"/>
    <s v="40GP"/>
    <d v="2026-08-02T00:00:00"/>
    <n v="5"/>
    <d v="2026-08-03T00:00:00"/>
    <d v="2026-08-07T00:00:00"/>
    <n v="60"/>
    <n v="0"/>
    <x v="1"/>
    <s v="NA"/>
    <x v="1"/>
  </r>
  <r>
    <n v="251"/>
    <s v="CNTR100250"/>
    <x v="2"/>
    <s v="Evergreen Ace"/>
    <x v="3"/>
    <s v="40GP"/>
    <d v="2026-08-07T00:00:00"/>
    <n v="7"/>
    <d v="2026-08-12T00:00:00"/>
    <d v="2026-08-14T00:00:00"/>
    <n v="90"/>
    <n v="0"/>
    <x v="1"/>
    <s v="NA"/>
    <x v="1"/>
  </r>
  <r>
    <n v="252"/>
    <s v="CNTR100251"/>
    <x v="3"/>
    <s v="MSC Elena"/>
    <x v="6"/>
    <s v="40RF"/>
    <d v="2026-08-17T00:00:00"/>
    <n v="4"/>
    <d v="2026-08-19T00:00:00"/>
    <d v="2026-08-21T00:00:00"/>
    <n v="150"/>
    <n v="0"/>
    <x v="1"/>
    <s v="NA"/>
    <x v="1"/>
  </r>
  <r>
    <n v="253"/>
    <s v="CNTR100252"/>
    <x v="0"/>
    <s v="Yang Ming Peak"/>
    <x v="6"/>
    <s v="20GP"/>
    <d v="2026-07-03T00:00:00"/>
    <n v="6"/>
    <m/>
    <d v="2026-07-09T00:00:00"/>
    <n v="90"/>
    <n v="47"/>
    <x v="2"/>
    <n v="4230"/>
    <x v="0"/>
  </r>
  <r>
    <n v="254"/>
    <s v="CNTR100253"/>
    <x v="3"/>
    <s v="Maersk Kiel"/>
    <x v="2"/>
    <s v="40HC"/>
    <d v="2026-08-20T00:00:00"/>
    <n v="5"/>
    <d v="2026-08-21T00:00:00"/>
    <d v="2026-08-25T00:00:00"/>
    <n v="90"/>
    <n v="0"/>
    <x v="1"/>
    <s v="NA"/>
    <x v="1"/>
  </r>
  <r>
    <n v="255"/>
    <s v="CNTR100254"/>
    <x v="2"/>
    <s v="COSCO Harmony"/>
    <x v="6"/>
    <s v="20GP"/>
    <d v="2026-07-10T00:00:00"/>
    <n v="5"/>
    <d v="2026-07-11T00:00:00"/>
    <d v="2026-07-15T00:00:00"/>
    <n v="90"/>
    <n v="0"/>
    <x v="1"/>
    <s v="NA"/>
    <x v="1"/>
  </r>
  <r>
    <n v="256"/>
    <s v="CNTR100255"/>
    <x v="2"/>
    <s v="ZIM Voyager"/>
    <x v="7"/>
    <s v="40HC"/>
    <d v="2026-08-11T00:00:00"/>
    <n v="6"/>
    <d v="2026-08-24T00:00:00"/>
    <d v="2026-08-17T00:00:00"/>
    <n v="75"/>
    <n v="7"/>
    <x v="0"/>
    <n v="525"/>
    <x v="1"/>
  </r>
  <r>
    <n v="257"/>
    <s v="CNTR100256"/>
    <x v="1"/>
    <s v="OOCL Bergen"/>
    <x v="6"/>
    <s v="40GP"/>
    <d v="2026-06-06T00:00:00"/>
    <n v="5"/>
    <m/>
    <d v="2026-06-11T00:00:00"/>
    <n v="90"/>
    <n v="75"/>
    <x v="2"/>
    <n v="6750"/>
    <x v="0"/>
  </r>
  <r>
    <n v="258"/>
    <s v="CNTR100257"/>
    <x v="0"/>
    <s v="COSCO Harmony"/>
    <x v="7"/>
    <s v="20GP"/>
    <d v="2026-08-12T00:00:00"/>
    <n v="5"/>
    <m/>
    <d v="2026-08-17T00:00:00"/>
    <n v="130"/>
    <n v="8"/>
    <x v="0"/>
    <n v="1040"/>
    <x v="0"/>
  </r>
  <r>
    <n v="259"/>
    <s v="CNTR100258"/>
    <x v="2"/>
    <s v="COSCO Harmony"/>
    <x v="1"/>
    <s v="40RF"/>
    <d v="2026-08-11T00:00:00"/>
    <n v="4"/>
    <d v="2026-08-16T00:00:00"/>
    <d v="2026-08-15T00:00:00"/>
    <n v="180"/>
    <n v="1"/>
    <x v="0"/>
    <n v="180"/>
    <x v="1"/>
  </r>
  <r>
    <n v="260"/>
    <s v="CNTR100259"/>
    <x v="3"/>
    <s v="MSC Elena"/>
    <x v="8"/>
    <s v="20GP"/>
    <d v="2026-06-26T00:00:00"/>
    <n v="6"/>
    <d v="2026-07-02T00:00:00"/>
    <d v="2026-07-02T00:00:00"/>
    <n v="60"/>
    <n v="0"/>
    <x v="1"/>
    <s v="NA"/>
    <x v="1"/>
  </r>
  <r>
    <n v="261"/>
    <s v="CNTR100260"/>
    <x v="2"/>
    <s v="Maersk Kiel"/>
    <x v="9"/>
    <s v="40GP"/>
    <d v="2026-07-26T00:00:00"/>
    <n v="5"/>
    <d v="2026-07-29T00:00:00"/>
    <d v="2026-07-31T00:00:00"/>
    <n v="110"/>
    <n v="0"/>
    <x v="1"/>
    <s v="NA"/>
    <x v="1"/>
  </r>
  <r>
    <n v="262"/>
    <s v="CNTR100261"/>
    <x v="2"/>
    <s v="Maersk Kiel"/>
    <x v="7"/>
    <s v="40RF"/>
    <d v="2026-05-28T00:00:00"/>
    <n v="4"/>
    <d v="2026-05-31T00:00:00"/>
    <d v="2026-06-01T00:00:00"/>
    <n v="120"/>
    <n v="0"/>
    <x v="1"/>
    <s v="NA"/>
    <x v="1"/>
  </r>
  <r>
    <n v="263"/>
    <s v="CNTR100262"/>
    <x v="0"/>
    <s v="ONE Kestrel"/>
    <x v="0"/>
    <s v="40GP"/>
    <d v="2026-07-13T00:00:00"/>
    <n v="6"/>
    <d v="2026-07-18T00:00:00"/>
    <d v="2026-07-19T00:00:00"/>
    <n v="130"/>
    <n v="0"/>
    <x v="1"/>
    <s v="NA"/>
    <x v="1"/>
  </r>
  <r>
    <n v="264"/>
    <s v="CNTR100263"/>
    <x v="0"/>
    <s v="Hapag Lloyd Bern"/>
    <x v="9"/>
    <s v="20GP"/>
    <d v="2026-07-14T00:00:00"/>
    <n v="7"/>
    <m/>
    <d v="2026-07-21T00:00:00"/>
    <n v="90"/>
    <n v="35"/>
    <x v="2"/>
    <n v="3150"/>
    <x v="0"/>
  </r>
  <r>
    <n v="265"/>
    <s v="CNTR100264"/>
    <x v="3"/>
    <s v="Hapag Lloyd Bern"/>
    <x v="7"/>
    <s v="40HC"/>
    <d v="2026-08-11T00:00:00"/>
    <n v="7"/>
    <m/>
    <d v="2026-08-18T00:00:00"/>
    <n v="90"/>
    <n v="7"/>
    <x v="0"/>
    <n v="630"/>
    <x v="0"/>
  </r>
  <r>
    <n v="266"/>
    <s v="CNTR100265"/>
    <x v="2"/>
    <s v="OOCL Bergen"/>
    <x v="9"/>
    <s v="20GP"/>
    <d v="2026-07-27T00:00:00"/>
    <n v="5"/>
    <d v="2026-07-28T00:00:00"/>
    <d v="2026-08-01T00:00:00"/>
    <n v="110"/>
    <n v="0"/>
    <x v="1"/>
    <s v="NA"/>
    <x v="1"/>
  </r>
  <r>
    <n v="267"/>
    <s v="CNTR100266"/>
    <x v="1"/>
    <s v="MSC Elena"/>
    <x v="7"/>
    <s v="40HC"/>
    <d v="2026-05-30T00:00:00"/>
    <n v="7"/>
    <m/>
    <d v="2026-06-06T00:00:00"/>
    <n v="130"/>
    <n v="80"/>
    <x v="2"/>
    <n v="10400"/>
    <x v="0"/>
  </r>
  <r>
    <n v="268"/>
    <s v="CNTR100267"/>
    <x v="1"/>
    <s v="ZIM Voyager"/>
    <x v="6"/>
    <s v="40HC"/>
    <d v="2026-08-09T00:00:00"/>
    <n v="7"/>
    <m/>
    <d v="2026-08-16T00:00:00"/>
    <n v="75"/>
    <n v="9"/>
    <x v="0"/>
    <n v="675"/>
    <x v="0"/>
  </r>
  <r>
    <n v="269"/>
    <s v="CNTR100268"/>
    <x v="1"/>
    <s v="Evergreen Ace"/>
    <x v="6"/>
    <s v="40HC"/>
    <d v="2026-07-11T00:00:00"/>
    <n v="5"/>
    <m/>
    <d v="2026-07-16T00:00:00"/>
    <n v="130"/>
    <n v="40"/>
    <x v="2"/>
    <n v="5200"/>
    <x v="0"/>
  </r>
  <r>
    <n v="270"/>
    <s v="CNTR100269"/>
    <x v="0"/>
    <s v="CMA CGM Rhone"/>
    <x v="4"/>
    <s v="40GP"/>
    <d v="2026-06-29T00:00:00"/>
    <n v="4"/>
    <d v="2026-07-11T00:00:00"/>
    <d v="2026-07-03T00:00:00"/>
    <n v="90"/>
    <n v="8"/>
    <x v="0"/>
    <n v="720"/>
    <x v="1"/>
  </r>
  <r>
    <n v="271"/>
    <s v="CNTR100270"/>
    <x v="2"/>
    <s v="ZIM Voyager"/>
    <x v="8"/>
    <s v="40HC"/>
    <d v="2026-07-24T00:00:00"/>
    <n v="4"/>
    <d v="2026-07-26T00:00:00"/>
    <d v="2026-07-28T00:00:00"/>
    <n v="130"/>
    <n v="0"/>
    <x v="1"/>
    <s v="NA"/>
    <x v="1"/>
  </r>
  <r>
    <n v="272"/>
    <s v="CNTR100271"/>
    <x v="3"/>
    <s v="Hapag Lloyd Bern"/>
    <x v="1"/>
    <s v="40HC"/>
    <d v="2026-06-27T00:00:00"/>
    <n v="7"/>
    <d v="2026-07-08T00:00:00"/>
    <d v="2026-07-04T00:00:00"/>
    <n v="110"/>
    <n v="4"/>
    <x v="0"/>
    <n v="440"/>
    <x v="1"/>
  </r>
  <r>
    <n v="273"/>
    <s v="CNTR100272"/>
    <x v="2"/>
    <s v="Evergreen Ace"/>
    <x v="7"/>
    <s v="40GP"/>
    <d v="2026-07-13T00:00:00"/>
    <n v="5"/>
    <m/>
    <d v="2026-07-18T00:00:00"/>
    <n v="130"/>
    <n v="38"/>
    <x v="2"/>
    <n v="4940"/>
    <x v="0"/>
  </r>
  <r>
    <n v="274"/>
    <s v="CNTR100273"/>
    <x v="2"/>
    <s v="ZIM Voyager"/>
    <x v="0"/>
    <s v="20GP"/>
    <d v="2026-07-10T00:00:00"/>
    <n v="5"/>
    <d v="2026-07-15T00:00:00"/>
    <d v="2026-07-15T00:00:00"/>
    <n v="110"/>
    <n v="0"/>
    <x v="1"/>
    <s v="NA"/>
    <x v="1"/>
  </r>
  <r>
    <n v="275"/>
    <s v="CNTR100274"/>
    <x v="0"/>
    <s v="Evergreen Ace"/>
    <x v="1"/>
    <s v="40HC"/>
    <d v="2026-08-17T00:00:00"/>
    <n v="4"/>
    <m/>
    <d v="2026-08-21T00:00:00"/>
    <n v="60"/>
    <n v="4"/>
    <x v="0"/>
    <n v="240"/>
    <x v="0"/>
  </r>
  <r>
    <n v="276"/>
    <s v="CNTR100275"/>
    <x v="0"/>
    <s v="Yang Ming Peak"/>
    <x v="7"/>
    <s v="40RF"/>
    <d v="2026-06-29T00:00:00"/>
    <n v="4"/>
    <d v="2026-07-08T00:00:00"/>
    <d v="2026-07-03T00:00:00"/>
    <n v="120"/>
    <n v="5"/>
    <x v="0"/>
    <n v="600"/>
    <x v="1"/>
  </r>
  <r>
    <n v="277"/>
    <s v="CNTR100276"/>
    <x v="3"/>
    <s v="Maersk Kiel"/>
    <x v="0"/>
    <s v="40HC"/>
    <d v="2026-05-31T00:00:00"/>
    <n v="5"/>
    <m/>
    <d v="2026-06-05T00:00:00"/>
    <n v="75"/>
    <n v="81"/>
    <x v="2"/>
    <n v="6075"/>
    <x v="0"/>
  </r>
  <r>
    <n v="278"/>
    <s v="CNTR100277"/>
    <x v="0"/>
    <s v="COSCO Harmony"/>
    <x v="6"/>
    <s v="40RF"/>
    <d v="2026-07-21T00:00:00"/>
    <n v="4"/>
    <d v="2026-07-26T00:00:00"/>
    <d v="2026-07-25T00:00:00"/>
    <n v="120"/>
    <n v="1"/>
    <x v="0"/>
    <n v="120"/>
    <x v="1"/>
  </r>
  <r>
    <n v="279"/>
    <s v="CNTR100278"/>
    <x v="1"/>
    <s v="Hapag Lloyd Bern"/>
    <x v="9"/>
    <s v="20GP"/>
    <d v="2026-06-22T00:00:00"/>
    <n v="6"/>
    <d v="2026-06-26T00:00:00"/>
    <d v="2026-06-28T00:00:00"/>
    <n v="130"/>
    <n v="0"/>
    <x v="1"/>
    <s v="NA"/>
    <x v="1"/>
  </r>
  <r>
    <n v="280"/>
    <s v="CNTR100279"/>
    <x v="3"/>
    <s v="Hapag Lloyd Bern"/>
    <x v="8"/>
    <s v="20GP"/>
    <d v="2026-07-07T00:00:00"/>
    <n v="6"/>
    <d v="2026-07-12T00:00:00"/>
    <d v="2026-07-13T00:00:00"/>
    <n v="90"/>
    <n v="0"/>
    <x v="1"/>
    <s v="NA"/>
    <x v="1"/>
  </r>
  <r>
    <n v="281"/>
    <s v="CNTR100280"/>
    <x v="2"/>
    <s v="COSCO Harmony"/>
    <x v="9"/>
    <s v="40RF"/>
    <d v="2026-06-03T00:00:00"/>
    <n v="4"/>
    <m/>
    <d v="2026-06-07T00:00:00"/>
    <n v="180"/>
    <n v="79"/>
    <x v="2"/>
    <n v="14220"/>
    <x v="0"/>
  </r>
  <r>
    <n v="282"/>
    <s v="CNTR100281"/>
    <x v="2"/>
    <s v="Hapag Lloyd Bern"/>
    <x v="4"/>
    <s v="40HC"/>
    <d v="2026-08-01T00:00:00"/>
    <n v="7"/>
    <d v="2026-08-11T00:00:00"/>
    <d v="2026-08-08T00:00:00"/>
    <n v="75"/>
    <n v="3"/>
    <x v="0"/>
    <n v="225"/>
    <x v="1"/>
  </r>
  <r>
    <n v="283"/>
    <s v="CNTR100282"/>
    <x v="2"/>
    <s v="ZIM Voyager"/>
    <x v="0"/>
    <s v="40GP"/>
    <d v="2026-08-13T00:00:00"/>
    <n v="5"/>
    <d v="2026-08-22T00:00:00"/>
    <d v="2026-08-18T00:00:00"/>
    <n v="90"/>
    <n v="4"/>
    <x v="0"/>
    <n v="360"/>
    <x v="1"/>
  </r>
  <r>
    <n v="284"/>
    <s v="CNTR100283"/>
    <x v="3"/>
    <s v="Hapag Lloyd Bern"/>
    <x v="7"/>
    <s v="20GP"/>
    <d v="2026-08-18T00:00:00"/>
    <n v="5"/>
    <d v="2026-08-19T00:00:00"/>
    <d v="2026-08-23T00:00:00"/>
    <n v="110"/>
    <n v="0"/>
    <x v="1"/>
    <s v="NA"/>
    <x v="1"/>
  </r>
  <r>
    <n v="285"/>
    <s v="CNTR100284"/>
    <x v="0"/>
    <s v="COSCO Harmony"/>
    <x v="8"/>
    <s v="40RF"/>
    <d v="2026-06-19T00:00:00"/>
    <n v="4"/>
    <d v="2026-06-20T00:00:00"/>
    <d v="2026-06-23T00:00:00"/>
    <n v="120"/>
    <n v="0"/>
    <x v="1"/>
    <s v="NA"/>
    <x v="1"/>
  </r>
  <r>
    <n v="286"/>
    <s v="CNTR100285"/>
    <x v="0"/>
    <s v="Yang Ming Peak"/>
    <x v="7"/>
    <s v="20GP"/>
    <d v="2026-06-18T00:00:00"/>
    <n v="5"/>
    <m/>
    <d v="2026-06-23T00:00:00"/>
    <n v="90"/>
    <n v="63"/>
    <x v="2"/>
    <n v="5670"/>
    <x v="0"/>
  </r>
  <r>
    <n v="287"/>
    <s v="CNTR100286"/>
    <x v="2"/>
    <s v="COSCO Harmony"/>
    <x v="2"/>
    <s v="40GP"/>
    <d v="2026-07-31T00:00:00"/>
    <n v="6"/>
    <d v="2026-08-07T00:00:00"/>
    <d v="2026-08-06T00:00:00"/>
    <n v="110"/>
    <n v="1"/>
    <x v="0"/>
    <n v="110"/>
    <x v="1"/>
  </r>
  <r>
    <n v="288"/>
    <s v="CNTR100287"/>
    <x v="0"/>
    <s v="COSCO Harmony"/>
    <x v="6"/>
    <s v="40GP"/>
    <d v="2026-07-09T00:00:00"/>
    <n v="5"/>
    <d v="2026-07-17T00:00:00"/>
    <d v="2026-07-14T00:00:00"/>
    <n v="75"/>
    <n v="3"/>
    <x v="0"/>
    <n v="225"/>
    <x v="1"/>
  </r>
  <r>
    <n v="289"/>
    <s v="CNTR100288"/>
    <x v="1"/>
    <s v="Evergreen Ace"/>
    <x v="5"/>
    <s v="40RF"/>
    <d v="2026-06-05T00:00:00"/>
    <n v="3"/>
    <d v="2026-06-09T00:00:00"/>
    <d v="2026-06-08T00:00:00"/>
    <n v="180"/>
    <n v="1"/>
    <x v="0"/>
    <n v="180"/>
    <x v="1"/>
  </r>
  <r>
    <n v="290"/>
    <s v="CNTR100289"/>
    <x v="3"/>
    <s v="COSCO Harmony"/>
    <x v="1"/>
    <s v="40RF"/>
    <d v="2026-08-01T00:00:00"/>
    <n v="3"/>
    <d v="2026-08-02T00:00:00"/>
    <d v="2026-08-04T00:00:00"/>
    <n v="180"/>
    <n v="0"/>
    <x v="1"/>
    <s v="NA"/>
    <x v="1"/>
  </r>
  <r>
    <n v="291"/>
    <s v="CNTR100290"/>
    <x v="1"/>
    <s v="Hapag Lloyd Bern"/>
    <x v="7"/>
    <s v="20GP"/>
    <d v="2026-07-16T00:00:00"/>
    <n v="7"/>
    <m/>
    <d v="2026-07-23T00:00:00"/>
    <n v="90"/>
    <n v="33"/>
    <x v="2"/>
    <n v="2970"/>
    <x v="0"/>
  </r>
  <r>
    <n v="292"/>
    <s v="CNTR100291"/>
    <x v="2"/>
    <s v="CMA CGM Rhone"/>
    <x v="2"/>
    <s v="20GP"/>
    <d v="2026-05-31T00:00:00"/>
    <n v="4"/>
    <m/>
    <d v="2026-06-04T00:00:00"/>
    <n v="110"/>
    <n v="82"/>
    <x v="2"/>
    <n v="9020"/>
    <x v="0"/>
  </r>
  <r>
    <n v="293"/>
    <s v="CNTR100292"/>
    <x v="0"/>
    <s v="COSCO Harmony"/>
    <x v="9"/>
    <s v="40GP"/>
    <d v="2026-06-12T00:00:00"/>
    <n v="5"/>
    <d v="2026-06-14T00:00:00"/>
    <d v="2026-06-17T00:00:00"/>
    <n v="60"/>
    <n v="0"/>
    <x v="1"/>
    <s v="NA"/>
    <x v="1"/>
  </r>
  <r>
    <n v="294"/>
    <s v="CNTR100293"/>
    <x v="3"/>
    <s v="Maersk Kiel"/>
    <x v="9"/>
    <s v="20GP"/>
    <d v="2026-08-21T00:00:00"/>
    <n v="4"/>
    <m/>
    <d v="2026-08-25T00:00:00"/>
    <n v="130"/>
    <n v="0"/>
    <x v="1"/>
    <s v="NA"/>
    <x v="0"/>
  </r>
  <r>
    <n v="295"/>
    <s v="CNTR100294"/>
    <x v="2"/>
    <s v="Yang Ming Peak"/>
    <x v="2"/>
    <s v="40RF"/>
    <d v="2026-08-17T00:00:00"/>
    <n v="4"/>
    <m/>
    <d v="2026-08-21T00:00:00"/>
    <n v="180"/>
    <n v="4"/>
    <x v="0"/>
    <n v="720"/>
    <x v="0"/>
  </r>
  <r>
    <n v="296"/>
    <s v="CNTR100295"/>
    <x v="0"/>
    <s v="Maersk Kiel"/>
    <x v="1"/>
    <s v="40HC"/>
    <d v="2026-07-20T00:00:00"/>
    <n v="5"/>
    <m/>
    <d v="2026-07-25T00:00:00"/>
    <n v="60"/>
    <n v="31"/>
    <x v="2"/>
    <n v="1860"/>
    <x v="0"/>
  </r>
  <r>
    <n v="297"/>
    <s v="CNTR100296"/>
    <x v="1"/>
    <s v="ONE Kestrel"/>
    <x v="1"/>
    <s v="40RF"/>
    <d v="2026-06-06T00:00:00"/>
    <n v="4"/>
    <m/>
    <d v="2026-06-10T00:00:00"/>
    <n v="120"/>
    <n v="76"/>
    <x v="2"/>
    <n v="9120"/>
    <x v="0"/>
  </r>
  <r>
    <n v="298"/>
    <s v="CNTR100297"/>
    <x v="2"/>
    <s v="ZIM Voyager"/>
    <x v="7"/>
    <s v="40RF"/>
    <d v="2026-08-18T00:00:00"/>
    <n v="4"/>
    <m/>
    <d v="2026-08-22T00:00:00"/>
    <n v="120"/>
    <n v="3"/>
    <x v="0"/>
    <n v="360"/>
    <x v="0"/>
  </r>
  <r>
    <n v="299"/>
    <s v="CNTR100298"/>
    <x v="1"/>
    <s v="Maersk Kiel"/>
    <x v="2"/>
    <s v="40GP"/>
    <d v="2026-07-15T00:00:00"/>
    <n v="4"/>
    <d v="2026-07-20T00:00:00"/>
    <d v="2026-07-19T00:00:00"/>
    <n v="130"/>
    <n v="1"/>
    <x v="0"/>
    <n v="130"/>
    <x v="1"/>
  </r>
  <r>
    <n v="300"/>
    <s v="CNTR100299"/>
    <x v="0"/>
    <s v="Yang Ming Peak"/>
    <x v="6"/>
    <s v="40GP"/>
    <d v="2026-05-30T00:00:00"/>
    <n v="6"/>
    <d v="2026-06-01T00:00:00"/>
    <d v="2026-06-05T00:00:00"/>
    <n v="130"/>
    <n v="0"/>
    <x v="1"/>
    <s v="NA"/>
    <x v="1"/>
  </r>
  <r>
    <n v="301"/>
    <s v="CNTR100300"/>
    <x v="3"/>
    <s v="Hapag Lloyd Bern"/>
    <x v="8"/>
    <s v="40RF"/>
    <d v="2026-06-23T00:00:00"/>
    <n v="3"/>
    <d v="2026-06-26T00:00:00"/>
    <d v="2026-06-26T00:00:00"/>
    <n v="150"/>
    <n v="0"/>
    <x v="1"/>
    <s v="NA"/>
    <x v="1"/>
  </r>
  <r>
    <n v="302"/>
    <s v="CNTR100301"/>
    <x v="2"/>
    <s v="Maersk Kiel"/>
    <x v="7"/>
    <s v="40HC"/>
    <d v="2026-07-05T00:00:00"/>
    <n v="7"/>
    <d v="2026-07-14T00:00:00"/>
    <d v="2026-07-12T00:00:00"/>
    <n v="90"/>
    <n v="2"/>
    <x v="0"/>
    <n v="180"/>
    <x v="1"/>
  </r>
  <r>
    <n v="303"/>
    <s v="CNTR100302"/>
    <x v="2"/>
    <s v="ONE Kestrel"/>
    <x v="0"/>
    <s v="20GP"/>
    <d v="2026-08-09T00:00:00"/>
    <n v="6"/>
    <d v="2026-08-13T00:00:00"/>
    <d v="2026-08-15T00:00:00"/>
    <n v="75"/>
    <n v="0"/>
    <x v="1"/>
    <s v="NA"/>
    <x v="1"/>
  </r>
  <r>
    <n v="304"/>
    <s v="CNTR100303"/>
    <x v="2"/>
    <s v="Evergreen Ace"/>
    <x v="5"/>
    <s v="40GP"/>
    <d v="2026-06-30T00:00:00"/>
    <n v="4"/>
    <m/>
    <d v="2026-07-04T00:00:00"/>
    <n v="60"/>
    <n v="52"/>
    <x v="2"/>
    <n v="3120"/>
    <x v="0"/>
  </r>
  <r>
    <n v="305"/>
    <s v="CNTR100304"/>
    <x v="0"/>
    <s v="Maersk Kiel"/>
    <x v="1"/>
    <s v="40GP"/>
    <d v="2026-08-13T00:00:00"/>
    <n v="5"/>
    <m/>
    <d v="2026-08-18T00:00:00"/>
    <n v="75"/>
    <n v="7"/>
    <x v="0"/>
    <n v="525"/>
    <x v="0"/>
  </r>
  <r>
    <n v="306"/>
    <s v="CNTR100305"/>
    <x v="2"/>
    <s v="Yang Ming Peak"/>
    <x v="1"/>
    <s v="40GP"/>
    <d v="2026-07-08T00:00:00"/>
    <n v="5"/>
    <m/>
    <d v="2026-07-13T00:00:00"/>
    <n v="110"/>
    <n v="43"/>
    <x v="2"/>
    <n v="4730"/>
    <x v="0"/>
  </r>
  <r>
    <n v="307"/>
    <s v="CNTR100306"/>
    <x v="2"/>
    <s v="ZIM Voyager"/>
    <x v="1"/>
    <s v="40HC"/>
    <d v="2026-06-25T00:00:00"/>
    <n v="7"/>
    <m/>
    <d v="2026-07-02T00:00:00"/>
    <n v="110"/>
    <n v="54"/>
    <x v="2"/>
    <n v="5940"/>
    <x v="0"/>
  </r>
  <r>
    <n v="308"/>
    <s v="CNTR100307"/>
    <x v="3"/>
    <s v="Evergreen Ace"/>
    <x v="2"/>
    <s v="40RF"/>
    <d v="2026-06-10T00:00:00"/>
    <n v="4"/>
    <d v="2026-06-16T00:00:00"/>
    <d v="2026-06-14T00:00:00"/>
    <n v="150"/>
    <n v="2"/>
    <x v="0"/>
    <n v="300"/>
    <x v="1"/>
  </r>
  <r>
    <n v="309"/>
    <s v="CNTR100308"/>
    <x v="3"/>
    <s v="Maersk Kiel"/>
    <x v="6"/>
    <s v="20GP"/>
    <d v="2026-06-16T00:00:00"/>
    <n v="5"/>
    <d v="2026-06-21T00:00:00"/>
    <d v="2026-06-21T00:00:00"/>
    <n v="130"/>
    <n v="0"/>
    <x v="1"/>
    <s v="NA"/>
    <x v="1"/>
  </r>
  <r>
    <n v="310"/>
    <s v="CNTR100309"/>
    <x v="3"/>
    <s v="Evergreen Ace"/>
    <x v="7"/>
    <s v="40RF"/>
    <d v="2026-08-13T00:00:00"/>
    <n v="4"/>
    <m/>
    <d v="2026-08-17T00:00:00"/>
    <n v="120"/>
    <n v="8"/>
    <x v="0"/>
    <n v="960"/>
    <x v="0"/>
  </r>
  <r>
    <n v="311"/>
    <s v="CNTR100310"/>
    <x v="0"/>
    <s v="OOCL Bergen"/>
    <x v="6"/>
    <s v="20GP"/>
    <d v="2026-06-14T00:00:00"/>
    <n v="5"/>
    <d v="2026-06-18T00:00:00"/>
    <d v="2026-06-19T00:00:00"/>
    <n v="90"/>
    <n v="0"/>
    <x v="1"/>
    <s v="NA"/>
    <x v="1"/>
  </r>
  <r>
    <n v="312"/>
    <s v="CNTR100311"/>
    <x v="3"/>
    <s v="CMA CGM Rhone"/>
    <x v="8"/>
    <s v="20GP"/>
    <d v="2026-07-27T00:00:00"/>
    <n v="5"/>
    <m/>
    <d v="2026-08-01T00:00:00"/>
    <n v="110"/>
    <n v="24"/>
    <x v="2"/>
    <n v="2640"/>
    <x v="0"/>
  </r>
  <r>
    <n v="313"/>
    <s v="CNTR100312"/>
    <x v="0"/>
    <s v="ONE Kestrel"/>
    <x v="0"/>
    <s v="40RF"/>
    <d v="2026-06-05T00:00:00"/>
    <n v="4"/>
    <d v="2026-06-11T00:00:00"/>
    <d v="2026-06-09T00:00:00"/>
    <n v="120"/>
    <n v="2"/>
    <x v="0"/>
    <n v="240"/>
    <x v="1"/>
  </r>
  <r>
    <n v="314"/>
    <s v="CNTR100313"/>
    <x v="0"/>
    <s v="ONE Kestrel"/>
    <x v="0"/>
    <s v="20GP"/>
    <d v="2026-06-01T00:00:00"/>
    <n v="6"/>
    <m/>
    <d v="2026-06-07T00:00:00"/>
    <n v="110"/>
    <n v="79"/>
    <x v="2"/>
    <n v="8690"/>
    <x v="0"/>
  </r>
  <r>
    <n v="315"/>
    <s v="CNTR100314"/>
    <x v="0"/>
    <s v="CMA CGM Rhone"/>
    <x v="3"/>
    <s v="40HC"/>
    <d v="2026-08-10T00:00:00"/>
    <n v="5"/>
    <d v="2026-08-17T00:00:00"/>
    <d v="2026-08-15T00:00:00"/>
    <n v="75"/>
    <n v="2"/>
    <x v="0"/>
    <n v="150"/>
    <x v="1"/>
  </r>
  <r>
    <n v="316"/>
    <s v="CNTR100315"/>
    <x v="1"/>
    <s v="Hapag Lloyd Bern"/>
    <x v="7"/>
    <s v="40GP"/>
    <d v="2026-06-30T00:00:00"/>
    <n v="5"/>
    <d v="2026-07-08T00:00:00"/>
    <d v="2026-07-05T00:00:00"/>
    <n v="130"/>
    <n v="3"/>
    <x v="0"/>
    <n v="390"/>
    <x v="1"/>
  </r>
  <r>
    <n v="317"/>
    <s v="CNTR100316"/>
    <x v="0"/>
    <s v="Maersk Kiel"/>
    <x v="2"/>
    <s v="40GP"/>
    <d v="2026-06-13T00:00:00"/>
    <n v="6"/>
    <d v="2026-06-24T00:00:00"/>
    <d v="2026-06-19T00:00:00"/>
    <n v="90"/>
    <n v="5"/>
    <x v="0"/>
    <n v="450"/>
    <x v="1"/>
  </r>
  <r>
    <n v="318"/>
    <s v="CNTR100317"/>
    <x v="2"/>
    <s v="ZIM Voyager"/>
    <x v="5"/>
    <s v="20GP"/>
    <d v="2026-08-10T00:00:00"/>
    <n v="5"/>
    <d v="2026-08-18T00:00:00"/>
    <d v="2026-08-15T00:00:00"/>
    <n v="60"/>
    <n v="3"/>
    <x v="0"/>
    <n v="180"/>
    <x v="1"/>
  </r>
  <r>
    <n v="319"/>
    <s v="CNTR100318"/>
    <x v="3"/>
    <s v="CMA CGM Rhone"/>
    <x v="7"/>
    <s v="40HC"/>
    <d v="2026-07-29T00:00:00"/>
    <n v="5"/>
    <d v="2026-07-30T00:00:00"/>
    <d v="2026-08-03T00:00:00"/>
    <n v="60"/>
    <n v="0"/>
    <x v="1"/>
    <s v="NA"/>
    <x v="1"/>
  </r>
  <r>
    <n v="320"/>
    <s v="CNTR100319"/>
    <x v="2"/>
    <s v="Hapag Lloyd Bern"/>
    <x v="2"/>
    <s v="40GP"/>
    <d v="2026-07-20T00:00:00"/>
    <n v="7"/>
    <m/>
    <d v="2026-07-27T00:00:00"/>
    <n v="110"/>
    <n v="29"/>
    <x v="2"/>
    <n v="3190"/>
    <x v="0"/>
  </r>
  <r>
    <n v="321"/>
    <s v="CNTR100320"/>
    <x v="2"/>
    <s v="ONE Kestrel"/>
    <x v="9"/>
    <s v="40RF"/>
    <d v="2026-06-20T00:00:00"/>
    <n v="3"/>
    <d v="2026-06-24T00:00:00"/>
    <d v="2026-06-23T00:00:00"/>
    <n v="120"/>
    <n v="1"/>
    <x v="0"/>
    <n v="120"/>
    <x v="1"/>
  </r>
  <r>
    <n v="322"/>
    <s v="CNTR100321"/>
    <x v="2"/>
    <s v="OOCL Bergen"/>
    <x v="7"/>
    <s v="40HC"/>
    <d v="2026-08-02T00:00:00"/>
    <n v="7"/>
    <m/>
    <d v="2026-08-09T00:00:00"/>
    <n v="75"/>
    <n v="16"/>
    <x v="2"/>
    <n v="1200"/>
    <x v="0"/>
  </r>
  <r>
    <n v="323"/>
    <s v="CNTR100322"/>
    <x v="0"/>
    <s v="OOCL Bergen"/>
    <x v="7"/>
    <s v="40GP"/>
    <d v="2026-07-10T00:00:00"/>
    <n v="5"/>
    <d v="2026-07-20T00:00:00"/>
    <d v="2026-07-15T00:00:00"/>
    <n v="75"/>
    <n v="5"/>
    <x v="0"/>
    <n v="375"/>
    <x v="1"/>
  </r>
  <r>
    <n v="324"/>
    <s v="CNTR100323"/>
    <x v="0"/>
    <s v="Maersk Kiel"/>
    <x v="3"/>
    <s v="40RF"/>
    <d v="2026-05-31T00:00:00"/>
    <n v="4"/>
    <m/>
    <d v="2026-06-04T00:00:00"/>
    <n v="120"/>
    <n v="82"/>
    <x v="2"/>
    <n v="9840"/>
    <x v="0"/>
  </r>
  <r>
    <n v="325"/>
    <s v="CNTR100324"/>
    <x v="1"/>
    <s v="COSCO Harmony"/>
    <x v="4"/>
    <s v="40GP"/>
    <d v="2026-06-03T00:00:00"/>
    <n v="5"/>
    <d v="2026-06-12T00:00:00"/>
    <d v="2026-06-08T00:00:00"/>
    <n v="130"/>
    <n v="4"/>
    <x v="0"/>
    <n v="520"/>
    <x v="1"/>
  </r>
  <r>
    <n v="326"/>
    <s v="CNTR100325"/>
    <x v="3"/>
    <s v="ONE Kestrel"/>
    <x v="6"/>
    <s v="40RF"/>
    <d v="2026-08-03T00:00:00"/>
    <n v="4"/>
    <d v="2026-08-11T00:00:00"/>
    <d v="2026-08-07T00:00:00"/>
    <n v="180"/>
    <n v="4"/>
    <x v="0"/>
    <n v="720"/>
    <x v="1"/>
  </r>
  <r>
    <n v="327"/>
    <s v="CNTR100326"/>
    <x v="2"/>
    <s v="Hapag Lloyd Bern"/>
    <x v="1"/>
    <s v="20GP"/>
    <d v="2026-05-28T00:00:00"/>
    <n v="5"/>
    <m/>
    <d v="2026-06-02T00:00:00"/>
    <n v="110"/>
    <n v="84"/>
    <x v="2"/>
    <n v="9240"/>
    <x v="0"/>
  </r>
  <r>
    <n v="328"/>
    <s v="CNTR100327"/>
    <x v="3"/>
    <s v="MSC Elena"/>
    <x v="7"/>
    <s v="40HC"/>
    <d v="2026-07-17T00:00:00"/>
    <n v="5"/>
    <m/>
    <d v="2026-07-22T00:00:00"/>
    <n v="90"/>
    <n v="34"/>
    <x v="2"/>
    <n v="3060"/>
    <x v="0"/>
  </r>
  <r>
    <n v="329"/>
    <s v="CNTR100328"/>
    <x v="2"/>
    <s v="CMA CGM Rhone"/>
    <x v="3"/>
    <s v="40HC"/>
    <d v="2026-06-29T00:00:00"/>
    <n v="6"/>
    <d v="2026-07-03T00:00:00"/>
    <d v="2026-07-05T00:00:00"/>
    <n v="60"/>
    <n v="0"/>
    <x v="1"/>
    <s v="NA"/>
    <x v="1"/>
  </r>
  <r>
    <n v="330"/>
    <s v="CNTR100329"/>
    <x v="1"/>
    <s v="Yang Ming Peak"/>
    <x v="4"/>
    <s v="20GP"/>
    <d v="2026-07-13T00:00:00"/>
    <n v="7"/>
    <m/>
    <d v="2026-07-20T00:00:00"/>
    <n v="110"/>
    <n v="36"/>
    <x v="2"/>
    <n v="3960"/>
    <x v="0"/>
  </r>
  <r>
    <n v="331"/>
    <s v="CNTR100330"/>
    <x v="2"/>
    <s v="Yang Ming Peak"/>
    <x v="1"/>
    <s v="40HC"/>
    <d v="2026-08-23T00:00:00"/>
    <n v="5"/>
    <d v="2026-08-25T00:00:00"/>
    <d v="2026-08-28T00:00:00"/>
    <n v="90"/>
    <n v="0"/>
    <x v="1"/>
    <s v="NA"/>
    <x v="1"/>
  </r>
  <r>
    <n v="332"/>
    <s v="CNTR100331"/>
    <x v="0"/>
    <s v="OOCL Bergen"/>
    <x v="6"/>
    <s v="40GP"/>
    <d v="2026-08-21T00:00:00"/>
    <n v="4"/>
    <d v="2026-08-25T00:00:00"/>
    <d v="2026-08-25T00:00:00"/>
    <n v="75"/>
    <n v="0"/>
    <x v="1"/>
    <s v="NA"/>
    <x v="1"/>
  </r>
  <r>
    <n v="333"/>
    <s v="CNTR100332"/>
    <x v="3"/>
    <s v="CMA CGM Rhone"/>
    <x v="8"/>
    <s v="40HC"/>
    <d v="2026-07-07T00:00:00"/>
    <n v="5"/>
    <d v="2026-07-09T00:00:00"/>
    <d v="2026-07-12T00:00:00"/>
    <n v="90"/>
    <n v="0"/>
    <x v="1"/>
    <s v="NA"/>
    <x v="1"/>
  </r>
  <r>
    <n v="334"/>
    <s v="CNTR100333"/>
    <x v="0"/>
    <s v="OOCL Bergen"/>
    <x v="5"/>
    <s v="40GP"/>
    <d v="2026-06-15T00:00:00"/>
    <n v="5"/>
    <d v="2026-06-19T00:00:00"/>
    <d v="2026-06-20T00:00:00"/>
    <n v="60"/>
    <n v="0"/>
    <x v="1"/>
    <s v="NA"/>
    <x v="1"/>
  </r>
  <r>
    <n v="335"/>
    <s v="CNTR100334"/>
    <x v="2"/>
    <s v="MSC Elena"/>
    <x v="1"/>
    <s v="40RF"/>
    <d v="2026-07-01T00:00:00"/>
    <n v="4"/>
    <d v="2026-07-06T00:00:00"/>
    <d v="2026-07-05T00:00:00"/>
    <n v="150"/>
    <n v="1"/>
    <x v="0"/>
    <n v="150"/>
    <x v="1"/>
  </r>
  <r>
    <n v="336"/>
    <s v="CNTR100335"/>
    <x v="1"/>
    <s v="Maersk Kiel"/>
    <x v="1"/>
    <s v="40GP"/>
    <d v="2026-08-07T00:00:00"/>
    <n v="6"/>
    <d v="2026-08-08T00:00:00"/>
    <d v="2026-08-13T00:00:00"/>
    <n v="110"/>
    <n v="0"/>
    <x v="1"/>
    <s v="NA"/>
    <x v="1"/>
  </r>
  <r>
    <n v="337"/>
    <s v="CNTR100336"/>
    <x v="2"/>
    <s v="OOCL Bergen"/>
    <x v="1"/>
    <s v="40HC"/>
    <d v="2026-08-24T00:00:00"/>
    <n v="4"/>
    <d v="2026-08-25T00:00:00"/>
    <d v="2026-08-28T00:00:00"/>
    <n v="130"/>
    <n v="0"/>
    <x v="1"/>
    <s v="NA"/>
    <x v="1"/>
  </r>
  <r>
    <n v="338"/>
    <s v="CNTR100337"/>
    <x v="2"/>
    <s v="Maersk Kiel"/>
    <x v="8"/>
    <s v="20GP"/>
    <d v="2026-06-01T00:00:00"/>
    <n v="4"/>
    <d v="2026-06-02T00:00:00"/>
    <d v="2026-06-05T00:00:00"/>
    <n v="110"/>
    <n v="0"/>
    <x v="1"/>
    <s v="NA"/>
    <x v="1"/>
  </r>
  <r>
    <n v="339"/>
    <s v="CNTR100338"/>
    <x v="1"/>
    <s v="Maersk Kiel"/>
    <x v="3"/>
    <s v="40RF"/>
    <d v="2026-07-18T00:00:00"/>
    <n v="3"/>
    <d v="2026-07-22T00:00:00"/>
    <d v="2026-07-21T00:00:00"/>
    <n v="180"/>
    <n v="1"/>
    <x v="0"/>
    <n v="180"/>
    <x v="1"/>
  </r>
  <r>
    <n v="340"/>
    <s v="CNTR100339"/>
    <x v="0"/>
    <s v="ZIM Voyager"/>
    <x v="1"/>
    <s v="40RF"/>
    <d v="2026-08-14T00:00:00"/>
    <n v="4"/>
    <d v="2026-08-15T00:00:00"/>
    <d v="2026-08-18T00:00:00"/>
    <n v="180"/>
    <n v="0"/>
    <x v="1"/>
    <s v="NA"/>
    <x v="1"/>
  </r>
  <r>
    <n v="341"/>
    <s v="CNTR100340"/>
    <x v="3"/>
    <s v="Hapag Lloyd Bern"/>
    <x v="2"/>
    <s v="20GP"/>
    <d v="2026-08-17T00:00:00"/>
    <n v="5"/>
    <d v="2026-08-24T00:00:00"/>
    <d v="2026-08-22T00:00:00"/>
    <n v="90"/>
    <n v="2"/>
    <x v="0"/>
    <n v="180"/>
    <x v="1"/>
  </r>
  <r>
    <n v="342"/>
    <s v="CNTR100341"/>
    <x v="2"/>
    <s v="ONE Kestrel"/>
    <x v="4"/>
    <s v="40GP"/>
    <d v="2026-07-17T00:00:00"/>
    <n v="5"/>
    <d v="2026-07-18T00:00:00"/>
    <d v="2026-07-22T00:00:00"/>
    <n v="75"/>
    <n v="0"/>
    <x v="1"/>
    <s v="NA"/>
    <x v="1"/>
  </r>
  <r>
    <n v="343"/>
    <s v="CNTR100342"/>
    <x v="2"/>
    <s v="CMA CGM Rhone"/>
    <x v="3"/>
    <s v="40HC"/>
    <d v="2026-06-14T00:00:00"/>
    <n v="7"/>
    <d v="2026-06-15T00:00:00"/>
    <d v="2026-06-21T00:00:00"/>
    <n v="90"/>
    <n v="0"/>
    <x v="1"/>
    <s v="NA"/>
    <x v="1"/>
  </r>
  <r>
    <n v="344"/>
    <s v="CNTR100343"/>
    <x v="3"/>
    <s v="ZIM Voyager"/>
    <x v="4"/>
    <s v="40RF"/>
    <d v="2026-07-22T00:00:00"/>
    <n v="3"/>
    <m/>
    <d v="2026-07-25T00:00:00"/>
    <n v="120"/>
    <n v="31"/>
    <x v="2"/>
    <n v="3720"/>
    <x v="0"/>
  </r>
  <r>
    <n v="345"/>
    <s v="CNTR100344"/>
    <x v="1"/>
    <s v="OOCL Bergen"/>
    <x v="8"/>
    <s v="20GP"/>
    <d v="2026-07-31T00:00:00"/>
    <n v="7"/>
    <d v="2026-08-06T00:00:00"/>
    <d v="2026-08-07T00:00:00"/>
    <n v="110"/>
    <n v="0"/>
    <x v="1"/>
    <s v="NA"/>
    <x v="1"/>
  </r>
  <r>
    <n v="346"/>
    <s v="CNTR100345"/>
    <x v="3"/>
    <s v="COSCO Harmony"/>
    <x v="2"/>
    <s v="20GP"/>
    <d v="2026-06-20T00:00:00"/>
    <n v="7"/>
    <d v="2026-06-24T00:00:00"/>
    <d v="2026-06-27T00:00:00"/>
    <n v="110"/>
    <n v="0"/>
    <x v="1"/>
    <s v="NA"/>
    <x v="1"/>
  </r>
  <r>
    <n v="347"/>
    <s v="CNTR100346"/>
    <x v="1"/>
    <s v="Yang Ming Peak"/>
    <x v="3"/>
    <s v="20GP"/>
    <d v="2026-06-05T00:00:00"/>
    <n v="7"/>
    <m/>
    <d v="2026-06-12T00:00:00"/>
    <n v="110"/>
    <n v="74"/>
    <x v="2"/>
    <n v="8140"/>
    <x v="0"/>
  </r>
  <r>
    <n v="348"/>
    <s v="CNTR100347"/>
    <x v="3"/>
    <s v="OOCL Bergen"/>
    <x v="2"/>
    <s v="40RF"/>
    <d v="2026-08-13T00:00:00"/>
    <n v="3"/>
    <d v="2026-08-14T00:00:00"/>
    <d v="2026-08-16T00:00:00"/>
    <n v="120"/>
    <n v="0"/>
    <x v="1"/>
    <s v="NA"/>
    <x v="1"/>
  </r>
  <r>
    <n v="349"/>
    <s v="CNTR100348"/>
    <x v="0"/>
    <s v="MSC Elena"/>
    <x v="7"/>
    <s v="40GP"/>
    <d v="2026-06-27T00:00:00"/>
    <n v="5"/>
    <m/>
    <d v="2026-07-02T00:00:00"/>
    <n v="75"/>
    <n v="54"/>
    <x v="2"/>
    <n v="4050"/>
    <x v="0"/>
  </r>
  <r>
    <n v="350"/>
    <s v="CNTR100349"/>
    <x v="2"/>
    <s v="CMA CGM Rhone"/>
    <x v="2"/>
    <s v="40GP"/>
    <d v="2026-06-13T00:00:00"/>
    <n v="4"/>
    <d v="2026-06-14T00:00:00"/>
    <d v="2026-06-17T00:00:00"/>
    <n v="90"/>
    <n v="0"/>
    <x v="1"/>
    <s v="NA"/>
    <x v="1"/>
  </r>
  <r>
    <n v="351"/>
    <s v="CNTR100350"/>
    <x v="3"/>
    <s v="ONE Kestrel"/>
    <x v="5"/>
    <s v="20GP"/>
    <d v="2026-07-23T00:00:00"/>
    <n v="4"/>
    <m/>
    <d v="2026-07-27T00:00:00"/>
    <n v="130"/>
    <n v="29"/>
    <x v="2"/>
    <n v="3770"/>
    <x v="0"/>
  </r>
  <r>
    <n v="352"/>
    <s v="CNTR100351"/>
    <x v="0"/>
    <s v="Yang Ming Peak"/>
    <x v="7"/>
    <s v="40HC"/>
    <d v="2026-08-12T00:00:00"/>
    <n v="5"/>
    <d v="2026-08-17T00:00:00"/>
    <d v="2026-08-17T00:00:00"/>
    <n v="75"/>
    <n v="0"/>
    <x v="1"/>
    <s v="NA"/>
    <x v="1"/>
  </r>
  <r>
    <n v="353"/>
    <s v="CNTR100352"/>
    <x v="0"/>
    <s v="ONE Kestrel"/>
    <x v="1"/>
    <s v="40RF"/>
    <d v="2026-08-22T00:00:00"/>
    <n v="4"/>
    <d v="2026-08-24T00:00:00"/>
    <d v="2026-08-26T00:00:00"/>
    <n v="120"/>
    <n v="0"/>
    <x v="1"/>
    <s v="NA"/>
    <x v="1"/>
  </r>
  <r>
    <n v="354"/>
    <s v="CNTR100353"/>
    <x v="2"/>
    <s v="CMA CGM Rhone"/>
    <x v="6"/>
    <s v="40HC"/>
    <d v="2026-08-01T00:00:00"/>
    <n v="5"/>
    <d v="2026-08-04T00:00:00"/>
    <d v="2026-08-06T00:00:00"/>
    <n v="110"/>
    <n v="0"/>
    <x v="1"/>
    <s v="NA"/>
    <x v="1"/>
  </r>
  <r>
    <n v="355"/>
    <s v="CNTR100354"/>
    <x v="3"/>
    <s v="ZIM Voyager"/>
    <x v="8"/>
    <s v="40HC"/>
    <d v="2026-06-29T00:00:00"/>
    <n v="4"/>
    <m/>
    <d v="2026-07-03T00:00:00"/>
    <n v="75"/>
    <n v="53"/>
    <x v="2"/>
    <n v="3975"/>
    <x v="0"/>
  </r>
  <r>
    <n v="356"/>
    <s v="CNTR100355"/>
    <x v="2"/>
    <s v="COSCO Harmony"/>
    <x v="4"/>
    <s v="20GP"/>
    <d v="2026-08-20T00:00:00"/>
    <n v="4"/>
    <m/>
    <d v="2026-08-24T00:00:00"/>
    <n v="130"/>
    <n v="1"/>
    <x v="0"/>
    <n v="130"/>
    <x v="0"/>
  </r>
  <r>
    <n v="357"/>
    <s v="CNTR100356"/>
    <x v="2"/>
    <s v="Yang Ming Peak"/>
    <x v="3"/>
    <s v="40RF"/>
    <d v="2026-07-05T00:00:00"/>
    <n v="3"/>
    <d v="2026-07-13T00:00:00"/>
    <d v="2026-07-08T00:00:00"/>
    <n v="180"/>
    <n v="5"/>
    <x v="0"/>
    <n v="900"/>
    <x v="1"/>
  </r>
  <r>
    <n v="358"/>
    <s v="CNTR100357"/>
    <x v="1"/>
    <s v="ONE Kestrel"/>
    <x v="5"/>
    <s v="40GP"/>
    <d v="2026-07-16T00:00:00"/>
    <n v="5"/>
    <d v="2026-07-23T00:00:00"/>
    <d v="2026-07-21T00:00:00"/>
    <n v="90"/>
    <n v="2"/>
    <x v="0"/>
    <n v="180"/>
    <x v="1"/>
  </r>
  <r>
    <n v="359"/>
    <s v="CNTR100358"/>
    <x v="2"/>
    <s v="ONE Kestrel"/>
    <x v="2"/>
    <s v="40RF"/>
    <d v="2026-07-06T00:00:00"/>
    <n v="4"/>
    <d v="2026-07-10T00:00:00"/>
    <d v="2026-07-10T00:00:00"/>
    <n v="150"/>
    <n v="0"/>
    <x v="1"/>
    <s v="NA"/>
    <x v="1"/>
  </r>
  <r>
    <n v="360"/>
    <s v="CNTR100359"/>
    <x v="2"/>
    <s v="ONE Kestrel"/>
    <x v="1"/>
    <s v="20GP"/>
    <d v="2026-07-24T00:00:00"/>
    <n v="6"/>
    <d v="2026-07-25T00:00:00"/>
    <d v="2026-07-30T00:00:00"/>
    <n v="75"/>
    <n v="0"/>
    <x v="1"/>
    <s v="NA"/>
    <x v="1"/>
  </r>
  <r>
    <n v="361"/>
    <s v="CNTR100360"/>
    <x v="0"/>
    <s v="Hapag Lloyd Bern"/>
    <x v="8"/>
    <s v="20GP"/>
    <d v="2026-06-21T00:00:00"/>
    <n v="5"/>
    <d v="2026-06-22T00:00:00"/>
    <d v="2026-06-26T00:00:00"/>
    <n v="130"/>
    <n v="0"/>
    <x v="1"/>
    <s v="NA"/>
    <x v="1"/>
  </r>
  <r>
    <n v="362"/>
    <s v="CNTR100361"/>
    <x v="3"/>
    <s v="MSC Elena"/>
    <x v="9"/>
    <s v="20GP"/>
    <d v="2026-07-30T00:00:00"/>
    <n v="6"/>
    <d v="2026-08-02T00:00:00"/>
    <d v="2026-08-05T00:00:00"/>
    <n v="90"/>
    <n v="0"/>
    <x v="1"/>
    <s v="NA"/>
    <x v="1"/>
  </r>
  <r>
    <n v="363"/>
    <s v="CNTR100362"/>
    <x v="3"/>
    <s v="Maersk Kiel"/>
    <x v="6"/>
    <s v="40HC"/>
    <d v="2026-07-12T00:00:00"/>
    <n v="5"/>
    <d v="2026-07-14T00:00:00"/>
    <d v="2026-07-17T00:00:00"/>
    <n v="75"/>
    <n v="0"/>
    <x v="1"/>
    <s v="NA"/>
    <x v="1"/>
  </r>
  <r>
    <n v="364"/>
    <s v="CNTR100363"/>
    <x v="0"/>
    <s v="COSCO Harmony"/>
    <x v="0"/>
    <s v="40HC"/>
    <d v="2026-08-17T00:00:00"/>
    <n v="5"/>
    <d v="2026-08-25T00:00:00"/>
    <d v="2026-08-22T00:00:00"/>
    <n v="130"/>
    <n v="3"/>
    <x v="0"/>
    <n v="390"/>
    <x v="1"/>
  </r>
  <r>
    <n v="365"/>
    <s v="CNTR100364"/>
    <x v="0"/>
    <s v="OOCL Bergen"/>
    <x v="1"/>
    <s v="40HC"/>
    <d v="2026-08-05T00:00:00"/>
    <n v="5"/>
    <m/>
    <d v="2026-08-10T00:00:00"/>
    <n v="110"/>
    <n v="15"/>
    <x v="2"/>
    <n v="1650"/>
    <x v="0"/>
  </r>
  <r>
    <n v="366"/>
    <s v="CNTR100365"/>
    <x v="2"/>
    <s v="Yang Ming Peak"/>
    <x v="0"/>
    <s v="40HC"/>
    <d v="2026-08-03T00:00:00"/>
    <n v="7"/>
    <m/>
    <d v="2026-08-10T00:00:00"/>
    <n v="90"/>
    <n v="15"/>
    <x v="2"/>
    <n v="1350"/>
    <x v="0"/>
  </r>
  <r>
    <n v="367"/>
    <s v="CNTR100366"/>
    <x v="0"/>
    <s v="Evergreen Ace"/>
    <x v="2"/>
    <s v="40HC"/>
    <d v="2026-08-15T00:00:00"/>
    <n v="5"/>
    <d v="2026-08-16T00:00:00"/>
    <d v="2026-08-20T00:00:00"/>
    <n v="60"/>
    <n v="0"/>
    <x v="1"/>
    <s v="NA"/>
    <x v="1"/>
  </r>
  <r>
    <n v="368"/>
    <s v="CNTR100367"/>
    <x v="3"/>
    <s v="Evergreen Ace"/>
    <x v="2"/>
    <s v="40HC"/>
    <d v="2026-06-26T00:00:00"/>
    <n v="5"/>
    <d v="2026-06-28T00:00:00"/>
    <d v="2026-07-01T00:00:00"/>
    <n v="60"/>
    <n v="0"/>
    <x v="1"/>
    <s v="NA"/>
    <x v="1"/>
  </r>
  <r>
    <n v="369"/>
    <s v="CNTR100368"/>
    <x v="2"/>
    <s v="ONE Kestrel"/>
    <x v="3"/>
    <s v="40HC"/>
    <d v="2026-07-23T00:00:00"/>
    <n v="7"/>
    <m/>
    <d v="2026-07-30T00:00:00"/>
    <n v="75"/>
    <n v="26"/>
    <x v="2"/>
    <n v="1950"/>
    <x v="0"/>
  </r>
  <r>
    <n v="370"/>
    <s v="CNTR100369"/>
    <x v="0"/>
    <s v="OOCL Bergen"/>
    <x v="7"/>
    <s v="40GP"/>
    <d v="2026-08-18T00:00:00"/>
    <n v="6"/>
    <d v="2026-08-19T00:00:00"/>
    <d v="2026-08-24T00:00:00"/>
    <n v="130"/>
    <n v="0"/>
    <x v="1"/>
    <s v="NA"/>
    <x v="1"/>
  </r>
  <r>
    <n v="371"/>
    <s v="CNTR100370"/>
    <x v="0"/>
    <s v="COSCO Harmony"/>
    <x v="6"/>
    <s v="40GP"/>
    <d v="2026-07-25T00:00:00"/>
    <n v="4"/>
    <d v="2026-07-27T00:00:00"/>
    <d v="2026-07-29T00:00:00"/>
    <n v="130"/>
    <n v="0"/>
    <x v="1"/>
    <s v="NA"/>
    <x v="1"/>
  </r>
  <r>
    <n v="372"/>
    <s v="CNTR100371"/>
    <x v="0"/>
    <s v="Maersk Kiel"/>
    <x v="7"/>
    <s v="40GP"/>
    <d v="2026-07-21T00:00:00"/>
    <n v="7"/>
    <d v="2026-07-27T00:00:00"/>
    <d v="2026-07-28T00:00:00"/>
    <n v="60"/>
    <n v="0"/>
    <x v="1"/>
    <s v="NA"/>
    <x v="1"/>
  </r>
  <r>
    <n v="373"/>
    <s v="CNTR100372"/>
    <x v="0"/>
    <s v="MSC Elena"/>
    <x v="1"/>
    <s v="40HC"/>
    <d v="2026-07-14T00:00:00"/>
    <n v="4"/>
    <d v="2026-07-15T00:00:00"/>
    <d v="2026-07-18T00:00:00"/>
    <n v="90"/>
    <n v="0"/>
    <x v="1"/>
    <s v="NA"/>
    <x v="1"/>
  </r>
  <r>
    <n v="374"/>
    <s v="CNTR100373"/>
    <x v="3"/>
    <s v="MSC Elena"/>
    <x v="0"/>
    <s v="20GP"/>
    <d v="2026-08-13T00:00:00"/>
    <n v="7"/>
    <d v="2026-08-23T00:00:00"/>
    <d v="2026-08-20T00:00:00"/>
    <n v="110"/>
    <n v="3"/>
    <x v="0"/>
    <n v="330"/>
    <x v="1"/>
  </r>
  <r>
    <n v="375"/>
    <s v="CNTR100374"/>
    <x v="2"/>
    <s v="Evergreen Ace"/>
    <x v="4"/>
    <s v="20GP"/>
    <d v="2026-08-21T00:00:00"/>
    <n v="5"/>
    <d v="2026-08-25T00:00:00"/>
    <d v="2026-08-26T00:00:00"/>
    <n v="130"/>
    <n v="0"/>
    <x v="1"/>
    <s v="NA"/>
    <x v="1"/>
  </r>
  <r>
    <n v="376"/>
    <s v="CNTR100375"/>
    <x v="0"/>
    <s v="Maersk Kiel"/>
    <x v="6"/>
    <s v="20GP"/>
    <d v="2026-08-05T00:00:00"/>
    <n v="5"/>
    <m/>
    <d v="2026-08-10T00:00:00"/>
    <n v="60"/>
    <n v="15"/>
    <x v="2"/>
    <n v="900"/>
    <x v="0"/>
  </r>
  <r>
    <n v="377"/>
    <s v="CNTR100376"/>
    <x v="0"/>
    <s v="ONE Kestrel"/>
    <x v="0"/>
    <s v="40HC"/>
    <d v="2026-06-17T00:00:00"/>
    <n v="7"/>
    <d v="2026-06-23T00:00:00"/>
    <d v="2026-06-24T00:00:00"/>
    <n v="75"/>
    <n v="0"/>
    <x v="1"/>
    <s v="NA"/>
    <x v="1"/>
  </r>
  <r>
    <n v="378"/>
    <s v="CNTR100377"/>
    <x v="0"/>
    <s v="OOCL Bergen"/>
    <x v="2"/>
    <s v="40HC"/>
    <d v="2026-06-24T00:00:00"/>
    <n v="4"/>
    <d v="2026-06-25T00:00:00"/>
    <d v="2026-06-28T00:00:00"/>
    <n v="110"/>
    <n v="0"/>
    <x v="1"/>
    <s v="NA"/>
    <x v="1"/>
  </r>
  <r>
    <n v="379"/>
    <s v="CNTR100378"/>
    <x v="0"/>
    <s v="ONE Kestrel"/>
    <x v="9"/>
    <s v="40HC"/>
    <d v="2026-08-08T00:00:00"/>
    <n v="5"/>
    <m/>
    <d v="2026-08-13T00:00:00"/>
    <n v="110"/>
    <n v="12"/>
    <x v="2"/>
    <n v="1320"/>
    <x v="0"/>
  </r>
  <r>
    <n v="380"/>
    <s v="CNTR100379"/>
    <x v="1"/>
    <s v="ONE Kestrel"/>
    <x v="3"/>
    <s v="40GP"/>
    <d v="2026-07-04T00:00:00"/>
    <n v="4"/>
    <d v="2026-07-14T00:00:00"/>
    <d v="2026-07-08T00:00:00"/>
    <n v="130"/>
    <n v="6"/>
    <x v="0"/>
    <n v="780"/>
    <x v="1"/>
  </r>
  <r>
    <n v="381"/>
    <s v="CNTR100380"/>
    <x v="3"/>
    <s v="CMA CGM Rhone"/>
    <x v="7"/>
    <s v="40GP"/>
    <d v="2026-06-14T00:00:00"/>
    <n v="5"/>
    <m/>
    <d v="2026-06-19T00:00:00"/>
    <n v="130"/>
    <n v="67"/>
    <x v="2"/>
    <n v="8710"/>
    <x v="0"/>
  </r>
  <r>
    <n v="382"/>
    <s v="CNTR100381"/>
    <x v="0"/>
    <s v="Maersk Kiel"/>
    <x v="3"/>
    <s v="40GP"/>
    <d v="2026-06-18T00:00:00"/>
    <n v="4"/>
    <d v="2026-06-20T00:00:00"/>
    <d v="2026-06-22T00:00:00"/>
    <n v="110"/>
    <n v="0"/>
    <x v="1"/>
    <s v="NA"/>
    <x v="1"/>
  </r>
  <r>
    <n v="383"/>
    <s v="CNTR100382"/>
    <x v="3"/>
    <s v="ONE Kestrel"/>
    <x v="0"/>
    <s v="40RF"/>
    <d v="2026-07-28T00:00:00"/>
    <n v="4"/>
    <d v="2026-07-29T00:00:00"/>
    <d v="2026-08-01T00:00:00"/>
    <n v="120"/>
    <n v="0"/>
    <x v="1"/>
    <s v="NA"/>
    <x v="1"/>
  </r>
  <r>
    <n v="384"/>
    <s v="CNTR100383"/>
    <x v="1"/>
    <s v="MSC Elena"/>
    <x v="6"/>
    <s v="40RF"/>
    <d v="2026-05-30T00:00:00"/>
    <n v="4"/>
    <m/>
    <d v="2026-06-03T00:00:00"/>
    <n v="180"/>
    <n v="83"/>
    <x v="2"/>
    <n v="14940"/>
    <x v="0"/>
  </r>
  <r>
    <n v="385"/>
    <s v="CNTR100384"/>
    <x v="2"/>
    <s v="Hapag Lloyd Bern"/>
    <x v="0"/>
    <s v="40GP"/>
    <d v="2026-08-21T00:00:00"/>
    <n v="5"/>
    <m/>
    <d v="2026-08-26T00:00:00"/>
    <n v="110"/>
    <n v="0"/>
    <x v="1"/>
    <s v="NA"/>
    <x v="0"/>
  </r>
  <r>
    <n v="386"/>
    <s v="CNTR100385"/>
    <x v="3"/>
    <s v="OOCL Bergen"/>
    <x v="5"/>
    <s v="40GP"/>
    <d v="2026-07-14T00:00:00"/>
    <n v="6"/>
    <d v="2026-07-16T00:00:00"/>
    <d v="2026-07-20T00:00:00"/>
    <n v="75"/>
    <n v="0"/>
    <x v="1"/>
    <s v="NA"/>
    <x v="1"/>
  </r>
  <r>
    <n v="387"/>
    <s v="CNTR100386"/>
    <x v="3"/>
    <s v="Yang Ming Peak"/>
    <x v="8"/>
    <s v="40GP"/>
    <d v="2026-07-17T00:00:00"/>
    <n v="5"/>
    <m/>
    <d v="2026-07-22T00:00:00"/>
    <n v="60"/>
    <n v="34"/>
    <x v="2"/>
    <n v="2040"/>
    <x v="0"/>
  </r>
  <r>
    <n v="388"/>
    <s v="CNTR100387"/>
    <x v="2"/>
    <s v="OOCL Bergen"/>
    <x v="3"/>
    <s v="40HC"/>
    <d v="2026-05-29T00:00:00"/>
    <n v="7"/>
    <d v="2026-06-17T00:00:00"/>
    <d v="2026-06-05T00:00:00"/>
    <n v="110"/>
    <n v="12"/>
    <x v="2"/>
    <n v="1320"/>
    <x v="1"/>
  </r>
  <r>
    <n v="389"/>
    <s v="CNTR100388"/>
    <x v="3"/>
    <s v="ZIM Voyager"/>
    <x v="7"/>
    <s v="40GP"/>
    <d v="2026-07-09T00:00:00"/>
    <n v="4"/>
    <d v="2026-07-14T00:00:00"/>
    <d v="2026-07-13T00:00:00"/>
    <n v="75"/>
    <n v="1"/>
    <x v="0"/>
    <n v="75"/>
    <x v="1"/>
  </r>
  <r>
    <n v="390"/>
    <s v="CNTR100389"/>
    <x v="0"/>
    <s v="MSC Elena"/>
    <x v="6"/>
    <s v="40GP"/>
    <d v="2026-08-23T00:00:00"/>
    <n v="5"/>
    <d v="2026-08-25T00:00:00"/>
    <d v="2026-08-28T00:00:00"/>
    <n v="75"/>
    <n v="0"/>
    <x v="1"/>
    <s v="NA"/>
    <x v="1"/>
  </r>
  <r>
    <n v="391"/>
    <s v="CNTR100390"/>
    <x v="0"/>
    <s v="CMA CGM Rhone"/>
    <x v="3"/>
    <s v="40RF"/>
    <d v="2026-05-29T00:00:00"/>
    <n v="4"/>
    <m/>
    <d v="2026-06-02T00:00:00"/>
    <n v="150"/>
    <n v="84"/>
    <x v="2"/>
    <n v="12600"/>
    <x v="0"/>
  </r>
  <r>
    <n v="392"/>
    <s v="CNTR100391"/>
    <x v="2"/>
    <s v="ONE Kestrel"/>
    <x v="7"/>
    <s v="40GP"/>
    <d v="2026-07-30T00:00:00"/>
    <n v="4"/>
    <m/>
    <d v="2026-08-03T00:00:00"/>
    <n v="130"/>
    <n v="22"/>
    <x v="2"/>
    <n v="2860"/>
    <x v="0"/>
  </r>
  <r>
    <n v="393"/>
    <s v="CNTR100392"/>
    <x v="3"/>
    <s v="ZIM Voyager"/>
    <x v="0"/>
    <s v="20GP"/>
    <d v="2026-08-22T00:00:00"/>
    <n v="4"/>
    <d v="2026-08-23T00:00:00"/>
    <d v="2026-08-26T00:00:00"/>
    <n v="60"/>
    <n v="0"/>
    <x v="1"/>
    <s v="NA"/>
    <x v="1"/>
  </r>
  <r>
    <n v="394"/>
    <s v="CNTR100393"/>
    <x v="2"/>
    <s v="Maersk Kiel"/>
    <x v="9"/>
    <s v="40RF"/>
    <d v="2026-08-24T00:00:00"/>
    <n v="3"/>
    <m/>
    <d v="2026-08-27T00:00:00"/>
    <n v="180"/>
    <n v="0"/>
    <x v="1"/>
    <s v="NA"/>
    <x v="0"/>
  </r>
  <r>
    <n v="395"/>
    <s v="CNTR100394"/>
    <x v="3"/>
    <s v="COSCO Harmony"/>
    <x v="9"/>
    <s v="20GP"/>
    <d v="2026-06-18T00:00:00"/>
    <n v="5"/>
    <d v="2026-06-30T00:00:00"/>
    <d v="2026-06-23T00:00:00"/>
    <n v="60"/>
    <n v="7"/>
    <x v="0"/>
    <n v="420"/>
    <x v="1"/>
  </r>
  <r>
    <n v="396"/>
    <s v="CNTR100395"/>
    <x v="0"/>
    <s v="OOCL Bergen"/>
    <x v="1"/>
    <s v="20GP"/>
    <d v="2026-07-21T00:00:00"/>
    <n v="5"/>
    <m/>
    <d v="2026-07-26T00:00:00"/>
    <n v="90"/>
    <n v="30"/>
    <x v="2"/>
    <n v="2700"/>
    <x v="0"/>
  </r>
  <r>
    <n v="397"/>
    <s v="CNTR100396"/>
    <x v="1"/>
    <s v="MSC Elena"/>
    <x v="1"/>
    <s v="20GP"/>
    <d v="2026-07-03T00:00:00"/>
    <n v="7"/>
    <d v="2026-07-09T00:00:00"/>
    <d v="2026-07-10T00:00:00"/>
    <n v="60"/>
    <n v="0"/>
    <x v="1"/>
    <s v="NA"/>
    <x v="1"/>
  </r>
  <r>
    <n v="398"/>
    <s v="CNTR100397"/>
    <x v="2"/>
    <s v="COSCO Harmony"/>
    <x v="8"/>
    <s v="40HC"/>
    <d v="2026-05-28T00:00:00"/>
    <n v="6"/>
    <d v="2026-06-06T00:00:00"/>
    <d v="2026-06-03T00:00:00"/>
    <n v="90"/>
    <n v="3"/>
    <x v="0"/>
    <n v="270"/>
    <x v="1"/>
  </r>
  <r>
    <n v="399"/>
    <s v="CNTR100398"/>
    <x v="2"/>
    <s v="Hapag Lloyd Bern"/>
    <x v="5"/>
    <s v="40RF"/>
    <d v="2026-07-06T00:00:00"/>
    <n v="3"/>
    <d v="2026-07-07T00:00:00"/>
    <d v="2026-07-09T00:00:00"/>
    <n v="120"/>
    <n v="0"/>
    <x v="1"/>
    <s v="NA"/>
    <x v="1"/>
  </r>
  <r>
    <n v="400"/>
    <s v="CNTR100399"/>
    <x v="1"/>
    <s v="OOCL Bergen"/>
    <x v="2"/>
    <s v="40HC"/>
    <d v="2026-05-28T00:00:00"/>
    <n v="7"/>
    <d v="2026-06-06T00:00:00"/>
    <d v="2026-06-04T00:00:00"/>
    <n v="75"/>
    <n v="2"/>
    <x v="0"/>
    <n v="150"/>
    <x v="1"/>
  </r>
  <r>
    <n v="401"/>
    <s v="CNTR100400"/>
    <x v="3"/>
    <s v="CMA CGM Rhone"/>
    <x v="6"/>
    <s v="20GP"/>
    <d v="2026-08-18T00:00:00"/>
    <n v="6"/>
    <d v="2026-08-21T00:00:00"/>
    <d v="2026-08-24T00:00:00"/>
    <n v="130"/>
    <n v="0"/>
    <x v="1"/>
    <s v="NA"/>
    <x v="1"/>
  </r>
  <r>
    <n v="402"/>
    <s v="CNTR100401"/>
    <x v="0"/>
    <s v="Yang Ming Peak"/>
    <x v="2"/>
    <s v="20GP"/>
    <d v="2026-06-25T00:00:00"/>
    <n v="6"/>
    <d v="2026-07-06T00:00:00"/>
    <d v="2026-07-01T00:00:00"/>
    <n v="130"/>
    <n v="5"/>
    <x v="0"/>
    <n v="650"/>
    <x v="1"/>
  </r>
  <r>
    <n v="403"/>
    <s v="CNTR100402"/>
    <x v="2"/>
    <s v="OOCL Bergen"/>
    <x v="0"/>
    <s v="40HC"/>
    <d v="2026-08-16T00:00:00"/>
    <n v="6"/>
    <d v="2026-08-21T00:00:00"/>
    <d v="2026-08-22T00:00:00"/>
    <n v="90"/>
    <n v="0"/>
    <x v="1"/>
    <s v="NA"/>
    <x v="1"/>
  </r>
  <r>
    <n v="404"/>
    <s v="CNTR100403"/>
    <x v="1"/>
    <s v="COSCO Harmony"/>
    <x v="1"/>
    <s v="40HC"/>
    <d v="2026-07-22T00:00:00"/>
    <n v="6"/>
    <d v="2026-08-02T00:00:00"/>
    <d v="2026-07-28T00:00:00"/>
    <n v="90"/>
    <n v="5"/>
    <x v="0"/>
    <n v="450"/>
    <x v="1"/>
  </r>
  <r>
    <n v="405"/>
    <s v="CNTR100404"/>
    <x v="2"/>
    <s v="ZIM Voyager"/>
    <x v="1"/>
    <s v="40GP"/>
    <d v="2026-08-16T00:00:00"/>
    <n v="7"/>
    <d v="2026-08-23T00:00:00"/>
    <d v="2026-08-23T00:00:00"/>
    <n v="90"/>
    <n v="0"/>
    <x v="1"/>
    <s v="NA"/>
    <x v="1"/>
  </r>
  <r>
    <n v="406"/>
    <s v="CNTR100405"/>
    <x v="3"/>
    <s v="Maersk Kiel"/>
    <x v="3"/>
    <s v="40RF"/>
    <d v="2026-08-02T00:00:00"/>
    <n v="4"/>
    <d v="2026-08-08T00:00:00"/>
    <d v="2026-08-06T00:00:00"/>
    <n v="180"/>
    <n v="2"/>
    <x v="0"/>
    <n v="360"/>
    <x v="1"/>
  </r>
  <r>
    <n v="407"/>
    <s v="CNTR100406"/>
    <x v="1"/>
    <s v="ONE Kestrel"/>
    <x v="0"/>
    <s v="40HC"/>
    <d v="2026-07-01T00:00:00"/>
    <n v="4"/>
    <d v="2026-07-03T00:00:00"/>
    <d v="2026-07-05T00:00:00"/>
    <n v="90"/>
    <n v="0"/>
    <x v="1"/>
    <s v="NA"/>
    <x v="1"/>
  </r>
  <r>
    <n v="408"/>
    <s v="CNTR100407"/>
    <x v="0"/>
    <s v="COSCO Harmony"/>
    <x v="9"/>
    <s v="40HC"/>
    <d v="2026-06-28T00:00:00"/>
    <n v="4"/>
    <m/>
    <d v="2026-07-02T00:00:00"/>
    <n v="90"/>
    <n v="54"/>
    <x v="2"/>
    <n v="4860"/>
    <x v="0"/>
  </r>
  <r>
    <n v="409"/>
    <s v="CNTR100408"/>
    <x v="2"/>
    <s v="CMA CGM Rhone"/>
    <x v="4"/>
    <s v="40RF"/>
    <d v="2026-08-02T00:00:00"/>
    <n v="4"/>
    <m/>
    <d v="2026-08-06T00:00:00"/>
    <n v="180"/>
    <n v="19"/>
    <x v="2"/>
    <n v="3420"/>
    <x v="0"/>
  </r>
  <r>
    <n v="410"/>
    <s v="CNTR100409"/>
    <x v="3"/>
    <s v="ONE Kestrel"/>
    <x v="4"/>
    <s v="40GP"/>
    <d v="2026-06-06T00:00:00"/>
    <n v="5"/>
    <d v="2026-06-07T00:00:00"/>
    <d v="2026-06-11T00:00:00"/>
    <n v="110"/>
    <n v="0"/>
    <x v="1"/>
    <s v="NA"/>
    <x v="1"/>
  </r>
  <r>
    <n v="411"/>
    <s v="CNTR100410"/>
    <x v="0"/>
    <s v="MSC Elena"/>
    <x v="9"/>
    <s v="40GP"/>
    <d v="2026-08-24T00:00:00"/>
    <n v="7"/>
    <m/>
    <d v="2026-08-31T00:00:00"/>
    <n v="130"/>
    <n v="0"/>
    <x v="1"/>
    <s v="NA"/>
    <x v="0"/>
  </r>
  <r>
    <n v="412"/>
    <s v="CNTR100411"/>
    <x v="3"/>
    <s v="Evergreen Ace"/>
    <x v="9"/>
    <s v="40HC"/>
    <d v="2026-07-14T00:00:00"/>
    <n v="5"/>
    <m/>
    <d v="2026-07-19T00:00:00"/>
    <n v="110"/>
    <n v="37"/>
    <x v="2"/>
    <n v="4070"/>
    <x v="0"/>
  </r>
  <r>
    <n v="413"/>
    <s v="CNTR100412"/>
    <x v="1"/>
    <s v="COSCO Harmony"/>
    <x v="4"/>
    <s v="20GP"/>
    <d v="2026-07-30T00:00:00"/>
    <n v="5"/>
    <d v="2026-08-05T00:00:00"/>
    <d v="2026-08-04T00:00:00"/>
    <n v="90"/>
    <n v="1"/>
    <x v="0"/>
    <n v="90"/>
    <x v="1"/>
  </r>
  <r>
    <n v="414"/>
    <s v="CNTR100413"/>
    <x v="1"/>
    <s v="Yang Ming Peak"/>
    <x v="0"/>
    <s v="40HC"/>
    <d v="2026-08-19T00:00:00"/>
    <n v="5"/>
    <d v="2026-08-20T00:00:00"/>
    <d v="2026-08-24T00:00:00"/>
    <n v="110"/>
    <n v="0"/>
    <x v="1"/>
    <s v="NA"/>
    <x v="1"/>
  </r>
  <r>
    <n v="415"/>
    <s v="CNTR100414"/>
    <x v="0"/>
    <s v="ONE Kestrel"/>
    <x v="1"/>
    <s v="40RF"/>
    <d v="2026-06-11T00:00:00"/>
    <n v="3"/>
    <d v="2026-06-17T00:00:00"/>
    <d v="2026-06-14T00:00:00"/>
    <n v="180"/>
    <n v="3"/>
    <x v="0"/>
    <n v="540"/>
    <x v="1"/>
  </r>
  <r>
    <n v="416"/>
    <s v="CNTR100415"/>
    <x v="0"/>
    <s v="CMA CGM Rhone"/>
    <x v="1"/>
    <s v="40HC"/>
    <d v="2026-08-15T00:00:00"/>
    <n v="4"/>
    <d v="2026-08-25T00:00:00"/>
    <d v="2026-08-19T00:00:00"/>
    <n v="110"/>
    <n v="6"/>
    <x v="0"/>
    <n v="660"/>
    <x v="1"/>
  </r>
  <r>
    <n v="417"/>
    <s v="CNTR100416"/>
    <x v="2"/>
    <s v="COSCO Harmony"/>
    <x v="0"/>
    <s v="40RF"/>
    <d v="2026-06-03T00:00:00"/>
    <n v="3"/>
    <m/>
    <d v="2026-06-06T00:00:00"/>
    <n v="180"/>
    <n v="80"/>
    <x v="2"/>
    <n v="14400"/>
    <x v="0"/>
  </r>
  <r>
    <n v="418"/>
    <s v="CNTR100417"/>
    <x v="2"/>
    <s v="Yang Ming Peak"/>
    <x v="0"/>
    <s v="40RF"/>
    <d v="2026-06-25T00:00:00"/>
    <n v="3"/>
    <d v="2026-06-26T00:00:00"/>
    <d v="2026-06-28T00:00:00"/>
    <n v="180"/>
    <n v="0"/>
    <x v="1"/>
    <s v="NA"/>
    <x v="1"/>
  </r>
  <r>
    <n v="419"/>
    <s v="CNTR100418"/>
    <x v="1"/>
    <s v="OOCL Bergen"/>
    <x v="1"/>
    <s v="40RF"/>
    <d v="2026-06-16T00:00:00"/>
    <n v="3"/>
    <d v="2026-06-20T00:00:00"/>
    <d v="2026-06-19T00:00:00"/>
    <n v="150"/>
    <n v="1"/>
    <x v="0"/>
    <n v="150"/>
    <x v="1"/>
  </r>
  <r>
    <n v="420"/>
    <s v="CNTR100419"/>
    <x v="0"/>
    <s v="Hapag Lloyd Bern"/>
    <x v="4"/>
    <s v="20GP"/>
    <d v="2026-08-13T00:00:00"/>
    <n v="5"/>
    <d v="2026-08-17T00:00:00"/>
    <d v="2026-08-18T00:00:00"/>
    <n v="110"/>
    <n v="0"/>
    <x v="1"/>
    <s v="NA"/>
    <x v="1"/>
  </r>
  <r>
    <n v="421"/>
    <s v="CNTR100420"/>
    <x v="1"/>
    <s v="OOCL Bergen"/>
    <x v="2"/>
    <s v="40RF"/>
    <d v="2026-08-17T00:00:00"/>
    <n v="4"/>
    <m/>
    <d v="2026-08-21T00:00:00"/>
    <n v="150"/>
    <n v="4"/>
    <x v="0"/>
    <n v="600"/>
    <x v="0"/>
  </r>
  <r>
    <n v="422"/>
    <s v="CNTR100421"/>
    <x v="2"/>
    <s v="MSC Elena"/>
    <x v="9"/>
    <s v="40RF"/>
    <d v="2026-06-11T00:00:00"/>
    <n v="3"/>
    <d v="2026-06-13T00:00:00"/>
    <d v="2026-06-14T00:00:00"/>
    <n v="120"/>
    <n v="0"/>
    <x v="1"/>
    <s v="NA"/>
    <x v="1"/>
  </r>
  <r>
    <n v="423"/>
    <s v="CNTR100422"/>
    <x v="3"/>
    <s v="ONE Kestrel"/>
    <x v="5"/>
    <s v="40GP"/>
    <d v="2026-06-19T00:00:00"/>
    <n v="4"/>
    <m/>
    <d v="2026-06-23T00:00:00"/>
    <n v="130"/>
    <n v="63"/>
    <x v="2"/>
    <n v="8190"/>
    <x v="0"/>
  </r>
  <r>
    <n v="424"/>
    <s v="CNTR100423"/>
    <x v="0"/>
    <s v="COSCO Harmony"/>
    <x v="8"/>
    <s v="20GP"/>
    <d v="2026-07-15T00:00:00"/>
    <n v="6"/>
    <m/>
    <d v="2026-07-21T00:00:00"/>
    <n v="90"/>
    <n v="35"/>
    <x v="2"/>
    <n v="3150"/>
    <x v="0"/>
  </r>
  <r>
    <n v="425"/>
    <s v="CNTR100424"/>
    <x v="2"/>
    <s v="COSCO Harmony"/>
    <x v="0"/>
    <s v="20GP"/>
    <d v="2026-07-16T00:00:00"/>
    <n v="5"/>
    <m/>
    <d v="2026-07-21T00:00:00"/>
    <n v="110"/>
    <n v="35"/>
    <x v="2"/>
    <n v="3850"/>
    <x v="0"/>
  </r>
  <r>
    <n v="426"/>
    <s v="CNTR100425"/>
    <x v="2"/>
    <s v="COSCO Harmony"/>
    <x v="8"/>
    <s v="40HC"/>
    <d v="2026-07-30T00:00:00"/>
    <n v="5"/>
    <m/>
    <d v="2026-08-04T00:00:00"/>
    <n v="130"/>
    <n v="21"/>
    <x v="2"/>
    <n v="2730"/>
    <x v="0"/>
  </r>
  <r>
    <n v="427"/>
    <s v="CNTR100426"/>
    <x v="0"/>
    <s v="Yang Ming Peak"/>
    <x v="4"/>
    <s v="40GP"/>
    <d v="2026-07-09T00:00:00"/>
    <n v="5"/>
    <m/>
    <d v="2026-07-14T00:00:00"/>
    <n v="130"/>
    <n v="42"/>
    <x v="2"/>
    <n v="5460"/>
    <x v="0"/>
  </r>
  <r>
    <n v="428"/>
    <s v="CNTR100427"/>
    <x v="1"/>
    <s v="ONE Kestrel"/>
    <x v="7"/>
    <s v="20GP"/>
    <d v="2026-07-03T00:00:00"/>
    <n v="7"/>
    <d v="2026-07-12T00:00:00"/>
    <d v="2026-07-10T00:00:00"/>
    <n v="110"/>
    <n v="2"/>
    <x v="0"/>
    <n v="220"/>
    <x v="1"/>
  </r>
  <r>
    <n v="429"/>
    <s v="CNTR100428"/>
    <x v="0"/>
    <s v="OOCL Bergen"/>
    <x v="1"/>
    <s v="40RF"/>
    <d v="2026-07-04T00:00:00"/>
    <n v="4"/>
    <d v="2026-07-08T00:00:00"/>
    <d v="2026-07-08T00:00:00"/>
    <n v="120"/>
    <n v="0"/>
    <x v="1"/>
    <s v="NA"/>
    <x v="1"/>
  </r>
  <r>
    <n v="430"/>
    <s v="CNTR100429"/>
    <x v="1"/>
    <s v="Maersk Kiel"/>
    <x v="0"/>
    <s v="20GP"/>
    <d v="2026-08-18T00:00:00"/>
    <n v="5"/>
    <d v="2026-08-25T00:00:00"/>
    <d v="2026-08-23T00:00:00"/>
    <n v="75"/>
    <n v="2"/>
    <x v="0"/>
    <n v="150"/>
    <x v="1"/>
  </r>
  <r>
    <n v="431"/>
    <s v="CNTR100430"/>
    <x v="1"/>
    <s v="COSCO Harmony"/>
    <x v="3"/>
    <s v="40RF"/>
    <d v="2026-07-27T00:00:00"/>
    <n v="4"/>
    <d v="2026-08-02T00:00:00"/>
    <d v="2026-07-31T00:00:00"/>
    <n v="180"/>
    <n v="2"/>
    <x v="0"/>
    <n v="360"/>
    <x v="1"/>
  </r>
  <r>
    <n v="432"/>
    <s v="CNTR100431"/>
    <x v="0"/>
    <s v="OOCL Bergen"/>
    <x v="9"/>
    <s v="40GP"/>
    <d v="2026-08-06T00:00:00"/>
    <n v="5"/>
    <d v="2026-08-08T00:00:00"/>
    <d v="2026-08-11T00:00:00"/>
    <n v="60"/>
    <n v="0"/>
    <x v="1"/>
    <s v="NA"/>
    <x v="1"/>
  </r>
  <r>
    <n v="433"/>
    <s v="CNTR100432"/>
    <x v="1"/>
    <s v="Hapag Lloyd Bern"/>
    <x v="1"/>
    <s v="40HC"/>
    <d v="2026-06-29T00:00:00"/>
    <n v="6"/>
    <m/>
    <d v="2026-07-05T00:00:00"/>
    <n v="60"/>
    <n v="51"/>
    <x v="2"/>
    <n v="3060"/>
    <x v="0"/>
  </r>
  <r>
    <n v="434"/>
    <s v="CNTR100433"/>
    <x v="3"/>
    <s v="MSC Elena"/>
    <x v="3"/>
    <s v="40RF"/>
    <d v="2026-07-18T00:00:00"/>
    <n v="3"/>
    <d v="2026-07-21T00:00:00"/>
    <d v="2026-07-21T00:00:00"/>
    <n v="150"/>
    <n v="0"/>
    <x v="1"/>
    <s v="NA"/>
    <x v="1"/>
  </r>
  <r>
    <n v="435"/>
    <s v="CNTR100434"/>
    <x v="3"/>
    <s v="Evergreen Ace"/>
    <x v="8"/>
    <s v="40HC"/>
    <d v="2026-06-15T00:00:00"/>
    <n v="5"/>
    <m/>
    <d v="2026-06-20T00:00:00"/>
    <n v="75"/>
    <n v="66"/>
    <x v="2"/>
    <n v="4950"/>
    <x v="0"/>
  </r>
  <r>
    <n v="436"/>
    <s v="CNTR100435"/>
    <x v="2"/>
    <s v="MSC Elena"/>
    <x v="5"/>
    <s v="40RF"/>
    <d v="2026-08-05T00:00:00"/>
    <n v="4"/>
    <m/>
    <d v="2026-08-09T00:00:00"/>
    <n v="180"/>
    <n v="16"/>
    <x v="2"/>
    <n v="2880"/>
    <x v="0"/>
  </r>
  <r>
    <n v="437"/>
    <s v="CNTR100436"/>
    <x v="1"/>
    <s v="OOCL Bergen"/>
    <x v="4"/>
    <s v="40GP"/>
    <d v="2026-08-01T00:00:00"/>
    <n v="6"/>
    <d v="2026-08-06T00:00:00"/>
    <d v="2026-08-07T00:00:00"/>
    <n v="90"/>
    <n v="0"/>
    <x v="1"/>
    <s v="NA"/>
    <x v="1"/>
  </r>
  <r>
    <n v="438"/>
    <s v="CNTR100437"/>
    <x v="1"/>
    <s v="OOCL Bergen"/>
    <x v="9"/>
    <s v="20GP"/>
    <d v="2026-07-18T00:00:00"/>
    <n v="6"/>
    <d v="2026-07-24T00:00:00"/>
    <d v="2026-07-24T00:00:00"/>
    <n v="110"/>
    <n v="0"/>
    <x v="1"/>
    <s v="NA"/>
    <x v="1"/>
  </r>
  <r>
    <n v="439"/>
    <s v="CNTR100438"/>
    <x v="1"/>
    <s v="OOCL Bergen"/>
    <x v="4"/>
    <s v="40HC"/>
    <d v="2026-07-17T00:00:00"/>
    <n v="7"/>
    <d v="2026-07-24T00:00:00"/>
    <d v="2026-07-24T00:00:00"/>
    <n v="110"/>
    <n v="0"/>
    <x v="1"/>
    <s v="NA"/>
    <x v="1"/>
  </r>
  <r>
    <n v="440"/>
    <s v="CNTR100439"/>
    <x v="0"/>
    <s v="OOCL Bergen"/>
    <x v="2"/>
    <s v="40HC"/>
    <d v="2026-08-20T00:00:00"/>
    <n v="7"/>
    <d v="2026-08-24T00:00:00"/>
    <d v="2026-08-27T00:00:00"/>
    <n v="60"/>
    <n v="0"/>
    <x v="1"/>
    <s v="NA"/>
    <x v="1"/>
  </r>
  <r>
    <n v="441"/>
    <s v="CNTR100440"/>
    <x v="0"/>
    <s v="OOCL Bergen"/>
    <x v="3"/>
    <s v="40HC"/>
    <d v="2026-08-18T00:00:00"/>
    <n v="5"/>
    <d v="2026-08-20T00:00:00"/>
    <d v="2026-08-23T00:00:00"/>
    <n v="90"/>
    <n v="0"/>
    <x v="1"/>
    <s v="NA"/>
    <x v="1"/>
  </r>
  <r>
    <n v="442"/>
    <s v="CNTR100441"/>
    <x v="3"/>
    <s v="CMA CGM Rhone"/>
    <x v="8"/>
    <s v="20GP"/>
    <d v="2026-06-14T00:00:00"/>
    <n v="6"/>
    <m/>
    <d v="2026-06-20T00:00:00"/>
    <n v="130"/>
    <n v="66"/>
    <x v="2"/>
    <n v="8580"/>
    <x v="0"/>
  </r>
  <r>
    <n v="443"/>
    <s v="CNTR100442"/>
    <x v="1"/>
    <s v="Maersk Kiel"/>
    <x v="2"/>
    <s v="40RF"/>
    <d v="2026-06-26T00:00:00"/>
    <n v="3"/>
    <m/>
    <d v="2026-06-29T00:00:00"/>
    <n v="180"/>
    <n v="57"/>
    <x v="2"/>
    <n v="10260"/>
    <x v="0"/>
  </r>
  <r>
    <n v="444"/>
    <s v="CNTR100443"/>
    <x v="1"/>
    <s v="Hapag Lloyd Bern"/>
    <x v="3"/>
    <s v="40RF"/>
    <d v="2026-06-12T00:00:00"/>
    <n v="4"/>
    <m/>
    <d v="2026-06-16T00:00:00"/>
    <n v="180"/>
    <n v="70"/>
    <x v="2"/>
    <n v="12600"/>
    <x v="0"/>
  </r>
  <r>
    <n v="445"/>
    <s v="CNTR100444"/>
    <x v="3"/>
    <s v="ONE Kestrel"/>
    <x v="3"/>
    <s v="20GP"/>
    <d v="2026-07-13T00:00:00"/>
    <n v="4"/>
    <d v="2026-07-17T00:00:00"/>
    <d v="2026-07-17T00:00:00"/>
    <n v="110"/>
    <n v="0"/>
    <x v="1"/>
    <s v="NA"/>
    <x v="1"/>
  </r>
  <r>
    <n v="446"/>
    <s v="CNTR100445"/>
    <x v="0"/>
    <s v="Maersk Kiel"/>
    <x v="8"/>
    <s v="20GP"/>
    <d v="2026-08-11T00:00:00"/>
    <n v="5"/>
    <m/>
    <d v="2026-08-16T00:00:00"/>
    <n v="110"/>
    <n v="9"/>
    <x v="0"/>
    <n v="990"/>
    <x v="0"/>
  </r>
  <r>
    <n v="447"/>
    <s v="CNTR100446"/>
    <x v="0"/>
    <s v="COSCO Harmony"/>
    <x v="9"/>
    <s v="20GP"/>
    <d v="2026-07-14T00:00:00"/>
    <n v="6"/>
    <m/>
    <d v="2026-07-20T00:00:00"/>
    <n v="130"/>
    <n v="36"/>
    <x v="2"/>
    <n v="4680"/>
    <x v="0"/>
  </r>
  <r>
    <n v="448"/>
    <s v="CNTR100447"/>
    <x v="1"/>
    <s v="COSCO Harmony"/>
    <x v="8"/>
    <s v="40HC"/>
    <d v="2026-07-30T00:00:00"/>
    <n v="5"/>
    <d v="2026-08-04T00:00:00"/>
    <d v="2026-08-04T00:00:00"/>
    <n v="75"/>
    <n v="0"/>
    <x v="1"/>
    <s v="NA"/>
    <x v="1"/>
  </r>
  <r>
    <n v="449"/>
    <s v="CNTR100448"/>
    <x v="3"/>
    <s v="CMA CGM Rhone"/>
    <x v="7"/>
    <s v="20GP"/>
    <d v="2026-08-18T00:00:00"/>
    <n v="6"/>
    <d v="2026-08-25T00:00:00"/>
    <d v="2026-08-24T00:00:00"/>
    <n v="130"/>
    <n v="1"/>
    <x v="0"/>
    <n v="130"/>
    <x v="1"/>
  </r>
  <r>
    <n v="450"/>
    <s v="CNTR100449"/>
    <x v="3"/>
    <s v="OOCL Bergen"/>
    <x v="6"/>
    <s v="40GP"/>
    <d v="2026-08-05T00:00:00"/>
    <n v="5"/>
    <d v="2026-08-06T00:00:00"/>
    <d v="2026-08-10T00:00:00"/>
    <n v="60"/>
    <n v="0"/>
    <x v="1"/>
    <s v="NA"/>
    <x v="1"/>
  </r>
  <r>
    <n v="451"/>
    <s v="CNTR100450"/>
    <x v="0"/>
    <s v="ZIM Voyager"/>
    <x v="6"/>
    <s v="20GP"/>
    <d v="2026-06-01T00:00:00"/>
    <n v="7"/>
    <m/>
    <d v="2026-06-08T00:00:00"/>
    <n v="75"/>
    <n v="78"/>
    <x v="2"/>
    <n v="5850"/>
    <x v="0"/>
  </r>
  <r>
    <n v="452"/>
    <s v="CNTR100451"/>
    <x v="1"/>
    <s v="OOCL Bergen"/>
    <x v="6"/>
    <s v="40HC"/>
    <d v="2026-08-12T00:00:00"/>
    <n v="4"/>
    <m/>
    <d v="2026-08-16T00:00:00"/>
    <n v="75"/>
    <n v="9"/>
    <x v="0"/>
    <n v="675"/>
    <x v="0"/>
  </r>
  <r>
    <n v="453"/>
    <s v="CNTR100452"/>
    <x v="0"/>
    <s v="ONE Kestrel"/>
    <x v="6"/>
    <s v="40RF"/>
    <d v="2026-06-10T00:00:00"/>
    <n v="3"/>
    <m/>
    <d v="2026-06-13T00:00:00"/>
    <n v="150"/>
    <n v="73"/>
    <x v="2"/>
    <n v="10950"/>
    <x v="0"/>
  </r>
  <r>
    <n v="454"/>
    <s v="CNTR100453"/>
    <x v="2"/>
    <s v="MSC Elena"/>
    <x v="6"/>
    <s v="40GP"/>
    <d v="2026-08-06T00:00:00"/>
    <n v="7"/>
    <d v="2026-08-15T00:00:00"/>
    <d v="2026-08-13T00:00:00"/>
    <n v="75"/>
    <n v="2"/>
    <x v="0"/>
    <n v="150"/>
    <x v="1"/>
  </r>
  <r>
    <n v="455"/>
    <s v="CNTR100454"/>
    <x v="0"/>
    <s v="Maersk Kiel"/>
    <x v="1"/>
    <s v="40GP"/>
    <d v="2026-07-27T00:00:00"/>
    <n v="5"/>
    <d v="2026-08-01T00:00:00"/>
    <d v="2026-08-01T00:00:00"/>
    <n v="110"/>
    <n v="0"/>
    <x v="1"/>
    <s v="NA"/>
    <x v="1"/>
  </r>
  <r>
    <n v="456"/>
    <s v="CNTR100455"/>
    <x v="1"/>
    <s v="Yang Ming Peak"/>
    <x v="9"/>
    <s v="40HC"/>
    <d v="2026-08-16T00:00:00"/>
    <n v="7"/>
    <d v="2026-08-23T00:00:00"/>
    <d v="2026-08-23T00:00:00"/>
    <n v="75"/>
    <n v="0"/>
    <x v="1"/>
    <s v="NA"/>
    <x v="1"/>
  </r>
  <r>
    <n v="457"/>
    <s v="CNTR100456"/>
    <x v="1"/>
    <s v="ONE Kestrel"/>
    <x v="0"/>
    <s v="20GP"/>
    <d v="2026-06-02T00:00:00"/>
    <n v="5"/>
    <d v="2026-06-08T00:00:00"/>
    <d v="2026-06-07T00:00:00"/>
    <n v="110"/>
    <n v="1"/>
    <x v="0"/>
    <n v="110"/>
    <x v="1"/>
  </r>
  <r>
    <n v="458"/>
    <s v="CNTR100457"/>
    <x v="3"/>
    <s v="Evergreen Ace"/>
    <x v="8"/>
    <s v="20GP"/>
    <d v="2026-06-26T00:00:00"/>
    <n v="7"/>
    <m/>
    <d v="2026-07-03T00:00:00"/>
    <n v="110"/>
    <n v="53"/>
    <x v="2"/>
    <n v="5830"/>
    <x v="0"/>
  </r>
  <r>
    <n v="459"/>
    <s v="CNTR100458"/>
    <x v="0"/>
    <s v="ZIM Voyager"/>
    <x v="9"/>
    <s v="20GP"/>
    <d v="2026-08-16T00:00:00"/>
    <n v="5"/>
    <d v="2026-08-17T00:00:00"/>
    <d v="2026-08-21T00:00:00"/>
    <n v="75"/>
    <n v="0"/>
    <x v="1"/>
    <s v="NA"/>
    <x v="1"/>
  </r>
  <r>
    <n v="460"/>
    <s v="CNTR100459"/>
    <x v="3"/>
    <s v="OOCL Bergen"/>
    <x v="2"/>
    <s v="40RF"/>
    <d v="2026-06-14T00:00:00"/>
    <n v="3"/>
    <d v="2026-06-15T00:00:00"/>
    <d v="2026-06-17T00:00:00"/>
    <n v="180"/>
    <n v="0"/>
    <x v="1"/>
    <s v="NA"/>
    <x v="1"/>
  </r>
  <r>
    <n v="461"/>
    <s v="CNTR100460"/>
    <x v="1"/>
    <s v="Hapag Lloyd Bern"/>
    <x v="0"/>
    <s v="40HC"/>
    <d v="2026-07-07T00:00:00"/>
    <n v="6"/>
    <d v="2026-07-08T00:00:00"/>
    <d v="2026-07-13T00:00:00"/>
    <n v="75"/>
    <n v="0"/>
    <x v="1"/>
    <s v="NA"/>
    <x v="1"/>
  </r>
  <r>
    <n v="462"/>
    <s v="CNTR100461"/>
    <x v="0"/>
    <s v="ZIM Voyager"/>
    <x v="0"/>
    <s v="40HC"/>
    <d v="2026-08-24T00:00:00"/>
    <n v="5"/>
    <d v="2026-08-25T00:00:00"/>
    <d v="2026-08-29T00:00:00"/>
    <n v="110"/>
    <n v="0"/>
    <x v="1"/>
    <s v="NA"/>
    <x v="1"/>
  </r>
  <r>
    <n v="463"/>
    <s v="CNTR100462"/>
    <x v="2"/>
    <s v="Hapag Lloyd Bern"/>
    <x v="2"/>
    <s v="40HC"/>
    <d v="2026-06-27T00:00:00"/>
    <n v="5"/>
    <d v="2026-07-02T00:00:00"/>
    <d v="2026-07-02T00:00:00"/>
    <n v="75"/>
    <n v="0"/>
    <x v="1"/>
    <s v="NA"/>
    <x v="1"/>
  </r>
  <r>
    <n v="464"/>
    <s v="CNTR100463"/>
    <x v="1"/>
    <s v="ONE Kestrel"/>
    <x v="0"/>
    <s v="40RF"/>
    <d v="2026-06-06T00:00:00"/>
    <n v="3"/>
    <m/>
    <d v="2026-06-09T00:00:00"/>
    <n v="120"/>
    <n v="77"/>
    <x v="2"/>
    <n v="9240"/>
    <x v="0"/>
  </r>
  <r>
    <n v="465"/>
    <s v="CNTR100464"/>
    <x v="0"/>
    <s v="Maersk Kiel"/>
    <x v="4"/>
    <s v="40RF"/>
    <d v="2026-06-01T00:00:00"/>
    <n v="4"/>
    <d v="2026-06-09T00:00:00"/>
    <d v="2026-06-05T00:00:00"/>
    <n v="120"/>
    <n v="4"/>
    <x v="0"/>
    <n v="480"/>
    <x v="1"/>
  </r>
  <r>
    <n v="466"/>
    <s v="CNTR100465"/>
    <x v="2"/>
    <s v="Maersk Kiel"/>
    <x v="0"/>
    <s v="40HC"/>
    <d v="2026-07-13T00:00:00"/>
    <n v="5"/>
    <d v="2026-07-22T00:00:00"/>
    <d v="2026-07-18T00:00:00"/>
    <n v="75"/>
    <n v="4"/>
    <x v="0"/>
    <n v="300"/>
    <x v="1"/>
  </r>
  <r>
    <n v="467"/>
    <s v="CNTR100466"/>
    <x v="0"/>
    <s v="ZIM Voyager"/>
    <x v="0"/>
    <s v="40HC"/>
    <d v="2026-06-22T00:00:00"/>
    <n v="5"/>
    <d v="2026-06-23T00:00:00"/>
    <d v="2026-06-27T00:00:00"/>
    <n v="75"/>
    <n v="0"/>
    <x v="1"/>
    <s v="NA"/>
    <x v="1"/>
  </r>
  <r>
    <n v="468"/>
    <s v="CNTR100467"/>
    <x v="3"/>
    <s v="Hapag Lloyd Bern"/>
    <x v="9"/>
    <s v="20GP"/>
    <d v="2026-08-24T00:00:00"/>
    <n v="5"/>
    <m/>
    <d v="2026-08-29T00:00:00"/>
    <n v="75"/>
    <n v="0"/>
    <x v="1"/>
    <s v="NA"/>
    <x v="0"/>
  </r>
  <r>
    <n v="469"/>
    <s v="CNTR100468"/>
    <x v="2"/>
    <s v="ZIM Voyager"/>
    <x v="8"/>
    <s v="40HC"/>
    <d v="2026-05-30T00:00:00"/>
    <n v="4"/>
    <d v="2026-06-02T00:00:00"/>
    <d v="2026-06-03T00:00:00"/>
    <n v="130"/>
    <n v="0"/>
    <x v="1"/>
    <s v="NA"/>
    <x v="1"/>
  </r>
  <r>
    <n v="470"/>
    <s v="CNTR100469"/>
    <x v="2"/>
    <s v="Maersk Kiel"/>
    <x v="8"/>
    <s v="40RF"/>
    <d v="2026-08-15T00:00:00"/>
    <n v="4"/>
    <d v="2026-08-16T00:00:00"/>
    <d v="2026-08-19T00:00:00"/>
    <n v="150"/>
    <n v="0"/>
    <x v="1"/>
    <s v="NA"/>
    <x v="1"/>
  </r>
  <r>
    <n v="471"/>
    <s v="CNTR100470"/>
    <x v="0"/>
    <s v="Hapag Lloyd Bern"/>
    <x v="9"/>
    <s v="20GP"/>
    <d v="2026-06-02T00:00:00"/>
    <n v="6"/>
    <d v="2026-06-11T00:00:00"/>
    <d v="2026-06-08T00:00:00"/>
    <n v="60"/>
    <n v="3"/>
    <x v="0"/>
    <n v="180"/>
    <x v="1"/>
  </r>
  <r>
    <n v="472"/>
    <s v="CNTR100471"/>
    <x v="1"/>
    <s v="CMA CGM Rhone"/>
    <x v="9"/>
    <s v="40RF"/>
    <d v="2026-06-28T00:00:00"/>
    <n v="4"/>
    <d v="2026-07-07T00:00:00"/>
    <d v="2026-07-02T00:00:00"/>
    <n v="180"/>
    <n v="5"/>
    <x v="0"/>
    <n v="900"/>
    <x v="1"/>
  </r>
  <r>
    <n v="473"/>
    <s v="CNTR100472"/>
    <x v="2"/>
    <s v="MSC Elena"/>
    <x v="5"/>
    <s v="40RF"/>
    <d v="2026-08-07T00:00:00"/>
    <n v="3"/>
    <d v="2026-08-08T00:00:00"/>
    <d v="2026-08-10T00:00:00"/>
    <n v="150"/>
    <n v="0"/>
    <x v="1"/>
    <s v="NA"/>
    <x v="1"/>
  </r>
  <r>
    <n v="474"/>
    <s v="CNTR100473"/>
    <x v="3"/>
    <s v="OOCL Bergen"/>
    <x v="2"/>
    <s v="20GP"/>
    <d v="2026-07-05T00:00:00"/>
    <n v="5"/>
    <d v="2026-07-07T00:00:00"/>
    <d v="2026-07-10T00:00:00"/>
    <n v="75"/>
    <n v="0"/>
    <x v="1"/>
    <s v="NA"/>
    <x v="1"/>
  </r>
  <r>
    <n v="475"/>
    <s v="CNTR100474"/>
    <x v="0"/>
    <s v="COSCO Harmony"/>
    <x v="7"/>
    <s v="40RF"/>
    <d v="2026-06-15T00:00:00"/>
    <n v="4"/>
    <d v="2026-06-16T00:00:00"/>
    <d v="2026-06-19T00:00:00"/>
    <n v="180"/>
    <n v="0"/>
    <x v="1"/>
    <s v="NA"/>
    <x v="1"/>
  </r>
  <r>
    <n v="476"/>
    <s v="CNTR100475"/>
    <x v="2"/>
    <s v="Yang Ming Peak"/>
    <x v="5"/>
    <s v="40HC"/>
    <d v="2026-07-14T00:00:00"/>
    <n v="5"/>
    <d v="2026-07-17T00:00:00"/>
    <d v="2026-07-19T00:00:00"/>
    <n v="130"/>
    <n v="0"/>
    <x v="1"/>
    <s v="NA"/>
    <x v="1"/>
  </r>
  <r>
    <n v="477"/>
    <s v="CNTR100476"/>
    <x v="0"/>
    <s v="Maersk Kiel"/>
    <x v="1"/>
    <s v="20GP"/>
    <d v="2026-08-04T00:00:00"/>
    <n v="5"/>
    <d v="2026-08-09T00:00:00"/>
    <d v="2026-08-09T00:00:00"/>
    <n v="75"/>
    <n v="0"/>
    <x v="1"/>
    <s v="NA"/>
    <x v="1"/>
  </r>
  <r>
    <n v="478"/>
    <s v="CNTR100477"/>
    <x v="0"/>
    <s v="MSC Elena"/>
    <x v="2"/>
    <s v="40HC"/>
    <d v="2026-07-06T00:00:00"/>
    <n v="5"/>
    <d v="2026-07-12T00:00:00"/>
    <d v="2026-07-11T00:00:00"/>
    <n v="110"/>
    <n v="1"/>
    <x v="0"/>
    <n v="110"/>
    <x v="1"/>
  </r>
  <r>
    <n v="479"/>
    <s v="CNTR100478"/>
    <x v="3"/>
    <s v="ZIM Voyager"/>
    <x v="5"/>
    <s v="40RF"/>
    <d v="2026-07-04T00:00:00"/>
    <n v="3"/>
    <d v="2026-07-10T00:00:00"/>
    <d v="2026-07-07T00:00:00"/>
    <n v="150"/>
    <n v="3"/>
    <x v="0"/>
    <n v="450"/>
    <x v="1"/>
  </r>
  <r>
    <n v="480"/>
    <s v="CNTR100479"/>
    <x v="2"/>
    <s v="ONE Kestrel"/>
    <x v="0"/>
    <s v="40RF"/>
    <d v="2026-07-21T00:00:00"/>
    <n v="3"/>
    <m/>
    <d v="2026-07-24T00:00:00"/>
    <n v="180"/>
    <n v="32"/>
    <x v="2"/>
    <n v="5760"/>
    <x v="0"/>
  </r>
  <r>
    <n v="481"/>
    <s v="CNTR100480"/>
    <x v="2"/>
    <s v="COSCO Harmony"/>
    <x v="0"/>
    <s v="40GP"/>
    <d v="2026-07-15T00:00:00"/>
    <n v="4"/>
    <m/>
    <d v="2026-07-19T00:00:00"/>
    <n v="130"/>
    <n v="37"/>
    <x v="2"/>
    <n v="4810"/>
    <x v="0"/>
  </r>
  <r>
    <n v="482"/>
    <s v="CNTR100481"/>
    <x v="2"/>
    <s v="COSCO Harmony"/>
    <x v="0"/>
    <s v="20GP"/>
    <d v="2026-07-20T00:00:00"/>
    <n v="6"/>
    <d v="2026-07-30T00:00:00"/>
    <d v="2026-07-26T00:00:00"/>
    <n v="90"/>
    <n v="4"/>
    <x v="0"/>
    <n v="360"/>
    <x v="1"/>
  </r>
  <r>
    <n v="483"/>
    <s v="CNTR100482"/>
    <x v="1"/>
    <s v="Evergreen Ace"/>
    <x v="4"/>
    <s v="20GP"/>
    <d v="2026-08-19T00:00:00"/>
    <n v="7"/>
    <d v="2026-08-23T00:00:00"/>
    <d v="2026-08-26T00:00:00"/>
    <n v="130"/>
    <n v="0"/>
    <x v="1"/>
    <s v="NA"/>
    <x v="1"/>
  </r>
  <r>
    <n v="484"/>
    <s v="CNTR100483"/>
    <x v="0"/>
    <s v="ONE Kestrel"/>
    <x v="2"/>
    <s v="40HC"/>
    <d v="2026-07-22T00:00:00"/>
    <n v="5"/>
    <d v="2026-07-28T00:00:00"/>
    <d v="2026-07-27T00:00:00"/>
    <n v="130"/>
    <n v="1"/>
    <x v="0"/>
    <n v="130"/>
    <x v="1"/>
  </r>
  <r>
    <n v="485"/>
    <s v="CNTR100484"/>
    <x v="2"/>
    <s v="CMA CGM Rhone"/>
    <x v="8"/>
    <s v="40GP"/>
    <d v="2026-06-03T00:00:00"/>
    <n v="5"/>
    <d v="2026-06-06T00:00:00"/>
    <d v="2026-06-08T00:00:00"/>
    <n v="60"/>
    <n v="0"/>
    <x v="1"/>
    <s v="NA"/>
    <x v="1"/>
  </r>
  <r>
    <n v="486"/>
    <s v="CNTR100485"/>
    <x v="2"/>
    <s v="Hapag Lloyd Bern"/>
    <x v="5"/>
    <s v="40RF"/>
    <d v="2026-07-05T00:00:00"/>
    <n v="4"/>
    <d v="2026-07-07T00:00:00"/>
    <d v="2026-07-09T00:00:00"/>
    <n v="120"/>
    <n v="0"/>
    <x v="1"/>
    <s v="NA"/>
    <x v="1"/>
  </r>
  <r>
    <n v="487"/>
    <s v="CNTR100486"/>
    <x v="2"/>
    <s v="Evergreen Ace"/>
    <x v="3"/>
    <s v="40GP"/>
    <d v="2026-07-12T00:00:00"/>
    <n v="4"/>
    <d v="2026-07-18T00:00:00"/>
    <d v="2026-07-16T00:00:00"/>
    <n v="60"/>
    <n v="2"/>
    <x v="0"/>
    <n v="120"/>
    <x v="1"/>
  </r>
  <r>
    <n v="488"/>
    <s v="CNTR100487"/>
    <x v="1"/>
    <s v="ZIM Voyager"/>
    <x v="1"/>
    <s v="40RF"/>
    <d v="2026-07-04T00:00:00"/>
    <n v="3"/>
    <d v="2026-07-05T00:00:00"/>
    <d v="2026-07-07T00:00:00"/>
    <n v="120"/>
    <n v="0"/>
    <x v="1"/>
    <s v="NA"/>
    <x v="1"/>
  </r>
  <r>
    <n v="489"/>
    <s v="CNTR100488"/>
    <x v="3"/>
    <s v="OOCL Bergen"/>
    <x v="1"/>
    <s v="20GP"/>
    <d v="2026-07-19T00:00:00"/>
    <n v="4"/>
    <d v="2026-07-30T00:00:00"/>
    <d v="2026-07-23T00:00:00"/>
    <n v="110"/>
    <n v="7"/>
    <x v="0"/>
    <n v="770"/>
    <x v="1"/>
  </r>
  <r>
    <n v="490"/>
    <s v="CNTR100489"/>
    <x v="0"/>
    <s v="Maersk Kiel"/>
    <x v="0"/>
    <s v="40HC"/>
    <d v="2026-08-16T00:00:00"/>
    <n v="7"/>
    <d v="2026-08-17T00:00:00"/>
    <d v="2026-08-23T00:00:00"/>
    <n v="75"/>
    <n v="0"/>
    <x v="1"/>
    <s v="NA"/>
    <x v="1"/>
  </r>
  <r>
    <n v="491"/>
    <s v="CNTR100490"/>
    <x v="0"/>
    <s v="CMA CGM Rhone"/>
    <x v="5"/>
    <s v="20GP"/>
    <d v="2026-07-09T00:00:00"/>
    <n v="4"/>
    <d v="2026-07-12T00:00:00"/>
    <d v="2026-07-13T00:00:00"/>
    <n v="60"/>
    <n v="0"/>
    <x v="1"/>
    <s v="NA"/>
    <x v="1"/>
  </r>
  <r>
    <n v="492"/>
    <s v="CNTR100491"/>
    <x v="1"/>
    <s v="ONE Kestrel"/>
    <x v="1"/>
    <s v="20GP"/>
    <d v="2026-06-27T00:00:00"/>
    <n v="5"/>
    <d v="2026-06-28T00:00:00"/>
    <d v="2026-07-02T00:00:00"/>
    <n v="130"/>
    <n v="0"/>
    <x v="1"/>
    <s v="NA"/>
    <x v="1"/>
  </r>
  <r>
    <n v="493"/>
    <s v="CNTR100492"/>
    <x v="1"/>
    <s v="MSC Elena"/>
    <x v="9"/>
    <s v="40RF"/>
    <d v="2026-08-10T00:00:00"/>
    <n v="4"/>
    <m/>
    <d v="2026-08-14T00:00:00"/>
    <n v="180"/>
    <n v="11"/>
    <x v="2"/>
    <n v="1980"/>
    <x v="0"/>
  </r>
  <r>
    <n v="494"/>
    <s v="CNTR100493"/>
    <x v="0"/>
    <s v="ONE Kestrel"/>
    <x v="9"/>
    <s v="40GP"/>
    <d v="2026-07-28T00:00:00"/>
    <n v="7"/>
    <d v="2026-08-03T00:00:00"/>
    <d v="2026-08-04T00:00:00"/>
    <n v="75"/>
    <n v="0"/>
    <x v="1"/>
    <s v="NA"/>
    <x v="1"/>
  </r>
  <r>
    <n v="495"/>
    <s v="CNTR100494"/>
    <x v="0"/>
    <s v="ZIM Voyager"/>
    <x v="9"/>
    <s v="20GP"/>
    <d v="2026-07-27T00:00:00"/>
    <n v="5"/>
    <m/>
    <d v="2026-08-01T00:00:00"/>
    <n v="130"/>
    <n v="24"/>
    <x v="2"/>
    <n v="3120"/>
    <x v="0"/>
  </r>
  <r>
    <n v="496"/>
    <s v="CNTR100495"/>
    <x v="0"/>
    <s v="Hapag Lloyd Bern"/>
    <x v="5"/>
    <s v="20GP"/>
    <d v="2026-06-05T00:00:00"/>
    <n v="5"/>
    <d v="2026-06-06T00:00:00"/>
    <d v="2026-06-10T00:00:00"/>
    <n v="130"/>
    <n v="0"/>
    <x v="1"/>
    <s v="NA"/>
    <x v="1"/>
  </r>
  <r>
    <n v="497"/>
    <s v="CNTR100496"/>
    <x v="2"/>
    <s v="OOCL Bergen"/>
    <x v="7"/>
    <s v="40HC"/>
    <d v="2026-06-17T00:00:00"/>
    <n v="5"/>
    <d v="2026-06-19T00:00:00"/>
    <d v="2026-06-22T00:00:00"/>
    <n v="90"/>
    <n v="0"/>
    <x v="1"/>
    <s v="NA"/>
    <x v="1"/>
  </r>
  <r>
    <n v="498"/>
    <s v="CNTR100497"/>
    <x v="1"/>
    <s v="Yang Ming Peak"/>
    <x v="2"/>
    <s v="40GP"/>
    <d v="2026-06-30T00:00:00"/>
    <n v="6"/>
    <d v="2026-07-10T00:00:00"/>
    <d v="2026-07-06T00:00:00"/>
    <n v="75"/>
    <n v="4"/>
    <x v="0"/>
    <n v="300"/>
    <x v="1"/>
  </r>
  <r>
    <n v="499"/>
    <s v="CNTR100498"/>
    <x v="0"/>
    <s v="ZIM Voyager"/>
    <x v="1"/>
    <s v="20GP"/>
    <d v="2026-07-04T00:00:00"/>
    <n v="5"/>
    <m/>
    <d v="2026-07-09T00:00:00"/>
    <n v="75"/>
    <n v="47"/>
    <x v="2"/>
    <n v="3525"/>
    <x v="0"/>
  </r>
  <r>
    <n v="500"/>
    <s v="CNTR100499"/>
    <x v="1"/>
    <s v="COSCO Harmony"/>
    <x v="7"/>
    <s v="40RF"/>
    <d v="2026-07-30T00:00:00"/>
    <n v="4"/>
    <d v="2026-07-31T00:00:00"/>
    <d v="2026-08-03T00:00:00"/>
    <n v="150"/>
    <n v="0"/>
    <x v="1"/>
    <s v="NA"/>
    <x v="1"/>
  </r>
  <r>
    <n v="501"/>
    <s v="CNTR100500"/>
    <x v="3"/>
    <s v="COSCO Harmony"/>
    <x v="8"/>
    <s v="20GP"/>
    <d v="2026-06-07T00:00:00"/>
    <n v="4"/>
    <m/>
    <d v="2026-06-11T00:00:00"/>
    <n v="75"/>
    <n v="75"/>
    <x v="2"/>
    <n v="5625"/>
    <x v="0"/>
  </r>
  <r>
    <n v="502"/>
    <s v="CNTR100501"/>
    <x v="2"/>
    <s v="MSC Elena"/>
    <x v="9"/>
    <s v="40HC"/>
    <d v="2026-06-14T00:00:00"/>
    <n v="5"/>
    <d v="2026-06-15T00:00:00"/>
    <d v="2026-06-19T00:00:00"/>
    <n v="90"/>
    <n v="0"/>
    <x v="1"/>
    <s v="NA"/>
    <x v="1"/>
  </r>
  <r>
    <n v="503"/>
    <s v="CNTR100502"/>
    <x v="0"/>
    <s v="CMA CGM Rhone"/>
    <x v="7"/>
    <s v="40GP"/>
    <d v="2026-05-28T00:00:00"/>
    <n v="5"/>
    <d v="2026-05-31T00:00:00"/>
    <d v="2026-06-02T00:00:00"/>
    <n v="60"/>
    <n v="0"/>
    <x v="1"/>
    <s v="NA"/>
    <x v="1"/>
  </r>
  <r>
    <n v="504"/>
    <s v="CNTR100503"/>
    <x v="2"/>
    <s v="CMA CGM Rhone"/>
    <x v="5"/>
    <s v="20GP"/>
    <d v="2026-08-05T00:00:00"/>
    <n v="5"/>
    <d v="2026-08-06T00:00:00"/>
    <d v="2026-08-10T00:00:00"/>
    <n v="90"/>
    <n v="0"/>
    <x v="1"/>
    <s v="NA"/>
    <x v="1"/>
  </r>
  <r>
    <n v="505"/>
    <s v="CNTR100504"/>
    <x v="0"/>
    <s v="Yang Ming Peak"/>
    <x v="3"/>
    <s v="20GP"/>
    <d v="2026-06-18T00:00:00"/>
    <n v="7"/>
    <m/>
    <d v="2026-06-25T00:00:00"/>
    <n v="110"/>
    <n v="61"/>
    <x v="2"/>
    <n v="6710"/>
    <x v="0"/>
  </r>
  <r>
    <n v="506"/>
    <s v="CNTR100505"/>
    <x v="3"/>
    <s v="ONE Kestrel"/>
    <x v="8"/>
    <s v="20GP"/>
    <d v="2026-07-31T00:00:00"/>
    <n v="5"/>
    <d v="2026-08-07T00:00:00"/>
    <d v="2026-08-05T00:00:00"/>
    <n v="130"/>
    <n v="2"/>
    <x v="0"/>
    <n v="260"/>
    <x v="1"/>
  </r>
  <r>
    <n v="507"/>
    <s v="CNTR100506"/>
    <x v="2"/>
    <s v="Hapag Lloyd Bern"/>
    <x v="3"/>
    <s v="40RF"/>
    <d v="2026-08-07T00:00:00"/>
    <n v="3"/>
    <m/>
    <d v="2026-08-10T00:00:00"/>
    <n v="120"/>
    <n v="15"/>
    <x v="2"/>
    <n v="1800"/>
    <x v="0"/>
  </r>
  <r>
    <n v="508"/>
    <s v="CNTR100507"/>
    <x v="2"/>
    <s v="MSC Elena"/>
    <x v="7"/>
    <s v="20GP"/>
    <d v="2026-06-26T00:00:00"/>
    <n v="4"/>
    <m/>
    <d v="2026-06-30T00:00:00"/>
    <n v="130"/>
    <n v="56"/>
    <x v="2"/>
    <n v="7280"/>
    <x v="0"/>
  </r>
  <r>
    <n v="509"/>
    <s v="CNTR100508"/>
    <x v="1"/>
    <s v="ONE Kestrel"/>
    <x v="5"/>
    <s v="40RF"/>
    <d v="2026-06-23T00:00:00"/>
    <n v="4"/>
    <d v="2026-06-29T00:00:00"/>
    <d v="2026-06-27T00:00:00"/>
    <n v="150"/>
    <n v="2"/>
    <x v="0"/>
    <n v="300"/>
    <x v="1"/>
  </r>
  <r>
    <n v="510"/>
    <s v="CNTR100509"/>
    <x v="2"/>
    <s v="CMA CGM Rhone"/>
    <x v="6"/>
    <s v="40GP"/>
    <d v="2026-07-30T00:00:00"/>
    <n v="6"/>
    <d v="2026-08-05T00:00:00"/>
    <d v="2026-08-05T00:00:00"/>
    <n v="130"/>
    <n v="0"/>
    <x v="1"/>
    <s v="NA"/>
    <x v="1"/>
  </r>
  <r>
    <n v="511"/>
    <s v="CNTR100510"/>
    <x v="2"/>
    <s v="CMA CGM Rhone"/>
    <x v="2"/>
    <s v="20GP"/>
    <d v="2026-06-25T00:00:00"/>
    <n v="5"/>
    <d v="2026-06-27T00:00:00"/>
    <d v="2026-06-30T00:00:00"/>
    <n v="75"/>
    <n v="0"/>
    <x v="1"/>
    <s v="NA"/>
    <x v="1"/>
  </r>
  <r>
    <n v="512"/>
    <s v="CNTR100511"/>
    <x v="2"/>
    <s v="Yang Ming Peak"/>
    <x v="2"/>
    <s v="40GP"/>
    <d v="2026-08-09T00:00:00"/>
    <n v="6"/>
    <d v="2026-08-10T00:00:00"/>
    <d v="2026-08-15T00:00:00"/>
    <n v="60"/>
    <n v="0"/>
    <x v="1"/>
    <s v="NA"/>
    <x v="1"/>
  </r>
  <r>
    <n v="513"/>
    <s v="CNTR100512"/>
    <x v="3"/>
    <s v="OOCL Bergen"/>
    <x v="7"/>
    <s v="40RF"/>
    <d v="2026-06-13T00:00:00"/>
    <n v="4"/>
    <d v="2026-06-14T00:00:00"/>
    <d v="2026-06-17T00:00:00"/>
    <n v="120"/>
    <n v="0"/>
    <x v="1"/>
    <s v="NA"/>
    <x v="1"/>
  </r>
  <r>
    <n v="514"/>
    <s v="CNTR100513"/>
    <x v="3"/>
    <s v="CMA CGM Rhone"/>
    <x v="1"/>
    <s v="20GP"/>
    <d v="2026-08-20T00:00:00"/>
    <n v="6"/>
    <m/>
    <d v="2026-08-26T00:00:00"/>
    <n v="75"/>
    <n v="0"/>
    <x v="1"/>
    <s v="NA"/>
    <x v="0"/>
  </r>
  <r>
    <n v="515"/>
    <s v="CNTR100514"/>
    <x v="3"/>
    <s v="MSC Elena"/>
    <x v="9"/>
    <s v="40RF"/>
    <d v="2026-07-22T00:00:00"/>
    <n v="3"/>
    <m/>
    <d v="2026-07-25T00:00:00"/>
    <n v="120"/>
    <n v="31"/>
    <x v="2"/>
    <n v="3720"/>
    <x v="0"/>
  </r>
  <r>
    <n v="516"/>
    <s v="CNTR100515"/>
    <x v="2"/>
    <s v="CMA CGM Rhone"/>
    <x v="6"/>
    <s v="40GP"/>
    <d v="2026-08-06T00:00:00"/>
    <n v="7"/>
    <m/>
    <d v="2026-08-13T00:00:00"/>
    <n v="130"/>
    <n v="12"/>
    <x v="2"/>
    <n v="1560"/>
    <x v="0"/>
  </r>
  <r>
    <n v="517"/>
    <s v="CNTR100516"/>
    <x v="0"/>
    <s v="CMA CGM Rhone"/>
    <x v="9"/>
    <s v="40RF"/>
    <d v="2026-08-24T00:00:00"/>
    <n v="3"/>
    <d v="2026-08-25T00:00:00"/>
    <d v="2026-08-27T00:00:00"/>
    <n v="180"/>
    <n v="0"/>
    <x v="1"/>
    <s v="NA"/>
    <x v="1"/>
  </r>
  <r>
    <n v="518"/>
    <s v="CNTR100517"/>
    <x v="1"/>
    <s v="COSCO Harmony"/>
    <x v="9"/>
    <s v="20GP"/>
    <d v="2026-08-18T00:00:00"/>
    <n v="7"/>
    <d v="2026-08-19T00:00:00"/>
    <d v="2026-08-25T00:00:00"/>
    <n v="130"/>
    <n v="0"/>
    <x v="1"/>
    <s v="NA"/>
    <x v="1"/>
  </r>
  <r>
    <n v="519"/>
    <s v="CNTR100518"/>
    <x v="3"/>
    <s v="MSC Elena"/>
    <x v="3"/>
    <s v="40RF"/>
    <d v="2026-07-29T00:00:00"/>
    <n v="3"/>
    <d v="2026-08-02T00:00:00"/>
    <d v="2026-08-01T00:00:00"/>
    <n v="180"/>
    <n v="1"/>
    <x v="0"/>
    <n v="180"/>
    <x v="1"/>
  </r>
  <r>
    <n v="520"/>
    <s v="CNTR100519"/>
    <x v="3"/>
    <s v="Hapag Lloyd Bern"/>
    <x v="6"/>
    <s v="20GP"/>
    <d v="2026-06-16T00:00:00"/>
    <n v="7"/>
    <d v="2026-06-28T00:00:00"/>
    <d v="2026-06-23T00:00:00"/>
    <n v="60"/>
    <n v="5"/>
    <x v="0"/>
    <n v="300"/>
    <x v="1"/>
  </r>
  <r>
    <n v="521"/>
    <s v="CNTR100520"/>
    <x v="1"/>
    <s v="ONE Kestrel"/>
    <x v="8"/>
    <s v="40HC"/>
    <d v="2026-07-16T00:00:00"/>
    <n v="5"/>
    <m/>
    <d v="2026-07-21T00:00:00"/>
    <n v="130"/>
    <n v="35"/>
    <x v="2"/>
    <n v="4550"/>
    <x v="0"/>
  </r>
  <r>
    <n v="522"/>
    <s v="CNTR100521"/>
    <x v="0"/>
    <s v="OOCL Bergen"/>
    <x v="7"/>
    <s v="20GP"/>
    <d v="2026-08-15T00:00:00"/>
    <n v="4"/>
    <m/>
    <d v="2026-08-19T00:00:00"/>
    <n v="130"/>
    <n v="6"/>
    <x v="0"/>
    <n v="780"/>
    <x v="0"/>
  </r>
  <r>
    <n v="523"/>
    <s v="CNTR100522"/>
    <x v="3"/>
    <s v="COSCO Harmony"/>
    <x v="0"/>
    <s v="40RF"/>
    <d v="2026-07-03T00:00:00"/>
    <n v="4"/>
    <d v="2026-07-10T00:00:00"/>
    <d v="2026-07-07T00:00:00"/>
    <n v="120"/>
    <n v="3"/>
    <x v="0"/>
    <n v="360"/>
    <x v="1"/>
  </r>
  <r>
    <n v="524"/>
    <s v="CNTR100523"/>
    <x v="1"/>
    <s v="MSC Elena"/>
    <x v="7"/>
    <s v="20GP"/>
    <d v="2026-05-31T00:00:00"/>
    <n v="5"/>
    <d v="2026-06-01T00:00:00"/>
    <d v="2026-06-05T00:00:00"/>
    <n v="75"/>
    <n v="0"/>
    <x v="1"/>
    <s v="NA"/>
    <x v="1"/>
  </r>
  <r>
    <n v="525"/>
    <s v="CNTR100524"/>
    <x v="0"/>
    <s v="Yang Ming Peak"/>
    <x v="8"/>
    <s v="40GP"/>
    <d v="2026-07-23T00:00:00"/>
    <n v="5"/>
    <d v="2026-07-31T00:00:00"/>
    <d v="2026-07-28T00:00:00"/>
    <n v="60"/>
    <n v="3"/>
    <x v="0"/>
    <n v="180"/>
    <x v="1"/>
  </r>
  <r>
    <n v="526"/>
    <s v="CNTR100525"/>
    <x v="0"/>
    <s v="Hapag Lloyd Bern"/>
    <x v="6"/>
    <s v="40GP"/>
    <d v="2026-06-29T00:00:00"/>
    <n v="5"/>
    <d v="2026-06-30T00:00:00"/>
    <d v="2026-07-04T00:00:00"/>
    <n v="130"/>
    <n v="0"/>
    <x v="1"/>
    <s v="NA"/>
    <x v="1"/>
  </r>
  <r>
    <n v="527"/>
    <s v="CNTR100526"/>
    <x v="0"/>
    <s v="Evergreen Ace"/>
    <x v="1"/>
    <s v="20GP"/>
    <d v="2026-07-03T00:00:00"/>
    <n v="7"/>
    <m/>
    <d v="2026-07-10T00:00:00"/>
    <n v="75"/>
    <n v="46"/>
    <x v="2"/>
    <n v="3450"/>
    <x v="0"/>
  </r>
  <r>
    <n v="528"/>
    <s v="CNTR100527"/>
    <x v="0"/>
    <s v="ONE Kestrel"/>
    <x v="7"/>
    <s v="40GP"/>
    <d v="2026-07-12T00:00:00"/>
    <n v="4"/>
    <d v="2026-07-13T00:00:00"/>
    <d v="2026-07-16T00:00:00"/>
    <n v="60"/>
    <n v="0"/>
    <x v="1"/>
    <s v="NA"/>
    <x v="1"/>
  </r>
  <r>
    <n v="529"/>
    <s v="CNTR100528"/>
    <x v="1"/>
    <s v="ONE Kestrel"/>
    <x v="0"/>
    <s v="40HC"/>
    <d v="2026-07-09T00:00:00"/>
    <n v="4"/>
    <d v="2026-07-15T00:00:00"/>
    <d v="2026-07-13T00:00:00"/>
    <n v="130"/>
    <n v="2"/>
    <x v="0"/>
    <n v="260"/>
    <x v="1"/>
  </r>
  <r>
    <n v="530"/>
    <s v="CNTR100529"/>
    <x v="1"/>
    <s v="COSCO Harmony"/>
    <x v="1"/>
    <s v="40RF"/>
    <d v="2026-06-19T00:00:00"/>
    <n v="4"/>
    <d v="2026-06-22T00:00:00"/>
    <d v="2026-06-23T00:00:00"/>
    <n v="180"/>
    <n v="0"/>
    <x v="1"/>
    <s v="NA"/>
    <x v="1"/>
  </r>
  <r>
    <n v="531"/>
    <s v="CNTR100530"/>
    <x v="1"/>
    <s v="OOCL Bergen"/>
    <x v="1"/>
    <s v="40HC"/>
    <d v="2026-08-23T00:00:00"/>
    <n v="5"/>
    <d v="2026-08-25T00:00:00"/>
    <d v="2026-08-28T00:00:00"/>
    <n v="130"/>
    <n v="0"/>
    <x v="1"/>
    <s v="NA"/>
    <x v="1"/>
  </r>
  <r>
    <n v="532"/>
    <s v="CNTR100531"/>
    <x v="2"/>
    <s v="ZIM Voyager"/>
    <x v="3"/>
    <s v="40HC"/>
    <d v="2026-07-05T00:00:00"/>
    <n v="5"/>
    <d v="2026-07-16T00:00:00"/>
    <d v="2026-07-10T00:00:00"/>
    <n v="60"/>
    <n v="6"/>
    <x v="0"/>
    <n v="360"/>
    <x v="1"/>
  </r>
  <r>
    <n v="533"/>
    <s v="CNTR100532"/>
    <x v="1"/>
    <s v="OOCL Bergen"/>
    <x v="8"/>
    <s v="40GP"/>
    <d v="2026-06-02T00:00:00"/>
    <n v="4"/>
    <d v="2026-06-04T00:00:00"/>
    <d v="2026-06-06T00:00:00"/>
    <n v="60"/>
    <n v="0"/>
    <x v="1"/>
    <s v="NA"/>
    <x v="1"/>
  </r>
  <r>
    <n v="534"/>
    <s v="CNTR100533"/>
    <x v="1"/>
    <s v="COSCO Harmony"/>
    <x v="7"/>
    <s v="20GP"/>
    <d v="2026-07-09T00:00:00"/>
    <n v="4"/>
    <m/>
    <d v="2026-07-13T00:00:00"/>
    <n v="60"/>
    <n v="43"/>
    <x v="2"/>
    <n v="2580"/>
    <x v="0"/>
  </r>
  <r>
    <n v="535"/>
    <s v="CNTR100534"/>
    <x v="2"/>
    <s v="COSCO Harmony"/>
    <x v="8"/>
    <s v="40RF"/>
    <d v="2026-08-02T00:00:00"/>
    <n v="3"/>
    <m/>
    <d v="2026-08-05T00:00:00"/>
    <n v="150"/>
    <n v="20"/>
    <x v="2"/>
    <n v="3000"/>
    <x v="0"/>
  </r>
  <r>
    <n v="536"/>
    <s v="CNTR100535"/>
    <x v="2"/>
    <s v="Maersk Kiel"/>
    <x v="4"/>
    <s v="20GP"/>
    <d v="2026-06-27T00:00:00"/>
    <n v="5"/>
    <d v="2026-06-28T00:00:00"/>
    <d v="2026-07-02T00:00:00"/>
    <n v="75"/>
    <n v="0"/>
    <x v="1"/>
    <s v="NA"/>
    <x v="1"/>
  </r>
  <r>
    <n v="537"/>
    <s v="CNTR100536"/>
    <x v="1"/>
    <s v="Hapag Lloyd Bern"/>
    <x v="1"/>
    <s v="20GP"/>
    <d v="2026-07-29T00:00:00"/>
    <n v="5"/>
    <d v="2026-08-02T00:00:00"/>
    <d v="2026-08-03T00:00:00"/>
    <n v="75"/>
    <n v="0"/>
    <x v="1"/>
    <s v="NA"/>
    <x v="1"/>
  </r>
  <r>
    <n v="538"/>
    <s v="CNTR100537"/>
    <x v="1"/>
    <s v="CMA CGM Rhone"/>
    <x v="3"/>
    <s v="40HC"/>
    <d v="2026-06-01T00:00:00"/>
    <n v="5"/>
    <m/>
    <d v="2026-06-06T00:00:00"/>
    <n v="75"/>
    <n v="80"/>
    <x v="2"/>
    <n v="6000"/>
    <x v="0"/>
  </r>
  <r>
    <n v="539"/>
    <s v="CNTR100538"/>
    <x v="2"/>
    <s v="CMA CGM Rhone"/>
    <x v="7"/>
    <s v="40RF"/>
    <d v="2026-07-23T00:00:00"/>
    <n v="4"/>
    <m/>
    <d v="2026-07-27T00:00:00"/>
    <n v="180"/>
    <n v="29"/>
    <x v="2"/>
    <n v="5220"/>
    <x v="0"/>
  </r>
  <r>
    <n v="540"/>
    <s v="CNTR100539"/>
    <x v="3"/>
    <s v="MSC Elena"/>
    <x v="6"/>
    <s v="40HC"/>
    <d v="2026-08-23T00:00:00"/>
    <n v="5"/>
    <d v="2026-08-25T00:00:00"/>
    <d v="2026-08-28T00:00:00"/>
    <n v="75"/>
    <n v="0"/>
    <x v="1"/>
    <s v="NA"/>
    <x v="1"/>
  </r>
  <r>
    <n v="541"/>
    <s v="CNTR100540"/>
    <x v="0"/>
    <s v="ONE Kestrel"/>
    <x v="9"/>
    <s v="40GP"/>
    <d v="2026-08-07T00:00:00"/>
    <n v="5"/>
    <d v="2026-08-11T00:00:00"/>
    <d v="2026-08-12T00:00:00"/>
    <n v="130"/>
    <n v="0"/>
    <x v="1"/>
    <s v="NA"/>
    <x v="1"/>
  </r>
  <r>
    <n v="542"/>
    <s v="CNTR100541"/>
    <x v="1"/>
    <s v="OOCL Bergen"/>
    <x v="3"/>
    <s v="40HC"/>
    <d v="2026-07-07T00:00:00"/>
    <n v="4"/>
    <m/>
    <d v="2026-07-11T00:00:00"/>
    <n v="75"/>
    <n v="45"/>
    <x v="2"/>
    <n v="3375"/>
    <x v="0"/>
  </r>
  <r>
    <n v="543"/>
    <s v="CNTR100542"/>
    <x v="3"/>
    <s v="Hapag Lloyd Bern"/>
    <x v="5"/>
    <s v="40GP"/>
    <d v="2026-06-03T00:00:00"/>
    <n v="6"/>
    <m/>
    <d v="2026-06-09T00:00:00"/>
    <n v="60"/>
    <n v="77"/>
    <x v="2"/>
    <n v="4620"/>
    <x v="0"/>
  </r>
  <r>
    <n v="544"/>
    <s v="CNTR100543"/>
    <x v="1"/>
    <s v="CMA CGM Rhone"/>
    <x v="0"/>
    <s v="40HC"/>
    <d v="2026-07-25T00:00:00"/>
    <n v="5"/>
    <m/>
    <d v="2026-07-30T00:00:00"/>
    <n v="110"/>
    <n v="26"/>
    <x v="2"/>
    <n v="2860"/>
    <x v="0"/>
  </r>
  <r>
    <n v="545"/>
    <s v="CNTR100544"/>
    <x v="2"/>
    <s v="CMA CGM Rhone"/>
    <x v="6"/>
    <s v="40RF"/>
    <d v="2026-06-14T00:00:00"/>
    <n v="4"/>
    <d v="2026-06-21T00:00:00"/>
    <d v="2026-06-18T00:00:00"/>
    <n v="150"/>
    <n v="3"/>
    <x v="0"/>
    <n v="450"/>
    <x v="1"/>
  </r>
  <r>
    <n v="546"/>
    <s v="CNTR100545"/>
    <x v="1"/>
    <s v="Yang Ming Peak"/>
    <x v="4"/>
    <s v="40GP"/>
    <d v="2026-07-26T00:00:00"/>
    <n v="6"/>
    <d v="2026-08-02T00:00:00"/>
    <d v="2026-08-01T00:00:00"/>
    <n v="90"/>
    <n v="1"/>
    <x v="0"/>
    <n v="90"/>
    <x v="1"/>
  </r>
  <r>
    <n v="547"/>
    <s v="CNTR100546"/>
    <x v="2"/>
    <s v="Yang Ming Peak"/>
    <x v="1"/>
    <s v="40HC"/>
    <d v="2026-06-14T00:00:00"/>
    <n v="4"/>
    <m/>
    <d v="2026-06-18T00:00:00"/>
    <n v="75"/>
    <n v="68"/>
    <x v="2"/>
    <n v="5100"/>
    <x v="0"/>
  </r>
  <r>
    <n v="548"/>
    <s v="CNTR100547"/>
    <x v="2"/>
    <s v="OOCL Bergen"/>
    <x v="2"/>
    <s v="40RF"/>
    <d v="2026-08-10T00:00:00"/>
    <n v="3"/>
    <d v="2026-08-14T00:00:00"/>
    <d v="2026-08-13T00:00:00"/>
    <n v="180"/>
    <n v="1"/>
    <x v="0"/>
    <n v="180"/>
    <x v="1"/>
  </r>
  <r>
    <n v="549"/>
    <s v="CNTR100548"/>
    <x v="1"/>
    <s v="OOCL Bergen"/>
    <x v="9"/>
    <s v="40GP"/>
    <d v="2026-06-20T00:00:00"/>
    <n v="5"/>
    <m/>
    <d v="2026-06-25T00:00:00"/>
    <n v="60"/>
    <n v="61"/>
    <x v="2"/>
    <n v="3660"/>
    <x v="0"/>
  </r>
  <r>
    <n v="550"/>
    <s v="CNTR100549"/>
    <x v="2"/>
    <s v="Evergreen Ace"/>
    <x v="4"/>
    <s v="40RF"/>
    <d v="2026-08-08T00:00:00"/>
    <n v="3"/>
    <d v="2026-08-09T00:00:00"/>
    <d v="2026-08-11T00:00:00"/>
    <n v="150"/>
    <n v="0"/>
    <x v="1"/>
    <s v="NA"/>
    <x v="1"/>
  </r>
  <r>
    <n v="551"/>
    <s v="CNTR100550"/>
    <x v="0"/>
    <s v="CMA CGM Rhone"/>
    <x v="6"/>
    <s v="40RF"/>
    <d v="2026-06-24T00:00:00"/>
    <n v="4"/>
    <m/>
    <d v="2026-06-28T00:00:00"/>
    <n v="120"/>
    <n v="58"/>
    <x v="2"/>
    <n v="6960"/>
    <x v="0"/>
  </r>
  <r>
    <n v="552"/>
    <s v="CNTR100551"/>
    <x v="1"/>
    <s v="Yang Ming Peak"/>
    <x v="7"/>
    <s v="40GP"/>
    <d v="2026-06-22T00:00:00"/>
    <n v="7"/>
    <m/>
    <d v="2026-06-29T00:00:00"/>
    <n v="90"/>
    <n v="57"/>
    <x v="2"/>
    <n v="5130"/>
    <x v="0"/>
  </r>
  <r>
    <n v="553"/>
    <s v="CNTR100552"/>
    <x v="3"/>
    <s v="Hapag Lloyd Bern"/>
    <x v="5"/>
    <s v="20GP"/>
    <d v="2026-07-08T00:00:00"/>
    <n v="5"/>
    <d v="2026-07-11T00:00:00"/>
    <d v="2026-07-13T00:00:00"/>
    <n v="60"/>
    <n v="0"/>
    <x v="1"/>
    <s v="NA"/>
    <x v="1"/>
  </r>
  <r>
    <n v="554"/>
    <s v="CNTR100553"/>
    <x v="2"/>
    <s v="CMA CGM Rhone"/>
    <x v="4"/>
    <s v="40GP"/>
    <d v="2026-08-20T00:00:00"/>
    <n v="5"/>
    <d v="2026-08-25T00:00:00"/>
    <d v="2026-08-25T00:00:00"/>
    <n v="90"/>
    <n v="0"/>
    <x v="1"/>
    <s v="NA"/>
    <x v="1"/>
  </r>
  <r>
    <n v="555"/>
    <s v="CNTR100554"/>
    <x v="3"/>
    <s v="CMA CGM Rhone"/>
    <x v="0"/>
    <s v="20GP"/>
    <d v="2026-05-30T00:00:00"/>
    <n v="5"/>
    <m/>
    <d v="2026-06-04T00:00:00"/>
    <n v="110"/>
    <n v="82"/>
    <x v="2"/>
    <n v="9020"/>
    <x v="0"/>
  </r>
  <r>
    <n v="556"/>
    <s v="CNTR100555"/>
    <x v="3"/>
    <s v="CMA CGM Rhone"/>
    <x v="4"/>
    <s v="40HC"/>
    <d v="2026-06-20T00:00:00"/>
    <n v="6"/>
    <d v="2026-06-28T00:00:00"/>
    <d v="2026-06-26T00:00:00"/>
    <n v="75"/>
    <n v="2"/>
    <x v="0"/>
    <n v="150"/>
    <x v="1"/>
  </r>
  <r>
    <n v="557"/>
    <s v="CNTR100556"/>
    <x v="3"/>
    <s v="OOCL Bergen"/>
    <x v="4"/>
    <s v="40GP"/>
    <d v="2026-07-16T00:00:00"/>
    <n v="6"/>
    <m/>
    <d v="2026-07-22T00:00:00"/>
    <n v="90"/>
    <n v="34"/>
    <x v="2"/>
    <n v="3060"/>
    <x v="0"/>
  </r>
  <r>
    <n v="558"/>
    <s v="CNTR100557"/>
    <x v="1"/>
    <s v="Hapag Lloyd Bern"/>
    <x v="3"/>
    <s v="40HC"/>
    <d v="2026-07-03T00:00:00"/>
    <n v="4"/>
    <d v="2026-07-07T00:00:00"/>
    <d v="2026-07-07T00:00:00"/>
    <n v="60"/>
    <n v="0"/>
    <x v="1"/>
    <s v="NA"/>
    <x v="1"/>
  </r>
  <r>
    <n v="559"/>
    <s v="CNTR100558"/>
    <x v="3"/>
    <s v="ZIM Voyager"/>
    <x v="8"/>
    <s v="40RF"/>
    <d v="2026-06-25T00:00:00"/>
    <n v="4"/>
    <d v="2026-06-26T00:00:00"/>
    <d v="2026-06-29T00:00:00"/>
    <n v="150"/>
    <n v="0"/>
    <x v="1"/>
    <s v="NA"/>
    <x v="1"/>
  </r>
  <r>
    <n v="560"/>
    <s v="CNTR100559"/>
    <x v="3"/>
    <s v="Evergreen Ace"/>
    <x v="1"/>
    <s v="20GP"/>
    <d v="2026-07-20T00:00:00"/>
    <n v="6"/>
    <m/>
    <d v="2026-07-26T00:00:00"/>
    <n v="75"/>
    <n v="30"/>
    <x v="2"/>
    <n v="2250"/>
    <x v="0"/>
  </r>
  <r>
    <n v="561"/>
    <s v="CNTR100560"/>
    <x v="3"/>
    <s v="ZIM Voyager"/>
    <x v="5"/>
    <s v="20GP"/>
    <d v="2026-08-03T00:00:00"/>
    <n v="5"/>
    <d v="2026-08-14T00:00:00"/>
    <d v="2026-08-08T00:00:00"/>
    <n v="110"/>
    <n v="6"/>
    <x v="0"/>
    <n v="660"/>
    <x v="1"/>
  </r>
  <r>
    <n v="562"/>
    <s v="CNTR100561"/>
    <x v="0"/>
    <s v="ZIM Voyager"/>
    <x v="1"/>
    <s v="40GP"/>
    <d v="2026-07-21T00:00:00"/>
    <n v="6"/>
    <m/>
    <d v="2026-07-27T00:00:00"/>
    <n v="110"/>
    <n v="29"/>
    <x v="2"/>
    <n v="3190"/>
    <x v="0"/>
  </r>
  <r>
    <n v="563"/>
    <s v="CNTR100562"/>
    <x v="1"/>
    <s v="MSC Elena"/>
    <x v="8"/>
    <s v="20GP"/>
    <d v="2026-07-19T00:00:00"/>
    <n v="5"/>
    <d v="2026-07-27T00:00:00"/>
    <d v="2026-07-24T00:00:00"/>
    <n v="110"/>
    <n v="3"/>
    <x v="0"/>
    <n v="330"/>
    <x v="1"/>
  </r>
  <r>
    <n v="564"/>
    <s v="CNTR100563"/>
    <x v="1"/>
    <s v="COSCO Harmony"/>
    <x v="0"/>
    <s v="40HC"/>
    <d v="2026-06-01T00:00:00"/>
    <n v="7"/>
    <d v="2026-06-03T00:00:00"/>
    <d v="2026-06-08T00:00:00"/>
    <n v="130"/>
    <n v="0"/>
    <x v="1"/>
    <s v="NA"/>
    <x v="1"/>
  </r>
  <r>
    <n v="565"/>
    <s v="CNTR100564"/>
    <x v="0"/>
    <s v="COSCO Harmony"/>
    <x v="9"/>
    <s v="40GP"/>
    <d v="2026-06-30T00:00:00"/>
    <n v="4"/>
    <d v="2026-07-05T00:00:00"/>
    <d v="2026-07-04T00:00:00"/>
    <n v="90"/>
    <n v="1"/>
    <x v="0"/>
    <n v="90"/>
    <x v="1"/>
  </r>
  <r>
    <n v="566"/>
    <s v="CNTR100565"/>
    <x v="2"/>
    <s v="Maersk Kiel"/>
    <x v="8"/>
    <s v="40GP"/>
    <d v="2026-07-03T00:00:00"/>
    <n v="5"/>
    <d v="2026-07-07T00:00:00"/>
    <d v="2026-07-08T00:00:00"/>
    <n v="60"/>
    <n v="0"/>
    <x v="1"/>
    <s v="NA"/>
    <x v="1"/>
  </r>
  <r>
    <n v="567"/>
    <s v="CNTR100566"/>
    <x v="2"/>
    <s v="OOCL Bergen"/>
    <x v="5"/>
    <s v="20GP"/>
    <d v="2026-06-29T00:00:00"/>
    <n v="6"/>
    <d v="2026-07-12T00:00:00"/>
    <d v="2026-07-05T00:00:00"/>
    <n v="75"/>
    <n v="7"/>
    <x v="0"/>
    <n v="525"/>
    <x v="1"/>
  </r>
  <r>
    <n v="568"/>
    <s v="CNTR100567"/>
    <x v="2"/>
    <s v="ONE Kestrel"/>
    <x v="1"/>
    <s v="40RF"/>
    <d v="2026-08-13T00:00:00"/>
    <n v="3"/>
    <d v="2026-08-14T00:00:00"/>
    <d v="2026-08-16T00:00:00"/>
    <n v="180"/>
    <n v="0"/>
    <x v="1"/>
    <s v="NA"/>
    <x v="1"/>
  </r>
  <r>
    <n v="569"/>
    <s v="CNTR100568"/>
    <x v="3"/>
    <s v="ONE Kestrel"/>
    <x v="5"/>
    <s v="40RF"/>
    <d v="2026-06-01T00:00:00"/>
    <n v="4"/>
    <d v="2026-06-06T00:00:00"/>
    <d v="2026-06-05T00:00:00"/>
    <n v="120"/>
    <n v="1"/>
    <x v="0"/>
    <n v="120"/>
    <x v="1"/>
  </r>
  <r>
    <n v="570"/>
    <s v="CNTR100569"/>
    <x v="3"/>
    <s v="OOCL Bergen"/>
    <x v="8"/>
    <s v="20GP"/>
    <d v="2026-08-20T00:00:00"/>
    <n v="7"/>
    <m/>
    <d v="2026-08-27T00:00:00"/>
    <n v="110"/>
    <n v="0"/>
    <x v="1"/>
    <s v="NA"/>
    <x v="0"/>
  </r>
  <r>
    <n v="571"/>
    <s v="CNTR100570"/>
    <x v="2"/>
    <s v="CMA CGM Rhone"/>
    <x v="4"/>
    <s v="40RF"/>
    <d v="2026-07-13T00:00:00"/>
    <n v="4"/>
    <d v="2026-07-14T00:00:00"/>
    <d v="2026-07-17T00:00:00"/>
    <n v="150"/>
    <n v="0"/>
    <x v="1"/>
    <s v="NA"/>
    <x v="1"/>
  </r>
  <r>
    <n v="572"/>
    <s v="CNTR100571"/>
    <x v="3"/>
    <s v="Yang Ming Peak"/>
    <x v="7"/>
    <s v="40GP"/>
    <d v="2026-07-05T00:00:00"/>
    <n v="5"/>
    <m/>
    <d v="2026-07-10T00:00:00"/>
    <n v="90"/>
    <n v="46"/>
    <x v="2"/>
    <n v="4140"/>
    <x v="0"/>
  </r>
  <r>
    <n v="573"/>
    <s v="CNTR100572"/>
    <x v="3"/>
    <s v="OOCL Bergen"/>
    <x v="2"/>
    <s v="40GP"/>
    <d v="2026-07-08T00:00:00"/>
    <n v="5"/>
    <d v="2026-07-18T00:00:00"/>
    <d v="2026-07-13T00:00:00"/>
    <n v="75"/>
    <n v="5"/>
    <x v="0"/>
    <n v="375"/>
    <x v="1"/>
  </r>
  <r>
    <n v="574"/>
    <s v="CNTR100573"/>
    <x v="1"/>
    <s v="ZIM Voyager"/>
    <x v="4"/>
    <s v="20GP"/>
    <d v="2026-07-30T00:00:00"/>
    <n v="4"/>
    <d v="2026-07-31T00:00:00"/>
    <d v="2026-08-03T00:00:00"/>
    <n v="60"/>
    <n v="0"/>
    <x v="1"/>
    <s v="NA"/>
    <x v="1"/>
  </r>
  <r>
    <n v="575"/>
    <s v="CNTR100574"/>
    <x v="1"/>
    <s v="MSC Elena"/>
    <x v="3"/>
    <s v="20GP"/>
    <d v="2026-05-27T00:00:00"/>
    <n v="5"/>
    <m/>
    <d v="2026-06-01T00:00:00"/>
    <n v="75"/>
    <n v="85"/>
    <x v="2"/>
    <n v="6375"/>
    <x v="0"/>
  </r>
  <r>
    <n v="576"/>
    <s v="CNTR100575"/>
    <x v="3"/>
    <s v="Evergreen Ace"/>
    <x v="1"/>
    <s v="20GP"/>
    <d v="2026-08-21T00:00:00"/>
    <n v="4"/>
    <m/>
    <d v="2026-08-25T00:00:00"/>
    <n v="60"/>
    <n v="0"/>
    <x v="1"/>
    <s v="NA"/>
    <x v="0"/>
  </r>
  <r>
    <n v="577"/>
    <s v="CNTR100576"/>
    <x v="3"/>
    <s v="Maersk Kiel"/>
    <x v="4"/>
    <s v="40HC"/>
    <d v="2026-08-15T00:00:00"/>
    <n v="7"/>
    <d v="2026-08-24T00:00:00"/>
    <d v="2026-08-22T00:00:00"/>
    <n v="90"/>
    <n v="2"/>
    <x v="0"/>
    <n v="180"/>
    <x v="1"/>
  </r>
  <r>
    <n v="578"/>
    <s v="CNTR100577"/>
    <x v="2"/>
    <s v="Yang Ming Peak"/>
    <x v="8"/>
    <s v="40HC"/>
    <d v="2026-08-17T00:00:00"/>
    <n v="4"/>
    <m/>
    <d v="2026-08-21T00:00:00"/>
    <n v="90"/>
    <n v="4"/>
    <x v="0"/>
    <n v="360"/>
    <x v="0"/>
  </r>
  <r>
    <n v="579"/>
    <s v="CNTR100578"/>
    <x v="1"/>
    <s v="CMA CGM Rhone"/>
    <x v="2"/>
    <s v="20GP"/>
    <d v="2026-05-27T00:00:00"/>
    <n v="5"/>
    <m/>
    <d v="2026-06-01T00:00:00"/>
    <n v="90"/>
    <n v="85"/>
    <x v="2"/>
    <n v="7650"/>
    <x v="0"/>
  </r>
  <r>
    <n v="580"/>
    <s v="CNTR100579"/>
    <x v="0"/>
    <s v="COSCO Harmony"/>
    <x v="4"/>
    <s v="40GP"/>
    <d v="2026-07-31T00:00:00"/>
    <n v="7"/>
    <d v="2026-08-05T00:00:00"/>
    <d v="2026-08-07T00:00:00"/>
    <n v="75"/>
    <n v="0"/>
    <x v="1"/>
    <s v="NA"/>
    <x v="1"/>
  </r>
  <r>
    <n v="581"/>
    <s v="CNTR100580"/>
    <x v="2"/>
    <s v="Hapag Lloyd Bern"/>
    <x v="8"/>
    <s v="20GP"/>
    <d v="2026-07-26T00:00:00"/>
    <n v="5"/>
    <d v="2026-07-30T00:00:00"/>
    <d v="2026-07-31T00:00:00"/>
    <n v="110"/>
    <n v="0"/>
    <x v="1"/>
    <s v="NA"/>
    <x v="1"/>
  </r>
  <r>
    <n v="582"/>
    <s v="CNTR100581"/>
    <x v="1"/>
    <s v="CMA CGM Rhone"/>
    <x v="2"/>
    <s v="40GP"/>
    <d v="2026-07-31T00:00:00"/>
    <n v="6"/>
    <d v="2026-08-06T00:00:00"/>
    <d v="2026-08-06T00:00:00"/>
    <n v="60"/>
    <n v="0"/>
    <x v="1"/>
    <s v="NA"/>
    <x v="1"/>
  </r>
  <r>
    <n v="583"/>
    <s v="CNTR100582"/>
    <x v="2"/>
    <s v="ZIM Voyager"/>
    <x v="0"/>
    <s v="40GP"/>
    <d v="2026-08-23T00:00:00"/>
    <n v="5"/>
    <d v="2026-08-25T00:00:00"/>
    <d v="2026-08-28T00:00:00"/>
    <n v="75"/>
    <n v="0"/>
    <x v="1"/>
    <s v="NA"/>
    <x v="1"/>
  </r>
  <r>
    <n v="584"/>
    <s v="CNTR100583"/>
    <x v="1"/>
    <s v="Yang Ming Peak"/>
    <x v="1"/>
    <s v="40HC"/>
    <d v="2026-06-21T00:00:00"/>
    <n v="6"/>
    <d v="2026-06-26T00:00:00"/>
    <d v="2026-06-27T00:00:00"/>
    <n v="75"/>
    <n v="0"/>
    <x v="1"/>
    <s v="NA"/>
    <x v="1"/>
  </r>
  <r>
    <n v="585"/>
    <s v="CNTR100584"/>
    <x v="1"/>
    <s v="OOCL Bergen"/>
    <x v="9"/>
    <s v="40HC"/>
    <d v="2026-07-28T00:00:00"/>
    <n v="6"/>
    <d v="2026-08-04T00:00:00"/>
    <d v="2026-08-03T00:00:00"/>
    <n v="75"/>
    <n v="1"/>
    <x v="0"/>
    <n v="75"/>
    <x v="1"/>
  </r>
  <r>
    <n v="586"/>
    <s v="CNTR100585"/>
    <x v="3"/>
    <s v="Evergreen Ace"/>
    <x v="8"/>
    <s v="40GP"/>
    <d v="2026-08-04T00:00:00"/>
    <n v="4"/>
    <m/>
    <d v="2026-08-08T00:00:00"/>
    <n v="90"/>
    <n v="17"/>
    <x v="2"/>
    <n v="1530"/>
    <x v="0"/>
  </r>
  <r>
    <n v="587"/>
    <s v="CNTR100586"/>
    <x v="0"/>
    <s v="Hapag Lloyd Bern"/>
    <x v="5"/>
    <s v="40HC"/>
    <d v="2026-08-17T00:00:00"/>
    <n v="7"/>
    <d v="2026-08-23T00:00:00"/>
    <d v="2026-08-24T00:00:00"/>
    <n v="75"/>
    <n v="0"/>
    <x v="1"/>
    <s v="NA"/>
    <x v="1"/>
  </r>
  <r>
    <n v="588"/>
    <s v="CNTR100587"/>
    <x v="3"/>
    <s v="Maersk Kiel"/>
    <x v="1"/>
    <s v="40RF"/>
    <d v="2026-08-21T00:00:00"/>
    <n v="3"/>
    <d v="2026-08-25T00:00:00"/>
    <d v="2026-08-24T00:00:00"/>
    <n v="180"/>
    <n v="1"/>
    <x v="0"/>
    <n v="180"/>
    <x v="1"/>
  </r>
  <r>
    <n v="589"/>
    <s v="CNTR100588"/>
    <x v="0"/>
    <s v="Yang Ming Peak"/>
    <x v="9"/>
    <s v="40HC"/>
    <d v="2026-08-15T00:00:00"/>
    <n v="4"/>
    <d v="2026-08-16T00:00:00"/>
    <d v="2026-08-19T00:00:00"/>
    <n v="60"/>
    <n v="0"/>
    <x v="1"/>
    <s v="NA"/>
    <x v="1"/>
  </r>
  <r>
    <n v="590"/>
    <s v="CNTR100589"/>
    <x v="0"/>
    <s v="COSCO Harmony"/>
    <x v="1"/>
    <s v="40RF"/>
    <d v="2026-07-15T00:00:00"/>
    <n v="4"/>
    <d v="2026-07-16T00:00:00"/>
    <d v="2026-07-19T00:00:00"/>
    <n v="150"/>
    <n v="0"/>
    <x v="1"/>
    <s v="NA"/>
    <x v="1"/>
  </r>
  <r>
    <n v="591"/>
    <s v="CNTR100590"/>
    <x v="0"/>
    <s v="COSCO Harmony"/>
    <x v="4"/>
    <s v="40HC"/>
    <d v="2026-06-06T00:00:00"/>
    <n v="4"/>
    <m/>
    <d v="2026-06-10T00:00:00"/>
    <n v="110"/>
    <n v="76"/>
    <x v="2"/>
    <n v="8360"/>
    <x v="0"/>
  </r>
  <r>
    <n v="592"/>
    <s v="CNTR100591"/>
    <x v="1"/>
    <s v="Evergreen Ace"/>
    <x v="3"/>
    <s v="20GP"/>
    <d v="2026-06-14T00:00:00"/>
    <n v="5"/>
    <m/>
    <d v="2026-06-19T00:00:00"/>
    <n v="130"/>
    <n v="67"/>
    <x v="2"/>
    <n v="8710"/>
    <x v="0"/>
  </r>
  <r>
    <n v="593"/>
    <s v="CNTR100592"/>
    <x v="1"/>
    <s v="Evergreen Ace"/>
    <x v="6"/>
    <s v="40HC"/>
    <d v="2026-06-30T00:00:00"/>
    <n v="7"/>
    <m/>
    <d v="2026-07-07T00:00:00"/>
    <n v="110"/>
    <n v="49"/>
    <x v="2"/>
    <n v="5390"/>
    <x v="0"/>
  </r>
  <r>
    <n v="594"/>
    <s v="CNTR100593"/>
    <x v="1"/>
    <s v="MSC Elena"/>
    <x v="7"/>
    <s v="40HC"/>
    <d v="2026-05-31T00:00:00"/>
    <n v="5"/>
    <d v="2026-06-03T00:00:00"/>
    <d v="2026-06-05T00:00:00"/>
    <n v="130"/>
    <n v="0"/>
    <x v="1"/>
    <s v="NA"/>
    <x v="1"/>
  </r>
  <r>
    <n v="595"/>
    <s v="CNTR100594"/>
    <x v="2"/>
    <s v="Maersk Kiel"/>
    <x v="1"/>
    <s v="40GP"/>
    <d v="2026-07-06T00:00:00"/>
    <n v="6"/>
    <d v="2026-07-08T00:00:00"/>
    <d v="2026-07-12T00:00:00"/>
    <n v="90"/>
    <n v="0"/>
    <x v="1"/>
    <s v="NA"/>
    <x v="1"/>
  </r>
  <r>
    <n v="596"/>
    <s v="CNTR100595"/>
    <x v="1"/>
    <s v="OOCL Bergen"/>
    <x v="4"/>
    <s v="20GP"/>
    <d v="2026-08-13T00:00:00"/>
    <n v="5"/>
    <d v="2026-08-23T00:00:00"/>
    <d v="2026-08-18T00:00:00"/>
    <n v="110"/>
    <n v="5"/>
    <x v="0"/>
    <n v="550"/>
    <x v="1"/>
  </r>
  <r>
    <n v="597"/>
    <s v="CNTR100596"/>
    <x v="2"/>
    <s v="OOCL Bergen"/>
    <x v="3"/>
    <s v="40HC"/>
    <d v="2026-06-26T00:00:00"/>
    <n v="6"/>
    <d v="2026-06-29T00:00:00"/>
    <d v="2026-07-02T00:00:00"/>
    <n v="75"/>
    <n v="0"/>
    <x v="1"/>
    <s v="NA"/>
    <x v="1"/>
  </r>
  <r>
    <n v="598"/>
    <s v="CNTR100597"/>
    <x v="3"/>
    <s v="Yang Ming Peak"/>
    <x v="6"/>
    <s v="40HC"/>
    <d v="2026-07-24T00:00:00"/>
    <n v="4"/>
    <m/>
    <d v="2026-07-28T00:00:00"/>
    <n v="110"/>
    <n v="28"/>
    <x v="2"/>
    <n v="3080"/>
    <x v="0"/>
  </r>
  <r>
    <n v="599"/>
    <s v="CNTR100598"/>
    <x v="3"/>
    <s v="ZIM Voyager"/>
    <x v="5"/>
    <s v="40HC"/>
    <d v="2026-08-02T00:00:00"/>
    <n v="5"/>
    <d v="2026-08-06T00:00:00"/>
    <d v="2026-08-07T00:00:00"/>
    <n v="60"/>
    <n v="0"/>
    <x v="1"/>
    <s v="NA"/>
    <x v="1"/>
  </r>
  <r>
    <n v="600"/>
    <s v="CNTR100599"/>
    <x v="3"/>
    <s v="ZIM Voyager"/>
    <x v="5"/>
    <s v="20GP"/>
    <d v="2026-07-23T00:00:00"/>
    <n v="7"/>
    <m/>
    <d v="2026-07-30T00:00:00"/>
    <n v="60"/>
    <n v="26"/>
    <x v="2"/>
    <n v="1560"/>
    <x v="0"/>
  </r>
  <r>
    <n v="601"/>
    <s v="CNTR100600"/>
    <x v="0"/>
    <s v="OOCL Bergen"/>
    <x v="5"/>
    <s v="40HC"/>
    <d v="2026-07-09T00:00:00"/>
    <n v="5"/>
    <d v="2026-07-12T00:00:00"/>
    <d v="2026-07-14T00:00:00"/>
    <n v="90"/>
    <n v="0"/>
    <x v="1"/>
    <s v="NA"/>
    <x v="1"/>
  </r>
  <r>
    <n v="602"/>
    <s v="CNTR100601"/>
    <x v="2"/>
    <s v="Hapag Lloyd Bern"/>
    <x v="8"/>
    <s v="20GP"/>
    <d v="2026-07-26T00:00:00"/>
    <n v="4"/>
    <d v="2026-07-27T00:00:00"/>
    <d v="2026-07-30T00:00:00"/>
    <n v="130"/>
    <n v="0"/>
    <x v="1"/>
    <s v="NA"/>
    <x v="1"/>
  </r>
  <r>
    <n v="603"/>
    <s v="CNTR100602"/>
    <x v="3"/>
    <s v="MSC Elena"/>
    <x v="3"/>
    <s v="40GP"/>
    <d v="2026-07-16T00:00:00"/>
    <n v="5"/>
    <d v="2026-07-24T00:00:00"/>
    <d v="2026-07-21T00:00:00"/>
    <n v="90"/>
    <n v="3"/>
    <x v="0"/>
    <n v="270"/>
    <x v="1"/>
  </r>
  <r>
    <n v="604"/>
    <s v="CNTR100603"/>
    <x v="2"/>
    <s v="Hapag Lloyd Bern"/>
    <x v="8"/>
    <s v="40GP"/>
    <d v="2026-07-25T00:00:00"/>
    <n v="7"/>
    <d v="2026-07-31T00:00:00"/>
    <d v="2026-08-01T00:00:00"/>
    <n v="75"/>
    <n v="0"/>
    <x v="1"/>
    <s v="NA"/>
    <x v="1"/>
  </r>
  <r>
    <n v="605"/>
    <s v="CNTR100604"/>
    <x v="0"/>
    <s v="Maersk Kiel"/>
    <x v="9"/>
    <s v="20GP"/>
    <d v="2026-06-15T00:00:00"/>
    <n v="6"/>
    <d v="2026-06-19T00:00:00"/>
    <d v="2026-06-21T00:00:00"/>
    <n v="110"/>
    <n v="0"/>
    <x v="1"/>
    <s v="NA"/>
    <x v="1"/>
  </r>
  <r>
    <n v="606"/>
    <s v="CNTR100605"/>
    <x v="2"/>
    <s v="OOCL Bergen"/>
    <x v="5"/>
    <s v="40HC"/>
    <d v="2026-07-24T00:00:00"/>
    <n v="4"/>
    <m/>
    <d v="2026-07-28T00:00:00"/>
    <n v="90"/>
    <n v="28"/>
    <x v="2"/>
    <n v="2520"/>
    <x v="0"/>
  </r>
  <r>
    <n v="607"/>
    <s v="CNTR100606"/>
    <x v="1"/>
    <s v="MSC Elena"/>
    <x v="1"/>
    <s v="40HC"/>
    <d v="2026-08-15T00:00:00"/>
    <n v="7"/>
    <m/>
    <d v="2026-08-22T00:00:00"/>
    <n v="60"/>
    <n v="3"/>
    <x v="0"/>
    <n v="180"/>
    <x v="0"/>
  </r>
  <r>
    <n v="608"/>
    <s v="CNTR100607"/>
    <x v="3"/>
    <s v="Yang Ming Peak"/>
    <x v="0"/>
    <s v="40HC"/>
    <d v="2026-06-24T00:00:00"/>
    <n v="6"/>
    <d v="2026-06-25T00:00:00"/>
    <d v="2026-06-30T00:00:00"/>
    <n v="110"/>
    <n v="0"/>
    <x v="1"/>
    <s v="NA"/>
    <x v="1"/>
  </r>
  <r>
    <n v="609"/>
    <s v="CNTR100608"/>
    <x v="0"/>
    <s v="ONE Kestrel"/>
    <x v="8"/>
    <s v="40HC"/>
    <d v="2026-06-12T00:00:00"/>
    <n v="4"/>
    <d v="2026-06-13T00:00:00"/>
    <d v="2026-06-16T00:00:00"/>
    <n v="130"/>
    <n v="0"/>
    <x v="1"/>
    <s v="NA"/>
    <x v="1"/>
  </r>
  <r>
    <n v="610"/>
    <s v="CNTR100609"/>
    <x v="1"/>
    <s v="Yang Ming Peak"/>
    <x v="4"/>
    <s v="40RF"/>
    <d v="2026-08-23T00:00:00"/>
    <n v="4"/>
    <m/>
    <d v="2026-08-27T00:00:00"/>
    <n v="120"/>
    <n v="0"/>
    <x v="1"/>
    <s v="NA"/>
    <x v="0"/>
  </r>
  <r>
    <n v="611"/>
    <s v="CNTR100610"/>
    <x v="0"/>
    <s v="COSCO Harmony"/>
    <x v="5"/>
    <s v="20GP"/>
    <d v="2026-06-02T00:00:00"/>
    <n v="7"/>
    <m/>
    <d v="2026-06-09T00:00:00"/>
    <n v="130"/>
    <n v="77"/>
    <x v="2"/>
    <n v="10010"/>
    <x v="0"/>
  </r>
  <r>
    <n v="612"/>
    <s v="CNTR100611"/>
    <x v="2"/>
    <s v="MSC Elena"/>
    <x v="3"/>
    <s v="40RF"/>
    <d v="2026-08-13T00:00:00"/>
    <n v="3"/>
    <d v="2026-08-19T00:00:00"/>
    <d v="2026-08-16T00:00:00"/>
    <n v="150"/>
    <n v="3"/>
    <x v="0"/>
    <n v="450"/>
    <x v="1"/>
  </r>
  <r>
    <n v="613"/>
    <s v="CNTR100612"/>
    <x v="1"/>
    <s v="OOCL Bergen"/>
    <x v="2"/>
    <s v="20GP"/>
    <d v="2026-07-27T00:00:00"/>
    <n v="5"/>
    <d v="2026-07-28T00:00:00"/>
    <d v="2026-08-01T00:00:00"/>
    <n v="110"/>
    <n v="0"/>
    <x v="1"/>
    <s v="NA"/>
    <x v="1"/>
  </r>
  <r>
    <n v="614"/>
    <s v="CNTR100613"/>
    <x v="3"/>
    <s v="Hapag Lloyd Bern"/>
    <x v="6"/>
    <s v="40RF"/>
    <d v="2026-07-30T00:00:00"/>
    <n v="4"/>
    <d v="2026-07-31T00:00:00"/>
    <d v="2026-08-03T00:00:00"/>
    <n v="120"/>
    <n v="0"/>
    <x v="1"/>
    <s v="NA"/>
    <x v="1"/>
  </r>
  <r>
    <n v="615"/>
    <s v="CNTR100614"/>
    <x v="2"/>
    <s v="COSCO Harmony"/>
    <x v="9"/>
    <s v="20GP"/>
    <d v="2026-05-31T00:00:00"/>
    <n v="5"/>
    <d v="2026-06-10T00:00:00"/>
    <d v="2026-06-05T00:00:00"/>
    <n v="110"/>
    <n v="5"/>
    <x v="0"/>
    <n v="550"/>
    <x v="1"/>
  </r>
  <r>
    <n v="616"/>
    <s v="CNTR100615"/>
    <x v="3"/>
    <s v="Maersk Kiel"/>
    <x v="7"/>
    <s v="20GP"/>
    <d v="2026-06-13T00:00:00"/>
    <n v="5"/>
    <m/>
    <d v="2026-06-18T00:00:00"/>
    <n v="60"/>
    <n v="68"/>
    <x v="2"/>
    <n v="4080"/>
    <x v="0"/>
  </r>
  <r>
    <n v="617"/>
    <s v="CNTR100616"/>
    <x v="3"/>
    <s v="COSCO Harmony"/>
    <x v="7"/>
    <s v="40GP"/>
    <d v="2026-06-20T00:00:00"/>
    <n v="6"/>
    <d v="2026-06-23T00:00:00"/>
    <d v="2026-06-26T00:00:00"/>
    <n v="110"/>
    <n v="0"/>
    <x v="1"/>
    <s v="NA"/>
    <x v="1"/>
  </r>
  <r>
    <n v="618"/>
    <s v="CNTR100617"/>
    <x v="1"/>
    <s v="Hapag Lloyd Bern"/>
    <x v="3"/>
    <s v="40HC"/>
    <d v="2026-06-08T00:00:00"/>
    <n v="5"/>
    <m/>
    <d v="2026-06-13T00:00:00"/>
    <n v="75"/>
    <n v="73"/>
    <x v="2"/>
    <n v="5475"/>
    <x v="0"/>
  </r>
  <r>
    <n v="619"/>
    <s v="CNTR100618"/>
    <x v="2"/>
    <s v="MSC Elena"/>
    <x v="6"/>
    <s v="20GP"/>
    <d v="2026-07-12T00:00:00"/>
    <n v="5"/>
    <d v="2026-07-16T00:00:00"/>
    <d v="2026-07-17T00:00:00"/>
    <n v="75"/>
    <n v="0"/>
    <x v="1"/>
    <s v="NA"/>
    <x v="1"/>
  </r>
  <r>
    <n v="620"/>
    <s v="CNTR100619"/>
    <x v="0"/>
    <s v="OOCL Bergen"/>
    <x v="9"/>
    <s v="40GP"/>
    <d v="2026-07-26T00:00:00"/>
    <n v="7"/>
    <m/>
    <d v="2026-08-02T00:00:00"/>
    <n v="75"/>
    <n v="23"/>
    <x v="2"/>
    <n v="1725"/>
    <x v="0"/>
  </r>
  <r>
    <n v="621"/>
    <s v="CNTR100620"/>
    <x v="1"/>
    <s v="Yang Ming Peak"/>
    <x v="2"/>
    <s v="40GP"/>
    <d v="2026-07-21T00:00:00"/>
    <n v="6"/>
    <d v="2026-08-05T00:00:00"/>
    <d v="2026-07-27T00:00:00"/>
    <n v="110"/>
    <n v="9"/>
    <x v="0"/>
    <n v="990"/>
    <x v="1"/>
  </r>
  <r>
    <n v="622"/>
    <s v="CNTR100621"/>
    <x v="1"/>
    <s v="CMA CGM Rhone"/>
    <x v="9"/>
    <s v="40RF"/>
    <d v="2026-08-06T00:00:00"/>
    <n v="4"/>
    <d v="2026-08-13T00:00:00"/>
    <d v="2026-08-10T00:00:00"/>
    <n v="180"/>
    <n v="3"/>
    <x v="0"/>
    <n v="540"/>
    <x v="1"/>
  </r>
  <r>
    <n v="623"/>
    <s v="CNTR100622"/>
    <x v="3"/>
    <s v="COSCO Harmony"/>
    <x v="5"/>
    <s v="40RF"/>
    <d v="2026-07-24T00:00:00"/>
    <n v="3"/>
    <m/>
    <d v="2026-07-27T00:00:00"/>
    <n v="150"/>
    <n v="29"/>
    <x v="2"/>
    <n v="4350"/>
    <x v="0"/>
  </r>
  <r>
    <n v="624"/>
    <s v="CNTR100623"/>
    <x v="0"/>
    <s v="ZIM Voyager"/>
    <x v="0"/>
    <s v="40HC"/>
    <d v="2026-07-16T00:00:00"/>
    <n v="5"/>
    <d v="2026-07-18T00:00:00"/>
    <d v="2026-07-21T00:00:00"/>
    <n v="130"/>
    <n v="0"/>
    <x v="1"/>
    <s v="NA"/>
    <x v="1"/>
  </r>
  <r>
    <n v="625"/>
    <s v="CNTR100624"/>
    <x v="0"/>
    <s v="CMA CGM Rhone"/>
    <x v="9"/>
    <s v="40HC"/>
    <d v="2026-08-01T00:00:00"/>
    <n v="6"/>
    <d v="2026-08-07T00:00:00"/>
    <d v="2026-08-07T00:00:00"/>
    <n v="110"/>
    <n v="0"/>
    <x v="1"/>
    <s v="NA"/>
    <x v="1"/>
  </r>
  <r>
    <n v="626"/>
    <s v="CNTR100625"/>
    <x v="2"/>
    <s v="Yang Ming Peak"/>
    <x v="8"/>
    <s v="40RF"/>
    <d v="2026-06-19T00:00:00"/>
    <n v="3"/>
    <d v="2026-06-20T00:00:00"/>
    <d v="2026-06-22T00:00:00"/>
    <n v="120"/>
    <n v="0"/>
    <x v="1"/>
    <s v="NA"/>
    <x v="1"/>
  </r>
  <r>
    <n v="627"/>
    <s v="CNTR100626"/>
    <x v="1"/>
    <s v="ONE Kestrel"/>
    <x v="0"/>
    <s v="20GP"/>
    <d v="2026-07-04T00:00:00"/>
    <n v="4"/>
    <d v="2026-07-07T00:00:00"/>
    <d v="2026-07-08T00:00:00"/>
    <n v="110"/>
    <n v="0"/>
    <x v="1"/>
    <s v="NA"/>
    <x v="1"/>
  </r>
  <r>
    <n v="628"/>
    <s v="CNTR100627"/>
    <x v="0"/>
    <s v="ONE Kestrel"/>
    <x v="0"/>
    <s v="40GP"/>
    <d v="2026-06-26T00:00:00"/>
    <n v="7"/>
    <d v="2026-07-09T00:00:00"/>
    <d v="2026-07-03T00:00:00"/>
    <n v="110"/>
    <n v="6"/>
    <x v="0"/>
    <n v="660"/>
    <x v="1"/>
  </r>
  <r>
    <n v="629"/>
    <s v="CNTR100628"/>
    <x v="0"/>
    <s v="COSCO Harmony"/>
    <x v="0"/>
    <s v="40RF"/>
    <d v="2026-06-06T00:00:00"/>
    <n v="4"/>
    <m/>
    <d v="2026-06-10T00:00:00"/>
    <n v="180"/>
    <n v="76"/>
    <x v="2"/>
    <n v="13680"/>
    <x v="0"/>
  </r>
  <r>
    <n v="630"/>
    <s v="CNTR100629"/>
    <x v="1"/>
    <s v="Maersk Kiel"/>
    <x v="5"/>
    <s v="40RF"/>
    <d v="2026-07-14T00:00:00"/>
    <n v="4"/>
    <d v="2026-07-19T00:00:00"/>
    <d v="2026-07-18T00:00:00"/>
    <n v="120"/>
    <n v="1"/>
    <x v="0"/>
    <n v="120"/>
    <x v="1"/>
  </r>
  <r>
    <n v="631"/>
    <s v="CNTR100630"/>
    <x v="0"/>
    <s v="Maersk Kiel"/>
    <x v="9"/>
    <s v="40RF"/>
    <d v="2026-06-02T00:00:00"/>
    <n v="3"/>
    <m/>
    <d v="2026-06-05T00:00:00"/>
    <n v="120"/>
    <n v="81"/>
    <x v="2"/>
    <n v="9720"/>
    <x v="0"/>
  </r>
  <r>
    <n v="632"/>
    <s v="CNTR100631"/>
    <x v="1"/>
    <s v="ZIM Voyager"/>
    <x v="5"/>
    <s v="40RF"/>
    <d v="2026-06-29T00:00:00"/>
    <n v="4"/>
    <m/>
    <d v="2026-07-03T00:00:00"/>
    <n v="180"/>
    <n v="53"/>
    <x v="2"/>
    <n v="9540"/>
    <x v="0"/>
  </r>
  <r>
    <n v="633"/>
    <s v="CNTR100632"/>
    <x v="1"/>
    <s v="ONE Kestrel"/>
    <x v="9"/>
    <s v="40HC"/>
    <d v="2026-06-04T00:00:00"/>
    <n v="6"/>
    <m/>
    <d v="2026-06-10T00:00:00"/>
    <n v="90"/>
    <n v="76"/>
    <x v="2"/>
    <n v="6840"/>
    <x v="0"/>
  </r>
  <r>
    <n v="634"/>
    <s v="CNTR100633"/>
    <x v="2"/>
    <s v="ZIM Voyager"/>
    <x v="2"/>
    <s v="40HC"/>
    <d v="2026-08-22T00:00:00"/>
    <n v="5"/>
    <d v="2026-08-25T00:00:00"/>
    <d v="2026-08-27T00:00:00"/>
    <n v="130"/>
    <n v="0"/>
    <x v="1"/>
    <s v="NA"/>
    <x v="1"/>
  </r>
  <r>
    <n v="635"/>
    <s v="CNTR100634"/>
    <x v="1"/>
    <s v="Evergreen Ace"/>
    <x v="5"/>
    <s v="40HC"/>
    <d v="2026-06-22T00:00:00"/>
    <n v="5"/>
    <d v="2026-06-29T00:00:00"/>
    <d v="2026-06-27T00:00:00"/>
    <n v="110"/>
    <n v="2"/>
    <x v="0"/>
    <n v="220"/>
    <x v="1"/>
  </r>
  <r>
    <n v="636"/>
    <s v="CNTR100635"/>
    <x v="1"/>
    <s v="CMA CGM Rhone"/>
    <x v="1"/>
    <s v="40GP"/>
    <d v="2026-08-17T00:00:00"/>
    <n v="5"/>
    <m/>
    <d v="2026-08-22T00:00:00"/>
    <n v="75"/>
    <n v="3"/>
    <x v="0"/>
    <n v="225"/>
    <x v="0"/>
  </r>
  <r>
    <n v="637"/>
    <s v="CNTR100636"/>
    <x v="3"/>
    <s v="MSC Elena"/>
    <x v="0"/>
    <s v="40HC"/>
    <d v="2026-08-09T00:00:00"/>
    <n v="4"/>
    <d v="2026-08-10T00:00:00"/>
    <d v="2026-08-13T00:00:00"/>
    <n v="60"/>
    <n v="0"/>
    <x v="1"/>
    <s v="NA"/>
    <x v="1"/>
  </r>
  <r>
    <n v="638"/>
    <s v="CNTR100637"/>
    <x v="3"/>
    <s v="Hapag Lloyd Bern"/>
    <x v="1"/>
    <s v="20GP"/>
    <d v="2026-06-22T00:00:00"/>
    <n v="6"/>
    <d v="2026-06-25T00:00:00"/>
    <d v="2026-06-28T00:00:00"/>
    <n v="75"/>
    <n v="0"/>
    <x v="1"/>
    <s v="NA"/>
    <x v="1"/>
  </r>
  <r>
    <n v="639"/>
    <s v="CNTR100638"/>
    <x v="3"/>
    <s v="Evergreen Ace"/>
    <x v="7"/>
    <s v="20GP"/>
    <d v="2026-08-17T00:00:00"/>
    <n v="5"/>
    <m/>
    <d v="2026-08-22T00:00:00"/>
    <n v="60"/>
    <n v="3"/>
    <x v="0"/>
    <n v="180"/>
    <x v="0"/>
  </r>
  <r>
    <n v="640"/>
    <s v="CNTR100639"/>
    <x v="0"/>
    <s v="Maersk Kiel"/>
    <x v="6"/>
    <s v="40RF"/>
    <d v="2026-08-04T00:00:00"/>
    <n v="3"/>
    <m/>
    <d v="2026-08-07T00:00:00"/>
    <n v="180"/>
    <n v="18"/>
    <x v="2"/>
    <n v="3240"/>
    <x v="0"/>
  </r>
  <r>
    <n v="641"/>
    <s v="CNTR100640"/>
    <x v="0"/>
    <s v="OOCL Bergen"/>
    <x v="5"/>
    <s v="20GP"/>
    <d v="2026-06-30T00:00:00"/>
    <n v="5"/>
    <d v="2026-07-04T00:00:00"/>
    <d v="2026-07-05T00:00:00"/>
    <n v="60"/>
    <n v="0"/>
    <x v="1"/>
    <s v="NA"/>
    <x v="1"/>
  </r>
  <r>
    <n v="642"/>
    <s v="CNTR100641"/>
    <x v="3"/>
    <s v="Maersk Kiel"/>
    <x v="3"/>
    <s v="40GP"/>
    <d v="2026-07-11T00:00:00"/>
    <n v="4"/>
    <d v="2026-07-17T00:00:00"/>
    <d v="2026-07-15T00:00:00"/>
    <n v="130"/>
    <n v="2"/>
    <x v="0"/>
    <n v="260"/>
    <x v="1"/>
  </r>
  <r>
    <n v="643"/>
    <s v="CNTR100642"/>
    <x v="1"/>
    <s v="Yang Ming Peak"/>
    <x v="9"/>
    <s v="20GP"/>
    <d v="2026-06-28T00:00:00"/>
    <n v="6"/>
    <d v="2026-07-01T00:00:00"/>
    <d v="2026-07-04T00:00:00"/>
    <n v="110"/>
    <n v="0"/>
    <x v="1"/>
    <s v="NA"/>
    <x v="1"/>
  </r>
  <r>
    <n v="644"/>
    <s v="CNTR100643"/>
    <x v="3"/>
    <s v="MSC Elena"/>
    <x v="9"/>
    <s v="40GP"/>
    <d v="2026-06-22T00:00:00"/>
    <n v="5"/>
    <d v="2026-06-24T00:00:00"/>
    <d v="2026-06-27T00:00:00"/>
    <n v="75"/>
    <n v="0"/>
    <x v="1"/>
    <s v="NA"/>
    <x v="1"/>
  </r>
  <r>
    <n v="645"/>
    <s v="CNTR100644"/>
    <x v="1"/>
    <s v="COSCO Harmony"/>
    <x v="9"/>
    <s v="20GP"/>
    <d v="2026-07-09T00:00:00"/>
    <n v="6"/>
    <d v="2026-07-16T00:00:00"/>
    <d v="2026-07-15T00:00:00"/>
    <n v="110"/>
    <n v="1"/>
    <x v="0"/>
    <n v="110"/>
    <x v="1"/>
  </r>
  <r>
    <n v="646"/>
    <s v="CNTR100645"/>
    <x v="0"/>
    <s v="Yang Ming Peak"/>
    <x v="2"/>
    <s v="40GP"/>
    <d v="2026-07-15T00:00:00"/>
    <n v="6"/>
    <m/>
    <d v="2026-07-21T00:00:00"/>
    <n v="75"/>
    <n v="35"/>
    <x v="2"/>
    <n v="2625"/>
    <x v="0"/>
  </r>
  <r>
    <n v="647"/>
    <s v="CNTR100646"/>
    <x v="1"/>
    <s v="ZIM Voyager"/>
    <x v="5"/>
    <s v="40HC"/>
    <d v="2026-06-03T00:00:00"/>
    <n v="7"/>
    <m/>
    <d v="2026-06-10T00:00:00"/>
    <n v="130"/>
    <n v="76"/>
    <x v="2"/>
    <n v="9880"/>
    <x v="0"/>
  </r>
  <r>
    <n v="648"/>
    <s v="CNTR100647"/>
    <x v="0"/>
    <s v="Maersk Kiel"/>
    <x v="2"/>
    <s v="40RF"/>
    <d v="2026-07-20T00:00:00"/>
    <n v="3"/>
    <d v="2026-07-26T00:00:00"/>
    <d v="2026-07-23T00:00:00"/>
    <n v="120"/>
    <n v="3"/>
    <x v="0"/>
    <n v="360"/>
    <x v="1"/>
  </r>
  <r>
    <n v="649"/>
    <s v="CNTR100648"/>
    <x v="3"/>
    <s v="Hapag Lloyd Bern"/>
    <x v="6"/>
    <s v="40RF"/>
    <d v="2026-07-18T00:00:00"/>
    <n v="4"/>
    <d v="2026-07-21T00:00:00"/>
    <d v="2026-07-22T00:00:00"/>
    <n v="180"/>
    <n v="0"/>
    <x v="1"/>
    <s v="NA"/>
    <x v="1"/>
  </r>
  <r>
    <n v="650"/>
    <s v="CNTR100649"/>
    <x v="3"/>
    <s v="CMA CGM Rhone"/>
    <x v="0"/>
    <s v="40HC"/>
    <d v="2026-08-10T00:00:00"/>
    <n v="7"/>
    <d v="2026-08-16T00:00:00"/>
    <d v="2026-08-17T00:00:00"/>
    <n v="110"/>
    <n v="0"/>
    <x v="1"/>
    <s v="NA"/>
    <x v="1"/>
  </r>
  <r>
    <n v="651"/>
    <s v="CNTR100650"/>
    <x v="0"/>
    <s v="CMA CGM Rhone"/>
    <x v="4"/>
    <s v="40HC"/>
    <d v="2026-08-12T00:00:00"/>
    <n v="4"/>
    <d v="2026-08-15T00:00:00"/>
    <d v="2026-08-16T00:00:00"/>
    <n v="90"/>
    <n v="0"/>
    <x v="1"/>
    <s v="NA"/>
    <x v="1"/>
  </r>
  <r>
    <n v="652"/>
    <s v="CNTR100651"/>
    <x v="0"/>
    <s v="ONE Kestrel"/>
    <x v="1"/>
    <s v="40RF"/>
    <d v="2026-06-12T00:00:00"/>
    <n v="4"/>
    <d v="2026-06-13T00:00:00"/>
    <d v="2026-06-16T00:00:00"/>
    <n v="150"/>
    <n v="0"/>
    <x v="1"/>
    <s v="NA"/>
    <x v="1"/>
  </r>
  <r>
    <n v="653"/>
    <s v="CNTR100652"/>
    <x v="2"/>
    <s v="ONE Kestrel"/>
    <x v="0"/>
    <s v="40RF"/>
    <d v="2026-08-09T00:00:00"/>
    <n v="3"/>
    <d v="2026-08-15T00:00:00"/>
    <d v="2026-08-12T00:00:00"/>
    <n v="120"/>
    <n v="3"/>
    <x v="0"/>
    <n v="360"/>
    <x v="1"/>
  </r>
  <r>
    <n v="654"/>
    <s v="CNTR100653"/>
    <x v="3"/>
    <s v="ONE Kestrel"/>
    <x v="0"/>
    <s v="40GP"/>
    <d v="2026-07-22T00:00:00"/>
    <n v="7"/>
    <m/>
    <d v="2026-07-29T00:00:00"/>
    <n v="110"/>
    <n v="27"/>
    <x v="2"/>
    <n v="2970"/>
    <x v="0"/>
  </r>
  <r>
    <n v="655"/>
    <s v="CNTR100654"/>
    <x v="1"/>
    <s v="CMA CGM Rhone"/>
    <x v="6"/>
    <s v="20GP"/>
    <d v="2026-07-28T00:00:00"/>
    <n v="6"/>
    <d v="2026-08-07T00:00:00"/>
    <d v="2026-08-03T00:00:00"/>
    <n v="60"/>
    <n v="4"/>
    <x v="0"/>
    <n v="240"/>
    <x v="1"/>
  </r>
  <r>
    <n v="656"/>
    <s v="CNTR100655"/>
    <x v="0"/>
    <s v="ONE Kestrel"/>
    <x v="2"/>
    <s v="40GP"/>
    <d v="2026-08-07T00:00:00"/>
    <n v="4"/>
    <d v="2026-08-12T00:00:00"/>
    <d v="2026-08-11T00:00:00"/>
    <n v="75"/>
    <n v="1"/>
    <x v="0"/>
    <n v="75"/>
    <x v="1"/>
  </r>
  <r>
    <n v="657"/>
    <s v="CNTR100656"/>
    <x v="3"/>
    <s v="OOCL Bergen"/>
    <x v="4"/>
    <s v="40GP"/>
    <d v="2026-07-23T00:00:00"/>
    <n v="5"/>
    <d v="2026-07-25T00:00:00"/>
    <d v="2026-07-28T00:00:00"/>
    <n v="75"/>
    <n v="0"/>
    <x v="1"/>
    <s v="NA"/>
    <x v="1"/>
  </r>
  <r>
    <n v="658"/>
    <s v="CNTR100657"/>
    <x v="3"/>
    <s v="ZIM Voyager"/>
    <x v="8"/>
    <s v="20GP"/>
    <d v="2026-06-05T00:00:00"/>
    <n v="6"/>
    <d v="2026-06-13T00:00:00"/>
    <d v="2026-06-11T00:00:00"/>
    <n v="60"/>
    <n v="2"/>
    <x v="0"/>
    <n v="120"/>
    <x v="1"/>
  </r>
  <r>
    <n v="659"/>
    <s v="CNTR100658"/>
    <x v="2"/>
    <s v="Yang Ming Peak"/>
    <x v="5"/>
    <s v="20GP"/>
    <d v="2026-07-06T00:00:00"/>
    <n v="5"/>
    <d v="2026-07-07T00:00:00"/>
    <d v="2026-07-11T00:00:00"/>
    <n v="110"/>
    <n v="0"/>
    <x v="1"/>
    <s v="NA"/>
    <x v="1"/>
  </r>
  <r>
    <n v="660"/>
    <s v="CNTR100659"/>
    <x v="3"/>
    <s v="Evergreen Ace"/>
    <x v="3"/>
    <s v="20GP"/>
    <d v="2026-06-15T00:00:00"/>
    <n v="5"/>
    <d v="2026-06-21T00:00:00"/>
    <d v="2026-06-20T00:00:00"/>
    <n v="110"/>
    <n v="1"/>
    <x v="0"/>
    <n v="110"/>
    <x v="1"/>
  </r>
  <r>
    <n v="661"/>
    <s v="CNTR100660"/>
    <x v="2"/>
    <s v="Yang Ming Peak"/>
    <x v="8"/>
    <s v="40HC"/>
    <d v="2026-08-12T00:00:00"/>
    <n v="7"/>
    <d v="2026-08-20T00:00:00"/>
    <d v="2026-08-19T00:00:00"/>
    <n v="130"/>
    <n v="1"/>
    <x v="0"/>
    <n v="130"/>
    <x v="1"/>
  </r>
  <r>
    <n v="662"/>
    <s v="CNTR100661"/>
    <x v="0"/>
    <s v="Maersk Kiel"/>
    <x v="5"/>
    <s v="20GP"/>
    <d v="2026-07-08T00:00:00"/>
    <n v="6"/>
    <d v="2026-07-16T00:00:00"/>
    <d v="2026-07-14T00:00:00"/>
    <n v="130"/>
    <n v="2"/>
    <x v="0"/>
    <n v="260"/>
    <x v="1"/>
  </r>
  <r>
    <n v="663"/>
    <s v="CNTR100662"/>
    <x v="0"/>
    <s v="ONE Kestrel"/>
    <x v="0"/>
    <s v="40GP"/>
    <d v="2026-07-15T00:00:00"/>
    <n v="4"/>
    <d v="2026-07-18T00:00:00"/>
    <d v="2026-07-19T00:00:00"/>
    <n v="110"/>
    <n v="0"/>
    <x v="1"/>
    <s v="NA"/>
    <x v="1"/>
  </r>
  <r>
    <n v="664"/>
    <s v="CNTR100663"/>
    <x v="1"/>
    <s v="Evergreen Ace"/>
    <x v="4"/>
    <s v="40HC"/>
    <d v="2026-06-13T00:00:00"/>
    <n v="5"/>
    <d v="2026-06-20T00:00:00"/>
    <d v="2026-06-18T00:00:00"/>
    <n v="75"/>
    <n v="2"/>
    <x v="0"/>
    <n v="150"/>
    <x v="1"/>
  </r>
  <r>
    <n v="665"/>
    <s v="CNTR100664"/>
    <x v="0"/>
    <s v="OOCL Bergen"/>
    <x v="2"/>
    <s v="40GP"/>
    <d v="2026-07-17T00:00:00"/>
    <n v="5"/>
    <d v="2026-07-20T00:00:00"/>
    <d v="2026-07-22T00:00:00"/>
    <n v="75"/>
    <n v="0"/>
    <x v="1"/>
    <s v="NA"/>
    <x v="1"/>
  </r>
  <r>
    <n v="666"/>
    <s v="CNTR100665"/>
    <x v="1"/>
    <s v="Hapag Lloyd Bern"/>
    <x v="7"/>
    <s v="40GP"/>
    <d v="2026-06-15T00:00:00"/>
    <n v="4"/>
    <m/>
    <d v="2026-06-19T00:00:00"/>
    <n v="130"/>
    <n v="67"/>
    <x v="2"/>
    <n v="8710"/>
    <x v="0"/>
  </r>
  <r>
    <n v="667"/>
    <s v="CNTR100666"/>
    <x v="1"/>
    <s v="OOCL Bergen"/>
    <x v="6"/>
    <s v="40HC"/>
    <d v="2026-08-12T00:00:00"/>
    <n v="5"/>
    <d v="2026-08-16T00:00:00"/>
    <d v="2026-08-17T00:00:00"/>
    <n v="60"/>
    <n v="0"/>
    <x v="1"/>
    <s v="NA"/>
    <x v="1"/>
  </r>
  <r>
    <n v="668"/>
    <s v="CNTR100667"/>
    <x v="2"/>
    <s v="CMA CGM Rhone"/>
    <x v="8"/>
    <s v="40HC"/>
    <d v="2026-06-13T00:00:00"/>
    <n v="4"/>
    <d v="2026-06-16T00:00:00"/>
    <d v="2026-06-17T00:00:00"/>
    <n v="90"/>
    <n v="0"/>
    <x v="1"/>
    <s v="NA"/>
    <x v="1"/>
  </r>
  <r>
    <n v="669"/>
    <s v="CNTR100668"/>
    <x v="3"/>
    <s v="MSC Elena"/>
    <x v="2"/>
    <s v="40GP"/>
    <d v="2026-08-02T00:00:00"/>
    <n v="5"/>
    <m/>
    <d v="2026-08-07T00:00:00"/>
    <n v="60"/>
    <n v="18"/>
    <x v="2"/>
    <n v="1080"/>
    <x v="0"/>
  </r>
  <r>
    <n v="670"/>
    <s v="CNTR100669"/>
    <x v="0"/>
    <s v="ZIM Voyager"/>
    <x v="9"/>
    <s v="40HC"/>
    <d v="2026-05-30T00:00:00"/>
    <n v="6"/>
    <d v="2026-06-04T00:00:00"/>
    <d v="2026-06-05T00:00:00"/>
    <n v="110"/>
    <n v="0"/>
    <x v="1"/>
    <s v="NA"/>
    <x v="1"/>
  </r>
  <r>
    <n v="671"/>
    <s v="CNTR100670"/>
    <x v="1"/>
    <s v="Evergreen Ace"/>
    <x v="9"/>
    <s v="40GP"/>
    <d v="2026-07-01T00:00:00"/>
    <n v="5"/>
    <d v="2026-07-04T00:00:00"/>
    <d v="2026-07-06T00:00:00"/>
    <n v="60"/>
    <n v="0"/>
    <x v="1"/>
    <s v="NA"/>
    <x v="1"/>
  </r>
  <r>
    <n v="672"/>
    <s v="CNTR100671"/>
    <x v="1"/>
    <s v="MSC Elena"/>
    <x v="0"/>
    <s v="40RF"/>
    <d v="2026-08-04T00:00:00"/>
    <n v="4"/>
    <d v="2026-08-05T00:00:00"/>
    <d v="2026-08-08T00:00:00"/>
    <n v="150"/>
    <n v="0"/>
    <x v="1"/>
    <s v="NA"/>
    <x v="1"/>
  </r>
  <r>
    <n v="673"/>
    <s v="CNTR100672"/>
    <x v="0"/>
    <s v="COSCO Harmony"/>
    <x v="3"/>
    <s v="40GP"/>
    <d v="2026-08-04T00:00:00"/>
    <n v="5"/>
    <m/>
    <d v="2026-08-09T00:00:00"/>
    <n v="130"/>
    <n v="16"/>
    <x v="2"/>
    <n v="2080"/>
    <x v="0"/>
  </r>
  <r>
    <n v="674"/>
    <s v="CNTR100673"/>
    <x v="1"/>
    <s v="Maersk Kiel"/>
    <x v="8"/>
    <s v="20GP"/>
    <d v="2026-06-14T00:00:00"/>
    <n v="6"/>
    <d v="2026-06-18T00:00:00"/>
    <d v="2026-06-20T00:00:00"/>
    <n v="130"/>
    <n v="0"/>
    <x v="1"/>
    <s v="NA"/>
    <x v="1"/>
  </r>
  <r>
    <n v="675"/>
    <s v="CNTR100674"/>
    <x v="1"/>
    <s v="MSC Elena"/>
    <x v="1"/>
    <s v="40RF"/>
    <d v="2026-08-07T00:00:00"/>
    <n v="3"/>
    <d v="2026-08-18T00:00:00"/>
    <d v="2026-08-10T00:00:00"/>
    <n v="150"/>
    <n v="8"/>
    <x v="0"/>
    <n v="1200"/>
    <x v="1"/>
  </r>
  <r>
    <n v="676"/>
    <s v="CNTR100675"/>
    <x v="3"/>
    <s v="CMA CGM Rhone"/>
    <x v="4"/>
    <s v="40RF"/>
    <d v="2026-07-01T00:00:00"/>
    <n v="4"/>
    <d v="2026-07-05T00:00:00"/>
    <d v="2026-07-05T00:00:00"/>
    <n v="120"/>
    <n v="0"/>
    <x v="1"/>
    <s v="NA"/>
    <x v="1"/>
  </r>
  <r>
    <n v="677"/>
    <s v="CNTR100676"/>
    <x v="3"/>
    <s v="MSC Elena"/>
    <x v="4"/>
    <s v="40GP"/>
    <d v="2026-08-20T00:00:00"/>
    <n v="7"/>
    <d v="2026-08-25T00:00:00"/>
    <d v="2026-08-27T00:00:00"/>
    <n v="90"/>
    <n v="0"/>
    <x v="1"/>
    <s v="NA"/>
    <x v="1"/>
  </r>
  <r>
    <n v="678"/>
    <s v="CNTR100677"/>
    <x v="1"/>
    <s v="ONE Kestrel"/>
    <x v="6"/>
    <s v="40RF"/>
    <d v="2026-07-16T00:00:00"/>
    <n v="3"/>
    <d v="2026-07-21T00:00:00"/>
    <d v="2026-07-19T00:00:00"/>
    <n v="150"/>
    <n v="2"/>
    <x v="0"/>
    <n v="300"/>
    <x v="1"/>
  </r>
  <r>
    <n v="679"/>
    <s v="CNTR100678"/>
    <x v="3"/>
    <s v="Maersk Kiel"/>
    <x v="3"/>
    <s v="40HC"/>
    <d v="2026-06-30T00:00:00"/>
    <n v="5"/>
    <d v="2026-07-08T00:00:00"/>
    <d v="2026-07-05T00:00:00"/>
    <n v="75"/>
    <n v="3"/>
    <x v="0"/>
    <n v="225"/>
    <x v="1"/>
  </r>
  <r>
    <n v="680"/>
    <s v="CNTR100679"/>
    <x v="1"/>
    <s v="Yang Ming Peak"/>
    <x v="6"/>
    <s v="40GP"/>
    <d v="2026-06-05T00:00:00"/>
    <n v="4"/>
    <m/>
    <d v="2026-06-09T00:00:00"/>
    <n v="60"/>
    <n v="77"/>
    <x v="2"/>
    <n v="4620"/>
    <x v="0"/>
  </r>
  <r>
    <n v="681"/>
    <s v="CNTR100680"/>
    <x v="0"/>
    <s v="MSC Elena"/>
    <x v="6"/>
    <s v="40GP"/>
    <d v="2026-06-20T00:00:00"/>
    <n v="6"/>
    <m/>
    <d v="2026-06-26T00:00:00"/>
    <n v="75"/>
    <n v="60"/>
    <x v="2"/>
    <n v="4500"/>
    <x v="0"/>
  </r>
  <r>
    <n v="682"/>
    <s v="CNTR100681"/>
    <x v="2"/>
    <s v="Evergreen Ace"/>
    <x v="4"/>
    <s v="20GP"/>
    <d v="2026-07-25T00:00:00"/>
    <n v="6"/>
    <m/>
    <d v="2026-07-31T00:00:00"/>
    <n v="75"/>
    <n v="25"/>
    <x v="2"/>
    <n v="1875"/>
    <x v="0"/>
  </r>
  <r>
    <n v="683"/>
    <s v="CNTR100682"/>
    <x v="2"/>
    <s v="CMA CGM Rhone"/>
    <x v="1"/>
    <s v="40RF"/>
    <d v="2026-08-13T00:00:00"/>
    <n v="4"/>
    <d v="2026-08-19T00:00:00"/>
    <d v="2026-08-17T00:00:00"/>
    <n v="150"/>
    <n v="2"/>
    <x v="0"/>
    <n v="300"/>
    <x v="1"/>
  </r>
  <r>
    <n v="684"/>
    <s v="CNTR100683"/>
    <x v="0"/>
    <s v="OOCL Bergen"/>
    <x v="8"/>
    <s v="40HC"/>
    <d v="2026-07-27T00:00:00"/>
    <n v="4"/>
    <d v="2026-07-29T00:00:00"/>
    <d v="2026-07-31T00:00:00"/>
    <n v="75"/>
    <n v="0"/>
    <x v="1"/>
    <s v="NA"/>
    <x v="1"/>
  </r>
  <r>
    <n v="685"/>
    <s v="CNTR100684"/>
    <x v="1"/>
    <s v="CMA CGM Rhone"/>
    <x v="7"/>
    <s v="40GP"/>
    <d v="2026-07-22T00:00:00"/>
    <n v="4"/>
    <d v="2026-07-23T00:00:00"/>
    <d v="2026-07-26T00:00:00"/>
    <n v="110"/>
    <n v="0"/>
    <x v="1"/>
    <s v="NA"/>
    <x v="1"/>
  </r>
  <r>
    <n v="686"/>
    <s v="CNTR100685"/>
    <x v="0"/>
    <s v="OOCL Bergen"/>
    <x v="6"/>
    <s v="40RF"/>
    <d v="2026-06-13T00:00:00"/>
    <n v="4"/>
    <m/>
    <d v="2026-06-17T00:00:00"/>
    <n v="180"/>
    <n v="69"/>
    <x v="2"/>
    <n v="12420"/>
    <x v="0"/>
  </r>
  <r>
    <n v="687"/>
    <s v="CNTR100686"/>
    <x v="2"/>
    <s v="Maersk Kiel"/>
    <x v="3"/>
    <s v="20GP"/>
    <d v="2026-06-24T00:00:00"/>
    <n v="6"/>
    <m/>
    <d v="2026-06-30T00:00:00"/>
    <n v="60"/>
    <n v="56"/>
    <x v="2"/>
    <n v="3360"/>
    <x v="0"/>
  </r>
  <r>
    <n v="688"/>
    <s v="CNTR100687"/>
    <x v="3"/>
    <s v="ZIM Voyager"/>
    <x v="7"/>
    <s v="20GP"/>
    <d v="2026-08-10T00:00:00"/>
    <n v="5"/>
    <m/>
    <d v="2026-08-15T00:00:00"/>
    <n v="75"/>
    <n v="10"/>
    <x v="2"/>
    <n v="750"/>
    <x v="0"/>
  </r>
  <r>
    <n v="689"/>
    <s v="CNTR100688"/>
    <x v="0"/>
    <s v="ONE Kestrel"/>
    <x v="3"/>
    <s v="40HC"/>
    <d v="2026-07-03T00:00:00"/>
    <n v="5"/>
    <m/>
    <d v="2026-07-08T00:00:00"/>
    <n v="110"/>
    <n v="48"/>
    <x v="2"/>
    <n v="5280"/>
    <x v="0"/>
  </r>
  <r>
    <n v="690"/>
    <s v="CNTR100689"/>
    <x v="2"/>
    <s v="Maersk Kiel"/>
    <x v="7"/>
    <s v="40GP"/>
    <d v="2026-08-13T00:00:00"/>
    <n v="7"/>
    <d v="2026-08-23T00:00:00"/>
    <d v="2026-08-20T00:00:00"/>
    <n v="75"/>
    <n v="3"/>
    <x v="0"/>
    <n v="225"/>
    <x v="1"/>
  </r>
  <r>
    <n v="691"/>
    <s v="CNTR100690"/>
    <x v="0"/>
    <s v="CMA CGM Rhone"/>
    <x v="6"/>
    <s v="40RF"/>
    <d v="2026-08-13T00:00:00"/>
    <n v="4"/>
    <m/>
    <d v="2026-08-17T00:00:00"/>
    <n v="120"/>
    <n v="8"/>
    <x v="0"/>
    <n v="960"/>
    <x v="0"/>
  </r>
  <r>
    <n v="692"/>
    <s v="CNTR100691"/>
    <x v="1"/>
    <s v="ONE Kestrel"/>
    <x v="6"/>
    <s v="40HC"/>
    <d v="2026-06-10T00:00:00"/>
    <n v="5"/>
    <d v="2026-06-11T00:00:00"/>
    <d v="2026-06-15T00:00:00"/>
    <n v="130"/>
    <n v="0"/>
    <x v="1"/>
    <s v="NA"/>
    <x v="1"/>
  </r>
  <r>
    <n v="693"/>
    <s v="CNTR100692"/>
    <x v="2"/>
    <s v="ZIM Voyager"/>
    <x v="9"/>
    <s v="40GP"/>
    <d v="2026-07-16T00:00:00"/>
    <n v="7"/>
    <m/>
    <d v="2026-07-23T00:00:00"/>
    <n v="90"/>
    <n v="33"/>
    <x v="2"/>
    <n v="2970"/>
    <x v="0"/>
  </r>
  <r>
    <n v="694"/>
    <s v="CNTR100693"/>
    <x v="3"/>
    <s v="ONE Kestrel"/>
    <x v="5"/>
    <s v="40GP"/>
    <d v="2026-06-06T00:00:00"/>
    <n v="5"/>
    <d v="2026-06-11T00:00:00"/>
    <d v="2026-06-11T00:00:00"/>
    <n v="110"/>
    <n v="0"/>
    <x v="1"/>
    <s v="NA"/>
    <x v="1"/>
  </r>
  <r>
    <n v="695"/>
    <s v="CNTR100694"/>
    <x v="3"/>
    <s v="MSC Elena"/>
    <x v="9"/>
    <s v="40HC"/>
    <d v="2026-07-20T00:00:00"/>
    <n v="4"/>
    <d v="2026-07-24T00:00:00"/>
    <d v="2026-07-24T00:00:00"/>
    <n v="110"/>
    <n v="0"/>
    <x v="1"/>
    <s v="NA"/>
    <x v="1"/>
  </r>
  <r>
    <n v="696"/>
    <s v="CNTR100695"/>
    <x v="0"/>
    <s v="COSCO Harmony"/>
    <x v="4"/>
    <s v="40GP"/>
    <d v="2026-06-20T00:00:00"/>
    <n v="7"/>
    <d v="2026-06-25T00:00:00"/>
    <d v="2026-06-27T00:00:00"/>
    <n v="60"/>
    <n v="0"/>
    <x v="1"/>
    <s v="NA"/>
    <x v="1"/>
  </r>
  <r>
    <n v="697"/>
    <s v="CNTR100696"/>
    <x v="0"/>
    <s v="Yang Ming Peak"/>
    <x v="5"/>
    <s v="40GP"/>
    <d v="2026-06-28T00:00:00"/>
    <n v="5"/>
    <d v="2026-07-06T00:00:00"/>
    <d v="2026-07-03T00:00:00"/>
    <n v="110"/>
    <n v="3"/>
    <x v="0"/>
    <n v="330"/>
    <x v="1"/>
  </r>
  <r>
    <n v="698"/>
    <s v="CNTR100697"/>
    <x v="0"/>
    <s v="CMA CGM Rhone"/>
    <x v="5"/>
    <s v="40GP"/>
    <d v="2026-07-26T00:00:00"/>
    <n v="6"/>
    <d v="2026-07-29T00:00:00"/>
    <d v="2026-08-01T00:00:00"/>
    <n v="60"/>
    <n v="0"/>
    <x v="1"/>
    <s v="NA"/>
    <x v="1"/>
  </r>
  <r>
    <n v="699"/>
    <s v="CNTR100698"/>
    <x v="0"/>
    <s v="COSCO Harmony"/>
    <x v="7"/>
    <s v="40HC"/>
    <d v="2026-07-09T00:00:00"/>
    <n v="6"/>
    <m/>
    <d v="2026-07-15T00:00:00"/>
    <n v="130"/>
    <n v="41"/>
    <x v="2"/>
    <n v="5330"/>
    <x v="0"/>
  </r>
  <r>
    <n v="700"/>
    <s v="CNTR100699"/>
    <x v="0"/>
    <s v="OOCL Bergen"/>
    <x v="5"/>
    <s v="40HC"/>
    <d v="2026-06-25T00:00:00"/>
    <n v="4"/>
    <d v="2026-06-26T00:00:00"/>
    <d v="2026-06-29T00:00:00"/>
    <n v="75"/>
    <n v="0"/>
    <x v="1"/>
    <s v="NA"/>
    <x v="1"/>
  </r>
  <r>
    <n v="701"/>
    <s v="CNTR100700"/>
    <x v="2"/>
    <s v="CMA CGM Rhone"/>
    <x v="5"/>
    <s v="40GP"/>
    <d v="2026-07-21T00:00:00"/>
    <n v="6"/>
    <m/>
    <d v="2026-07-27T00:00:00"/>
    <n v="75"/>
    <n v="29"/>
    <x v="2"/>
    <n v="2175"/>
    <x v="0"/>
  </r>
  <r>
    <n v="702"/>
    <s v="CNTR100701"/>
    <x v="0"/>
    <s v="Hapag Lloyd Bern"/>
    <x v="4"/>
    <s v="40HC"/>
    <d v="2026-07-02T00:00:00"/>
    <n v="5"/>
    <d v="2026-07-09T00:00:00"/>
    <d v="2026-07-07T00:00:00"/>
    <n v="75"/>
    <n v="2"/>
    <x v="0"/>
    <n v="150"/>
    <x v="1"/>
  </r>
  <r>
    <n v="703"/>
    <s v="CNTR100702"/>
    <x v="0"/>
    <s v="Evergreen Ace"/>
    <x v="7"/>
    <s v="40GP"/>
    <d v="2026-07-13T00:00:00"/>
    <n v="4"/>
    <d v="2026-07-16T00:00:00"/>
    <d v="2026-07-17T00:00:00"/>
    <n v="60"/>
    <n v="0"/>
    <x v="1"/>
    <s v="NA"/>
    <x v="1"/>
  </r>
  <r>
    <n v="704"/>
    <s v="CNTR100703"/>
    <x v="2"/>
    <s v="Hapag Lloyd Bern"/>
    <x v="1"/>
    <s v="40GP"/>
    <d v="2026-07-08T00:00:00"/>
    <n v="7"/>
    <m/>
    <d v="2026-07-15T00:00:00"/>
    <n v="90"/>
    <n v="41"/>
    <x v="2"/>
    <n v="3690"/>
    <x v="0"/>
  </r>
  <r>
    <n v="705"/>
    <s v="CNTR100704"/>
    <x v="2"/>
    <s v="COSCO Harmony"/>
    <x v="0"/>
    <s v="40HC"/>
    <d v="2026-08-22T00:00:00"/>
    <n v="6"/>
    <d v="2026-08-25T00:00:00"/>
    <d v="2026-08-28T00:00:00"/>
    <n v="90"/>
    <n v="0"/>
    <x v="1"/>
    <s v="NA"/>
    <x v="1"/>
  </r>
  <r>
    <n v="706"/>
    <s v="CNTR100705"/>
    <x v="1"/>
    <s v="ONE Kestrel"/>
    <x v="5"/>
    <s v="40GP"/>
    <d v="2026-05-30T00:00:00"/>
    <n v="4"/>
    <d v="2026-06-03T00:00:00"/>
    <d v="2026-06-03T00:00:00"/>
    <n v="75"/>
    <n v="0"/>
    <x v="1"/>
    <s v="NA"/>
    <x v="1"/>
  </r>
  <r>
    <n v="707"/>
    <s v="CNTR100706"/>
    <x v="3"/>
    <s v="MSC Elena"/>
    <x v="2"/>
    <s v="40GP"/>
    <d v="2026-07-18T00:00:00"/>
    <n v="4"/>
    <m/>
    <d v="2026-07-22T00:00:00"/>
    <n v="75"/>
    <n v="34"/>
    <x v="2"/>
    <n v="2550"/>
    <x v="0"/>
  </r>
  <r>
    <n v="708"/>
    <s v="CNTR100707"/>
    <x v="3"/>
    <s v="Yang Ming Peak"/>
    <x v="2"/>
    <s v="40HC"/>
    <d v="2026-08-09T00:00:00"/>
    <n v="4"/>
    <d v="2026-08-10T00:00:00"/>
    <d v="2026-08-13T00:00:00"/>
    <n v="60"/>
    <n v="0"/>
    <x v="1"/>
    <s v="NA"/>
    <x v="1"/>
  </r>
  <r>
    <n v="709"/>
    <s v="CNTR100708"/>
    <x v="2"/>
    <s v="CMA CGM Rhone"/>
    <x v="1"/>
    <s v="40GP"/>
    <d v="2026-06-29T00:00:00"/>
    <n v="5"/>
    <d v="2026-07-03T00:00:00"/>
    <d v="2026-07-04T00:00:00"/>
    <n v="90"/>
    <n v="0"/>
    <x v="1"/>
    <s v="NA"/>
    <x v="1"/>
  </r>
  <r>
    <n v="710"/>
    <s v="CNTR100709"/>
    <x v="1"/>
    <s v="OOCL Bergen"/>
    <x v="6"/>
    <s v="40HC"/>
    <d v="2026-07-04T00:00:00"/>
    <n v="5"/>
    <d v="2026-07-05T00:00:00"/>
    <d v="2026-07-09T00:00:00"/>
    <n v="75"/>
    <n v="0"/>
    <x v="1"/>
    <s v="NA"/>
    <x v="1"/>
  </r>
  <r>
    <n v="711"/>
    <s v="CNTR100710"/>
    <x v="2"/>
    <s v="MSC Elena"/>
    <x v="9"/>
    <s v="40HC"/>
    <d v="2026-07-21T00:00:00"/>
    <n v="6"/>
    <d v="2026-07-28T00:00:00"/>
    <d v="2026-07-27T00:00:00"/>
    <n v="110"/>
    <n v="1"/>
    <x v="0"/>
    <n v="110"/>
    <x v="1"/>
  </r>
  <r>
    <n v="712"/>
    <s v="CNTR100711"/>
    <x v="2"/>
    <s v="MSC Elena"/>
    <x v="7"/>
    <s v="40RF"/>
    <d v="2026-06-26T00:00:00"/>
    <n v="3"/>
    <d v="2026-07-01T00:00:00"/>
    <d v="2026-06-29T00:00:00"/>
    <n v="150"/>
    <n v="2"/>
    <x v="0"/>
    <n v="300"/>
    <x v="1"/>
  </r>
  <r>
    <n v="713"/>
    <s v="CNTR100712"/>
    <x v="2"/>
    <s v="Maersk Kiel"/>
    <x v="6"/>
    <s v="40HC"/>
    <d v="2026-06-29T00:00:00"/>
    <n v="4"/>
    <d v="2026-07-07T00:00:00"/>
    <d v="2026-07-03T00:00:00"/>
    <n v="75"/>
    <n v="4"/>
    <x v="0"/>
    <n v="300"/>
    <x v="1"/>
  </r>
  <r>
    <n v="714"/>
    <s v="CNTR100713"/>
    <x v="1"/>
    <s v="CMA CGM Rhone"/>
    <x v="6"/>
    <s v="20GP"/>
    <d v="2026-08-01T00:00:00"/>
    <n v="5"/>
    <m/>
    <d v="2026-08-06T00:00:00"/>
    <n v="110"/>
    <n v="19"/>
    <x v="2"/>
    <n v="2090"/>
    <x v="0"/>
  </r>
  <r>
    <n v="715"/>
    <s v="CNTR100714"/>
    <x v="2"/>
    <s v="Evergreen Ace"/>
    <x v="5"/>
    <s v="40HC"/>
    <d v="2026-08-03T00:00:00"/>
    <n v="4"/>
    <d v="2026-08-04T00:00:00"/>
    <d v="2026-08-07T00:00:00"/>
    <n v="130"/>
    <n v="0"/>
    <x v="1"/>
    <s v="NA"/>
    <x v="1"/>
  </r>
  <r>
    <n v="716"/>
    <s v="CNTR100715"/>
    <x v="3"/>
    <s v="OOCL Bergen"/>
    <x v="0"/>
    <s v="40HC"/>
    <d v="2026-07-13T00:00:00"/>
    <n v="7"/>
    <d v="2026-07-20T00:00:00"/>
    <d v="2026-07-20T00:00:00"/>
    <n v="130"/>
    <n v="0"/>
    <x v="1"/>
    <s v="NA"/>
    <x v="1"/>
  </r>
  <r>
    <n v="717"/>
    <s v="CNTR100716"/>
    <x v="0"/>
    <s v="Evergreen Ace"/>
    <x v="6"/>
    <s v="40HC"/>
    <d v="2026-08-10T00:00:00"/>
    <n v="5"/>
    <d v="2026-08-11T00:00:00"/>
    <d v="2026-08-15T00:00:00"/>
    <n v="90"/>
    <n v="0"/>
    <x v="1"/>
    <s v="NA"/>
    <x v="1"/>
  </r>
  <r>
    <n v="718"/>
    <s v="CNTR100717"/>
    <x v="1"/>
    <s v="ONE Kestrel"/>
    <x v="3"/>
    <s v="40RF"/>
    <d v="2026-08-22T00:00:00"/>
    <n v="4"/>
    <m/>
    <d v="2026-08-26T00:00:00"/>
    <n v="120"/>
    <n v="0"/>
    <x v="1"/>
    <s v="NA"/>
    <x v="0"/>
  </r>
  <r>
    <n v="719"/>
    <s v="CNTR100718"/>
    <x v="3"/>
    <s v="OOCL Bergen"/>
    <x v="9"/>
    <s v="40RF"/>
    <d v="2026-07-09T00:00:00"/>
    <n v="4"/>
    <m/>
    <d v="2026-07-13T00:00:00"/>
    <n v="120"/>
    <n v="43"/>
    <x v="2"/>
    <n v="5160"/>
    <x v="0"/>
  </r>
  <r>
    <n v="720"/>
    <s v="CNTR100719"/>
    <x v="2"/>
    <s v="Maersk Kiel"/>
    <x v="5"/>
    <s v="20GP"/>
    <d v="2026-08-21T00:00:00"/>
    <n v="6"/>
    <m/>
    <d v="2026-08-27T00:00:00"/>
    <n v="90"/>
    <n v="0"/>
    <x v="1"/>
    <s v="NA"/>
    <x v="0"/>
  </r>
  <r>
    <n v="721"/>
    <s v="CNTR100720"/>
    <x v="2"/>
    <s v="MSC Elena"/>
    <x v="4"/>
    <s v="40RF"/>
    <d v="2026-07-30T00:00:00"/>
    <n v="4"/>
    <m/>
    <d v="2026-08-03T00:00:00"/>
    <n v="180"/>
    <n v="22"/>
    <x v="2"/>
    <n v="3960"/>
    <x v="0"/>
  </r>
  <r>
    <n v="722"/>
    <s v="CNTR100721"/>
    <x v="3"/>
    <s v="Maersk Kiel"/>
    <x v="8"/>
    <s v="40GP"/>
    <d v="2026-05-27T00:00:00"/>
    <n v="7"/>
    <d v="2026-06-02T00:00:00"/>
    <d v="2026-06-03T00:00:00"/>
    <n v="130"/>
    <n v="0"/>
    <x v="1"/>
    <s v="NA"/>
    <x v="1"/>
  </r>
  <r>
    <n v="723"/>
    <s v="CNTR100722"/>
    <x v="0"/>
    <s v="Evergreen Ace"/>
    <x v="9"/>
    <s v="40GP"/>
    <d v="2026-06-24T00:00:00"/>
    <n v="7"/>
    <m/>
    <d v="2026-07-01T00:00:00"/>
    <n v="90"/>
    <n v="55"/>
    <x v="2"/>
    <n v="4950"/>
    <x v="0"/>
  </r>
  <r>
    <n v="724"/>
    <s v="CNTR100723"/>
    <x v="0"/>
    <s v="Evergreen Ace"/>
    <x v="1"/>
    <s v="40GP"/>
    <d v="2026-05-31T00:00:00"/>
    <n v="6"/>
    <d v="2026-06-05T00:00:00"/>
    <d v="2026-06-06T00:00:00"/>
    <n v="90"/>
    <n v="0"/>
    <x v="1"/>
    <s v="NA"/>
    <x v="1"/>
  </r>
  <r>
    <n v="725"/>
    <s v="CNTR100724"/>
    <x v="2"/>
    <s v="Yang Ming Peak"/>
    <x v="9"/>
    <s v="40GP"/>
    <d v="2026-08-17T00:00:00"/>
    <n v="4"/>
    <m/>
    <d v="2026-08-21T00:00:00"/>
    <n v="130"/>
    <n v="4"/>
    <x v="0"/>
    <n v="520"/>
    <x v="0"/>
  </r>
  <r>
    <n v="726"/>
    <s v="CNTR100725"/>
    <x v="1"/>
    <s v="ZIM Voyager"/>
    <x v="9"/>
    <s v="40GP"/>
    <d v="2026-07-21T00:00:00"/>
    <n v="4"/>
    <m/>
    <d v="2026-07-25T00:00:00"/>
    <n v="130"/>
    <n v="31"/>
    <x v="2"/>
    <n v="4030"/>
    <x v="0"/>
  </r>
  <r>
    <n v="727"/>
    <s v="CNTR100726"/>
    <x v="1"/>
    <s v="MSC Elena"/>
    <x v="2"/>
    <s v="40GP"/>
    <d v="2026-06-29T00:00:00"/>
    <n v="4"/>
    <d v="2026-07-04T00:00:00"/>
    <d v="2026-07-03T00:00:00"/>
    <n v="110"/>
    <n v="1"/>
    <x v="0"/>
    <n v="110"/>
    <x v="1"/>
  </r>
  <r>
    <n v="728"/>
    <s v="CNTR100727"/>
    <x v="3"/>
    <s v="Maersk Kiel"/>
    <x v="1"/>
    <s v="40HC"/>
    <d v="2026-06-04T00:00:00"/>
    <n v="5"/>
    <d v="2026-06-11T00:00:00"/>
    <d v="2026-06-09T00:00:00"/>
    <n v="60"/>
    <n v="2"/>
    <x v="0"/>
    <n v="120"/>
    <x v="1"/>
  </r>
  <r>
    <n v="729"/>
    <s v="CNTR100728"/>
    <x v="1"/>
    <s v="ZIM Voyager"/>
    <x v="6"/>
    <s v="20GP"/>
    <d v="2026-08-04T00:00:00"/>
    <n v="5"/>
    <d v="2026-08-11T00:00:00"/>
    <d v="2026-08-09T00:00:00"/>
    <n v="90"/>
    <n v="2"/>
    <x v="0"/>
    <n v="180"/>
    <x v="1"/>
  </r>
  <r>
    <n v="730"/>
    <s v="CNTR100729"/>
    <x v="1"/>
    <s v="OOCL Bergen"/>
    <x v="4"/>
    <s v="40HC"/>
    <d v="2026-06-15T00:00:00"/>
    <n v="4"/>
    <d v="2026-06-18T00:00:00"/>
    <d v="2026-06-19T00:00:00"/>
    <n v="60"/>
    <n v="0"/>
    <x v="1"/>
    <s v="NA"/>
    <x v="1"/>
  </r>
  <r>
    <n v="731"/>
    <s v="CNTR100730"/>
    <x v="2"/>
    <s v="ZIM Voyager"/>
    <x v="2"/>
    <s v="40GP"/>
    <d v="2026-07-07T00:00:00"/>
    <n v="7"/>
    <d v="2026-07-11T00:00:00"/>
    <d v="2026-07-14T00:00:00"/>
    <n v="110"/>
    <n v="0"/>
    <x v="1"/>
    <s v="NA"/>
    <x v="1"/>
  </r>
  <r>
    <n v="732"/>
    <s v="CNTR100731"/>
    <x v="3"/>
    <s v="OOCL Bergen"/>
    <x v="8"/>
    <s v="40HC"/>
    <d v="2026-06-20T00:00:00"/>
    <n v="5"/>
    <m/>
    <d v="2026-06-25T00:00:00"/>
    <n v="90"/>
    <n v="61"/>
    <x v="2"/>
    <n v="5490"/>
    <x v="0"/>
  </r>
  <r>
    <n v="733"/>
    <s v="CNTR100732"/>
    <x v="2"/>
    <s v="MSC Elena"/>
    <x v="1"/>
    <s v="20GP"/>
    <d v="2026-07-28T00:00:00"/>
    <n v="6"/>
    <d v="2026-07-30T00:00:00"/>
    <d v="2026-08-03T00:00:00"/>
    <n v="130"/>
    <n v="0"/>
    <x v="1"/>
    <s v="NA"/>
    <x v="1"/>
  </r>
  <r>
    <n v="734"/>
    <s v="CNTR100733"/>
    <x v="2"/>
    <s v="MSC Elena"/>
    <x v="2"/>
    <s v="40HC"/>
    <d v="2026-07-04T00:00:00"/>
    <n v="5"/>
    <m/>
    <d v="2026-07-09T00:00:00"/>
    <n v="110"/>
    <n v="47"/>
    <x v="2"/>
    <n v="5170"/>
    <x v="0"/>
  </r>
  <r>
    <n v="735"/>
    <s v="CNTR100734"/>
    <x v="2"/>
    <s v="Maersk Kiel"/>
    <x v="9"/>
    <s v="40GP"/>
    <d v="2026-07-01T00:00:00"/>
    <n v="5"/>
    <d v="2026-07-09T00:00:00"/>
    <d v="2026-07-06T00:00:00"/>
    <n v="130"/>
    <n v="3"/>
    <x v="0"/>
    <n v="390"/>
    <x v="1"/>
  </r>
  <r>
    <n v="736"/>
    <s v="CNTR100735"/>
    <x v="3"/>
    <s v="OOCL Bergen"/>
    <x v="1"/>
    <s v="40HC"/>
    <d v="2026-06-12T00:00:00"/>
    <n v="4"/>
    <m/>
    <d v="2026-06-16T00:00:00"/>
    <n v="90"/>
    <n v="70"/>
    <x v="2"/>
    <n v="6300"/>
    <x v="0"/>
  </r>
  <r>
    <n v="737"/>
    <s v="CNTR100736"/>
    <x v="1"/>
    <s v="Yang Ming Peak"/>
    <x v="8"/>
    <s v="40RF"/>
    <d v="2026-06-10T00:00:00"/>
    <n v="4"/>
    <d v="2026-06-11T00:00:00"/>
    <d v="2026-06-14T00:00:00"/>
    <n v="150"/>
    <n v="0"/>
    <x v="1"/>
    <s v="NA"/>
    <x v="1"/>
  </r>
  <r>
    <n v="738"/>
    <s v="CNTR100737"/>
    <x v="0"/>
    <s v="Maersk Kiel"/>
    <x v="9"/>
    <s v="40GP"/>
    <d v="2026-05-27T00:00:00"/>
    <n v="5"/>
    <m/>
    <d v="2026-06-01T00:00:00"/>
    <n v="60"/>
    <n v="85"/>
    <x v="2"/>
    <n v="5100"/>
    <x v="0"/>
  </r>
  <r>
    <n v="739"/>
    <s v="CNTR100738"/>
    <x v="2"/>
    <s v="Yang Ming Peak"/>
    <x v="0"/>
    <s v="40RF"/>
    <d v="2026-07-31T00:00:00"/>
    <n v="3"/>
    <m/>
    <d v="2026-08-03T00:00:00"/>
    <n v="120"/>
    <n v="22"/>
    <x v="2"/>
    <n v="2640"/>
    <x v="0"/>
  </r>
  <r>
    <n v="740"/>
    <s v="CNTR100739"/>
    <x v="3"/>
    <s v="ONE Kestrel"/>
    <x v="1"/>
    <s v="40RF"/>
    <d v="2026-07-06T00:00:00"/>
    <n v="4"/>
    <m/>
    <d v="2026-07-10T00:00:00"/>
    <n v="120"/>
    <n v="46"/>
    <x v="2"/>
    <n v="5520"/>
    <x v="0"/>
  </r>
  <r>
    <n v="741"/>
    <s v="CNTR100740"/>
    <x v="3"/>
    <s v="Maersk Kiel"/>
    <x v="4"/>
    <s v="40GP"/>
    <d v="2026-06-29T00:00:00"/>
    <n v="7"/>
    <d v="2026-07-12T00:00:00"/>
    <d v="2026-07-06T00:00:00"/>
    <n v="60"/>
    <n v="6"/>
    <x v="0"/>
    <n v="360"/>
    <x v="1"/>
  </r>
  <r>
    <n v="742"/>
    <s v="CNTR100741"/>
    <x v="1"/>
    <s v="OOCL Bergen"/>
    <x v="4"/>
    <s v="20GP"/>
    <d v="2026-06-03T00:00:00"/>
    <n v="7"/>
    <m/>
    <d v="2026-06-10T00:00:00"/>
    <n v="110"/>
    <n v="76"/>
    <x v="2"/>
    <n v="8360"/>
    <x v="0"/>
  </r>
  <r>
    <n v="743"/>
    <s v="CNTR100742"/>
    <x v="3"/>
    <s v="Evergreen Ace"/>
    <x v="2"/>
    <s v="40GP"/>
    <d v="2026-06-12T00:00:00"/>
    <n v="5"/>
    <d v="2026-06-13T00:00:00"/>
    <d v="2026-06-17T00:00:00"/>
    <n v="60"/>
    <n v="0"/>
    <x v="1"/>
    <s v="NA"/>
    <x v="1"/>
  </r>
  <r>
    <n v="744"/>
    <s v="CNTR100743"/>
    <x v="3"/>
    <s v="Evergreen Ace"/>
    <x v="3"/>
    <s v="40HC"/>
    <d v="2026-06-15T00:00:00"/>
    <n v="4"/>
    <m/>
    <d v="2026-06-19T00:00:00"/>
    <n v="130"/>
    <n v="67"/>
    <x v="2"/>
    <n v="8710"/>
    <x v="0"/>
  </r>
  <r>
    <n v="745"/>
    <s v="CNTR100744"/>
    <x v="1"/>
    <s v="OOCL Bergen"/>
    <x v="1"/>
    <s v="40GP"/>
    <d v="2026-08-14T00:00:00"/>
    <n v="5"/>
    <m/>
    <d v="2026-08-19T00:00:00"/>
    <n v="60"/>
    <n v="6"/>
    <x v="0"/>
    <n v="360"/>
    <x v="0"/>
  </r>
  <r>
    <n v="746"/>
    <s v="CNTR100745"/>
    <x v="0"/>
    <s v="Yang Ming Peak"/>
    <x v="3"/>
    <s v="40HC"/>
    <d v="2026-08-24T00:00:00"/>
    <n v="5"/>
    <d v="2026-08-25T00:00:00"/>
    <d v="2026-08-29T00:00:00"/>
    <n v="75"/>
    <n v="0"/>
    <x v="1"/>
    <s v="NA"/>
    <x v="1"/>
  </r>
  <r>
    <n v="747"/>
    <s v="CNTR100746"/>
    <x v="0"/>
    <s v="OOCL Bergen"/>
    <x v="0"/>
    <s v="20GP"/>
    <d v="2026-07-27T00:00:00"/>
    <n v="4"/>
    <m/>
    <d v="2026-07-31T00:00:00"/>
    <n v="60"/>
    <n v="25"/>
    <x v="2"/>
    <n v="1500"/>
    <x v="0"/>
  </r>
  <r>
    <n v="748"/>
    <s v="CNTR100747"/>
    <x v="2"/>
    <s v="Yang Ming Peak"/>
    <x v="7"/>
    <s v="40GP"/>
    <d v="2026-07-29T00:00:00"/>
    <n v="5"/>
    <m/>
    <d v="2026-08-03T00:00:00"/>
    <n v="110"/>
    <n v="22"/>
    <x v="2"/>
    <n v="2420"/>
    <x v="0"/>
  </r>
  <r>
    <n v="749"/>
    <s v="CNTR100748"/>
    <x v="2"/>
    <s v="COSCO Harmony"/>
    <x v="0"/>
    <s v="40GP"/>
    <d v="2026-07-16T00:00:00"/>
    <n v="6"/>
    <m/>
    <d v="2026-07-22T00:00:00"/>
    <n v="130"/>
    <n v="34"/>
    <x v="2"/>
    <n v="4420"/>
    <x v="0"/>
  </r>
  <r>
    <n v="750"/>
    <s v="CNTR100749"/>
    <x v="2"/>
    <s v="Hapag Lloyd Bern"/>
    <x v="2"/>
    <s v="40RF"/>
    <d v="2026-07-20T00:00:00"/>
    <n v="3"/>
    <d v="2026-07-29T00:00:00"/>
    <d v="2026-07-23T00:00:00"/>
    <n v="120"/>
    <n v="6"/>
    <x v="0"/>
    <n v="720"/>
    <x v="1"/>
  </r>
  <r>
    <n v="751"/>
    <s v="CNTR100750"/>
    <x v="1"/>
    <s v="COSCO Harmony"/>
    <x v="1"/>
    <s v="40RF"/>
    <d v="2026-06-12T00:00:00"/>
    <n v="3"/>
    <d v="2026-06-13T00:00:00"/>
    <d v="2026-06-15T00:00:00"/>
    <n v="180"/>
    <n v="0"/>
    <x v="1"/>
    <s v="NA"/>
    <x v="1"/>
  </r>
  <r>
    <n v="752"/>
    <s v="CNTR100751"/>
    <x v="1"/>
    <s v="CMA CGM Rhone"/>
    <x v="5"/>
    <s v="40RF"/>
    <d v="2026-08-23T00:00:00"/>
    <n v="3"/>
    <m/>
    <d v="2026-08-26T00:00:00"/>
    <n v="150"/>
    <n v="0"/>
    <x v="1"/>
    <s v="NA"/>
    <x v="0"/>
  </r>
  <r>
    <n v="753"/>
    <s v="CNTR100752"/>
    <x v="3"/>
    <s v="OOCL Bergen"/>
    <x v="4"/>
    <s v="40GP"/>
    <d v="2026-07-17T00:00:00"/>
    <n v="6"/>
    <d v="2026-07-22T00:00:00"/>
    <d v="2026-07-23T00:00:00"/>
    <n v="110"/>
    <n v="0"/>
    <x v="1"/>
    <s v="NA"/>
    <x v="1"/>
  </r>
  <r>
    <n v="754"/>
    <s v="CNTR100753"/>
    <x v="1"/>
    <s v="Evergreen Ace"/>
    <x v="7"/>
    <s v="40RF"/>
    <d v="2026-06-29T00:00:00"/>
    <n v="4"/>
    <d v="2026-06-30T00:00:00"/>
    <d v="2026-07-03T00:00:00"/>
    <n v="180"/>
    <n v="0"/>
    <x v="1"/>
    <s v="NA"/>
    <x v="1"/>
  </r>
  <r>
    <n v="755"/>
    <s v="CNTR100754"/>
    <x v="3"/>
    <s v="ONE Kestrel"/>
    <x v="6"/>
    <s v="40GP"/>
    <d v="2026-08-18T00:00:00"/>
    <n v="4"/>
    <m/>
    <d v="2026-08-22T00:00:00"/>
    <n v="90"/>
    <n v="3"/>
    <x v="0"/>
    <n v="270"/>
    <x v="0"/>
  </r>
  <r>
    <n v="756"/>
    <s v="CNTR100755"/>
    <x v="0"/>
    <s v="COSCO Harmony"/>
    <x v="3"/>
    <s v="20GP"/>
    <d v="2026-08-13T00:00:00"/>
    <n v="4"/>
    <d v="2026-08-14T00:00:00"/>
    <d v="2026-08-17T00:00:00"/>
    <n v="90"/>
    <n v="0"/>
    <x v="1"/>
    <s v="NA"/>
    <x v="1"/>
  </r>
  <r>
    <n v="757"/>
    <s v="CNTR100756"/>
    <x v="3"/>
    <s v="ZIM Voyager"/>
    <x v="0"/>
    <s v="40RF"/>
    <d v="2026-08-09T00:00:00"/>
    <n v="3"/>
    <d v="2026-08-18T00:00:00"/>
    <d v="2026-08-12T00:00:00"/>
    <n v="150"/>
    <n v="6"/>
    <x v="0"/>
    <n v="900"/>
    <x v="1"/>
  </r>
  <r>
    <n v="758"/>
    <s v="CNTR100757"/>
    <x v="2"/>
    <s v="Yang Ming Peak"/>
    <x v="0"/>
    <s v="20GP"/>
    <d v="2026-06-30T00:00:00"/>
    <n v="5"/>
    <d v="2026-07-06T00:00:00"/>
    <d v="2026-07-05T00:00:00"/>
    <n v="110"/>
    <n v="1"/>
    <x v="0"/>
    <n v="110"/>
    <x v="1"/>
  </r>
  <r>
    <n v="759"/>
    <s v="CNTR100758"/>
    <x v="2"/>
    <s v="COSCO Harmony"/>
    <x v="9"/>
    <s v="40HC"/>
    <d v="2026-08-10T00:00:00"/>
    <n v="7"/>
    <m/>
    <d v="2026-08-17T00:00:00"/>
    <n v="110"/>
    <n v="8"/>
    <x v="0"/>
    <n v="880"/>
    <x v="0"/>
  </r>
  <r>
    <n v="760"/>
    <s v="CNTR100759"/>
    <x v="0"/>
    <s v="OOCL Bergen"/>
    <x v="3"/>
    <s v="40RF"/>
    <d v="2026-07-06T00:00:00"/>
    <n v="4"/>
    <m/>
    <d v="2026-07-10T00:00:00"/>
    <n v="120"/>
    <n v="46"/>
    <x v="2"/>
    <n v="5520"/>
    <x v="0"/>
  </r>
  <r>
    <n v="761"/>
    <s v="CNTR100760"/>
    <x v="3"/>
    <s v="Hapag Lloyd Bern"/>
    <x v="3"/>
    <s v="40HC"/>
    <d v="2026-07-25T00:00:00"/>
    <n v="4"/>
    <d v="2026-08-02T00:00:00"/>
    <d v="2026-07-29T00:00:00"/>
    <n v="110"/>
    <n v="4"/>
    <x v="0"/>
    <n v="440"/>
    <x v="1"/>
  </r>
  <r>
    <n v="762"/>
    <s v="CNTR100761"/>
    <x v="1"/>
    <s v="MSC Elena"/>
    <x v="2"/>
    <s v="40RF"/>
    <d v="2026-06-01T00:00:00"/>
    <n v="4"/>
    <d v="2026-06-02T00:00:00"/>
    <d v="2026-06-05T00:00:00"/>
    <n v="120"/>
    <n v="0"/>
    <x v="1"/>
    <s v="NA"/>
    <x v="1"/>
  </r>
  <r>
    <n v="763"/>
    <s v="CNTR100762"/>
    <x v="1"/>
    <s v="Hapag Lloyd Bern"/>
    <x v="8"/>
    <s v="20GP"/>
    <d v="2026-07-07T00:00:00"/>
    <n v="5"/>
    <m/>
    <d v="2026-07-12T00:00:00"/>
    <n v="110"/>
    <n v="44"/>
    <x v="2"/>
    <n v="4840"/>
    <x v="0"/>
  </r>
  <r>
    <n v="764"/>
    <s v="CNTR100763"/>
    <x v="1"/>
    <s v="MSC Elena"/>
    <x v="7"/>
    <s v="40GP"/>
    <d v="2026-06-21T00:00:00"/>
    <n v="5"/>
    <d v="2026-06-28T00:00:00"/>
    <d v="2026-06-26T00:00:00"/>
    <n v="60"/>
    <n v="2"/>
    <x v="0"/>
    <n v="120"/>
    <x v="1"/>
  </r>
  <r>
    <n v="765"/>
    <s v="CNTR100764"/>
    <x v="3"/>
    <s v="ZIM Voyager"/>
    <x v="9"/>
    <s v="20GP"/>
    <d v="2026-08-07T00:00:00"/>
    <n v="5"/>
    <d v="2026-08-09T00:00:00"/>
    <d v="2026-08-12T00:00:00"/>
    <n v="75"/>
    <n v="0"/>
    <x v="1"/>
    <s v="NA"/>
    <x v="1"/>
  </r>
  <r>
    <n v="766"/>
    <s v="CNTR100765"/>
    <x v="0"/>
    <s v="MSC Elena"/>
    <x v="2"/>
    <s v="20GP"/>
    <d v="2026-06-16T00:00:00"/>
    <n v="6"/>
    <d v="2026-06-23T00:00:00"/>
    <d v="2026-06-22T00:00:00"/>
    <n v="60"/>
    <n v="1"/>
    <x v="0"/>
    <n v="60"/>
    <x v="1"/>
  </r>
  <r>
    <n v="767"/>
    <s v="CNTR100766"/>
    <x v="1"/>
    <s v="CMA CGM Rhone"/>
    <x v="0"/>
    <s v="20GP"/>
    <d v="2026-06-12T00:00:00"/>
    <n v="5"/>
    <d v="2026-06-16T00:00:00"/>
    <d v="2026-06-17T00:00:00"/>
    <n v="110"/>
    <n v="0"/>
    <x v="1"/>
    <s v="NA"/>
    <x v="1"/>
  </r>
  <r>
    <n v="768"/>
    <s v="CNTR100767"/>
    <x v="0"/>
    <s v="Maersk Kiel"/>
    <x v="2"/>
    <s v="40RF"/>
    <d v="2026-08-22T00:00:00"/>
    <n v="4"/>
    <d v="2026-08-23T00:00:00"/>
    <d v="2026-08-26T00:00:00"/>
    <n v="150"/>
    <n v="0"/>
    <x v="1"/>
    <s v="NA"/>
    <x v="1"/>
  </r>
  <r>
    <n v="769"/>
    <s v="CNTR100768"/>
    <x v="0"/>
    <s v="COSCO Harmony"/>
    <x v="8"/>
    <s v="20GP"/>
    <d v="2026-08-12T00:00:00"/>
    <n v="7"/>
    <d v="2026-08-19T00:00:00"/>
    <d v="2026-08-19T00:00:00"/>
    <n v="130"/>
    <n v="0"/>
    <x v="1"/>
    <s v="NA"/>
    <x v="1"/>
  </r>
  <r>
    <n v="770"/>
    <s v="CNTR100769"/>
    <x v="0"/>
    <s v="Evergreen Ace"/>
    <x v="5"/>
    <s v="40GP"/>
    <d v="2026-07-03T00:00:00"/>
    <n v="7"/>
    <m/>
    <d v="2026-07-10T00:00:00"/>
    <n v="130"/>
    <n v="46"/>
    <x v="2"/>
    <n v="5980"/>
    <x v="0"/>
  </r>
  <r>
    <n v="771"/>
    <s v="CNTR100770"/>
    <x v="3"/>
    <s v="Hapag Lloyd Bern"/>
    <x v="4"/>
    <s v="40HC"/>
    <d v="2026-06-07T00:00:00"/>
    <n v="5"/>
    <m/>
    <d v="2026-06-12T00:00:00"/>
    <n v="130"/>
    <n v="74"/>
    <x v="2"/>
    <n v="9620"/>
    <x v="0"/>
  </r>
  <r>
    <n v="772"/>
    <s v="CNTR100771"/>
    <x v="3"/>
    <s v="COSCO Harmony"/>
    <x v="7"/>
    <s v="20GP"/>
    <d v="2026-07-23T00:00:00"/>
    <n v="5"/>
    <d v="2026-07-29T00:00:00"/>
    <d v="2026-07-28T00:00:00"/>
    <n v="130"/>
    <n v="1"/>
    <x v="0"/>
    <n v="130"/>
    <x v="1"/>
  </r>
  <r>
    <n v="773"/>
    <s v="CNTR100772"/>
    <x v="3"/>
    <s v="Hapag Lloyd Bern"/>
    <x v="4"/>
    <s v="40GP"/>
    <d v="2026-06-02T00:00:00"/>
    <n v="4"/>
    <d v="2026-06-06T00:00:00"/>
    <d v="2026-06-06T00:00:00"/>
    <n v="130"/>
    <n v="0"/>
    <x v="1"/>
    <s v="NA"/>
    <x v="1"/>
  </r>
  <r>
    <n v="774"/>
    <s v="CNTR100773"/>
    <x v="2"/>
    <s v="MSC Elena"/>
    <x v="1"/>
    <s v="40RF"/>
    <d v="2026-07-05T00:00:00"/>
    <n v="4"/>
    <d v="2026-07-06T00:00:00"/>
    <d v="2026-07-09T00:00:00"/>
    <n v="150"/>
    <n v="0"/>
    <x v="1"/>
    <s v="NA"/>
    <x v="1"/>
  </r>
  <r>
    <n v="775"/>
    <s v="CNTR100774"/>
    <x v="0"/>
    <s v="Hapag Lloyd Bern"/>
    <x v="2"/>
    <s v="40RF"/>
    <d v="2026-06-20T00:00:00"/>
    <n v="4"/>
    <m/>
    <d v="2026-06-24T00:00:00"/>
    <n v="120"/>
    <n v="62"/>
    <x v="2"/>
    <n v="7440"/>
    <x v="0"/>
  </r>
  <r>
    <n v="776"/>
    <s v="CNTR100775"/>
    <x v="0"/>
    <s v="COSCO Harmony"/>
    <x v="4"/>
    <s v="20GP"/>
    <d v="2026-08-14T00:00:00"/>
    <n v="5"/>
    <d v="2026-08-23T00:00:00"/>
    <d v="2026-08-19T00:00:00"/>
    <n v="75"/>
    <n v="4"/>
    <x v="0"/>
    <n v="300"/>
    <x v="1"/>
  </r>
  <r>
    <n v="777"/>
    <s v="CNTR100776"/>
    <x v="0"/>
    <s v="Evergreen Ace"/>
    <x v="4"/>
    <s v="40RF"/>
    <d v="2026-07-13T00:00:00"/>
    <n v="4"/>
    <d v="2026-07-19T00:00:00"/>
    <d v="2026-07-17T00:00:00"/>
    <n v="120"/>
    <n v="2"/>
    <x v="0"/>
    <n v="240"/>
    <x v="1"/>
  </r>
  <r>
    <n v="778"/>
    <s v="CNTR100777"/>
    <x v="3"/>
    <s v="Maersk Kiel"/>
    <x v="6"/>
    <s v="40GP"/>
    <d v="2026-06-13T00:00:00"/>
    <n v="7"/>
    <m/>
    <d v="2026-06-20T00:00:00"/>
    <n v="90"/>
    <n v="66"/>
    <x v="2"/>
    <n v="5940"/>
    <x v="0"/>
  </r>
  <r>
    <n v="779"/>
    <s v="CNTR100778"/>
    <x v="1"/>
    <s v="COSCO Harmony"/>
    <x v="3"/>
    <s v="40GP"/>
    <d v="2026-06-15T00:00:00"/>
    <n v="5"/>
    <d v="2026-06-24T00:00:00"/>
    <d v="2026-06-20T00:00:00"/>
    <n v="90"/>
    <n v="4"/>
    <x v="0"/>
    <n v="360"/>
    <x v="1"/>
  </r>
  <r>
    <n v="780"/>
    <s v="CNTR100779"/>
    <x v="0"/>
    <s v="CMA CGM Rhone"/>
    <x v="8"/>
    <s v="40GP"/>
    <d v="2026-07-05T00:00:00"/>
    <n v="4"/>
    <d v="2026-07-06T00:00:00"/>
    <d v="2026-07-09T00:00:00"/>
    <n v="75"/>
    <n v="0"/>
    <x v="1"/>
    <s v="NA"/>
    <x v="1"/>
  </r>
  <r>
    <n v="781"/>
    <s v="CNTR100780"/>
    <x v="2"/>
    <s v="Yang Ming Peak"/>
    <x v="7"/>
    <s v="40RF"/>
    <d v="2026-06-05T00:00:00"/>
    <n v="4"/>
    <d v="2026-06-17T00:00:00"/>
    <d v="2026-06-09T00:00:00"/>
    <n v="150"/>
    <n v="8"/>
    <x v="0"/>
    <n v="1200"/>
    <x v="1"/>
  </r>
  <r>
    <n v="782"/>
    <s v="CNTR100781"/>
    <x v="0"/>
    <s v="OOCL Bergen"/>
    <x v="7"/>
    <s v="20GP"/>
    <d v="2026-06-26T00:00:00"/>
    <n v="6"/>
    <d v="2026-07-07T00:00:00"/>
    <d v="2026-07-02T00:00:00"/>
    <n v="130"/>
    <n v="5"/>
    <x v="0"/>
    <n v="650"/>
    <x v="1"/>
  </r>
  <r>
    <n v="783"/>
    <s v="CNTR100782"/>
    <x v="1"/>
    <s v="OOCL Bergen"/>
    <x v="4"/>
    <s v="40HC"/>
    <d v="2026-07-28T00:00:00"/>
    <n v="4"/>
    <d v="2026-08-09T00:00:00"/>
    <d v="2026-08-01T00:00:00"/>
    <n v="60"/>
    <n v="8"/>
    <x v="0"/>
    <n v="480"/>
    <x v="1"/>
  </r>
  <r>
    <n v="784"/>
    <s v="CNTR100783"/>
    <x v="1"/>
    <s v="ZIM Voyager"/>
    <x v="4"/>
    <s v="40GP"/>
    <d v="2026-07-04T00:00:00"/>
    <n v="5"/>
    <d v="2026-07-08T00:00:00"/>
    <d v="2026-07-09T00:00:00"/>
    <n v="110"/>
    <n v="0"/>
    <x v="1"/>
    <s v="NA"/>
    <x v="1"/>
  </r>
  <r>
    <n v="785"/>
    <s v="CNTR100784"/>
    <x v="0"/>
    <s v="ONE Kestrel"/>
    <x v="0"/>
    <s v="40GP"/>
    <d v="2026-07-31T00:00:00"/>
    <n v="4"/>
    <d v="2026-08-01T00:00:00"/>
    <d v="2026-08-04T00:00:00"/>
    <n v="90"/>
    <n v="0"/>
    <x v="1"/>
    <s v="NA"/>
    <x v="1"/>
  </r>
  <r>
    <n v="786"/>
    <s v="CNTR100785"/>
    <x v="2"/>
    <s v="OOCL Bergen"/>
    <x v="8"/>
    <s v="40HC"/>
    <d v="2026-08-18T00:00:00"/>
    <n v="7"/>
    <d v="2026-08-21T00:00:00"/>
    <d v="2026-08-25T00:00:00"/>
    <n v="60"/>
    <n v="0"/>
    <x v="1"/>
    <s v="NA"/>
    <x v="1"/>
  </r>
  <r>
    <n v="787"/>
    <s v="CNTR100786"/>
    <x v="1"/>
    <s v="ONE Kestrel"/>
    <x v="8"/>
    <s v="40HC"/>
    <d v="2026-06-01T00:00:00"/>
    <n v="5"/>
    <d v="2026-06-06T00:00:00"/>
    <d v="2026-06-06T00:00:00"/>
    <n v="110"/>
    <n v="0"/>
    <x v="1"/>
    <s v="NA"/>
    <x v="1"/>
  </r>
  <r>
    <n v="788"/>
    <s v="CNTR100787"/>
    <x v="2"/>
    <s v="ZIM Voyager"/>
    <x v="5"/>
    <s v="20GP"/>
    <d v="2026-05-28T00:00:00"/>
    <n v="7"/>
    <m/>
    <d v="2026-06-04T00:00:00"/>
    <n v="60"/>
    <n v="82"/>
    <x v="2"/>
    <n v="4920"/>
    <x v="0"/>
  </r>
  <r>
    <n v="789"/>
    <s v="CNTR100788"/>
    <x v="3"/>
    <s v="Maersk Kiel"/>
    <x v="1"/>
    <s v="40GP"/>
    <d v="2026-07-29T00:00:00"/>
    <n v="6"/>
    <d v="2026-07-30T00:00:00"/>
    <d v="2026-08-04T00:00:00"/>
    <n v="75"/>
    <n v="0"/>
    <x v="1"/>
    <s v="NA"/>
    <x v="1"/>
  </r>
  <r>
    <n v="790"/>
    <s v="CNTR100789"/>
    <x v="0"/>
    <s v="Yang Ming Peak"/>
    <x v="4"/>
    <s v="20GP"/>
    <d v="2026-06-05T00:00:00"/>
    <n v="5"/>
    <d v="2026-06-14T00:00:00"/>
    <d v="2026-06-10T00:00:00"/>
    <n v="60"/>
    <n v="4"/>
    <x v="0"/>
    <n v="240"/>
    <x v="1"/>
  </r>
  <r>
    <n v="791"/>
    <s v="CNTR100790"/>
    <x v="2"/>
    <s v="MSC Elena"/>
    <x v="7"/>
    <s v="40RF"/>
    <d v="2026-07-03T00:00:00"/>
    <n v="4"/>
    <d v="2026-07-08T00:00:00"/>
    <d v="2026-07-07T00:00:00"/>
    <n v="150"/>
    <n v="1"/>
    <x v="0"/>
    <n v="150"/>
    <x v="1"/>
  </r>
  <r>
    <n v="792"/>
    <s v="CNTR100791"/>
    <x v="3"/>
    <s v="Maersk Kiel"/>
    <x v="7"/>
    <s v="40RF"/>
    <d v="2026-07-25T00:00:00"/>
    <n v="4"/>
    <d v="2026-07-26T00:00:00"/>
    <d v="2026-07-29T00:00:00"/>
    <n v="180"/>
    <n v="0"/>
    <x v="1"/>
    <s v="NA"/>
    <x v="1"/>
  </r>
  <r>
    <n v="793"/>
    <s v="CNTR100792"/>
    <x v="1"/>
    <s v="ONE Kestrel"/>
    <x v="7"/>
    <s v="40RF"/>
    <d v="2026-07-30T00:00:00"/>
    <n v="3"/>
    <d v="2026-08-02T00:00:00"/>
    <d v="2026-08-02T00:00:00"/>
    <n v="120"/>
    <n v="0"/>
    <x v="1"/>
    <s v="NA"/>
    <x v="1"/>
  </r>
  <r>
    <n v="794"/>
    <s v="CNTR100793"/>
    <x v="1"/>
    <s v="CMA CGM Rhone"/>
    <x v="7"/>
    <s v="40RF"/>
    <d v="2026-06-23T00:00:00"/>
    <n v="4"/>
    <d v="2026-06-25T00:00:00"/>
    <d v="2026-06-27T00:00:00"/>
    <n v="150"/>
    <n v="0"/>
    <x v="1"/>
    <s v="NA"/>
    <x v="1"/>
  </r>
  <r>
    <n v="795"/>
    <s v="CNTR100794"/>
    <x v="0"/>
    <s v="MSC Elena"/>
    <x v="0"/>
    <s v="40HC"/>
    <d v="2026-07-03T00:00:00"/>
    <n v="7"/>
    <d v="2026-07-11T00:00:00"/>
    <d v="2026-07-10T00:00:00"/>
    <n v="110"/>
    <n v="1"/>
    <x v="0"/>
    <n v="110"/>
    <x v="1"/>
  </r>
  <r>
    <n v="796"/>
    <s v="CNTR100795"/>
    <x v="2"/>
    <s v="CMA CGM Rhone"/>
    <x v="4"/>
    <s v="20GP"/>
    <d v="2026-07-04T00:00:00"/>
    <n v="4"/>
    <d v="2026-07-05T00:00:00"/>
    <d v="2026-07-08T00:00:00"/>
    <n v="60"/>
    <n v="0"/>
    <x v="1"/>
    <s v="NA"/>
    <x v="1"/>
  </r>
  <r>
    <n v="797"/>
    <s v="CNTR100796"/>
    <x v="1"/>
    <s v="ZIM Voyager"/>
    <x v="4"/>
    <s v="40HC"/>
    <d v="2026-08-19T00:00:00"/>
    <n v="7"/>
    <d v="2026-08-25T00:00:00"/>
    <d v="2026-08-26T00:00:00"/>
    <n v="130"/>
    <n v="0"/>
    <x v="1"/>
    <s v="NA"/>
    <x v="1"/>
  </r>
  <r>
    <n v="798"/>
    <s v="CNTR100797"/>
    <x v="0"/>
    <s v="MSC Elena"/>
    <x v="4"/>
    <s v="40GP"/>
    <d v="2026-07-11T00:00:00"/>
    <n v="7"/>
    <d v="2026-07-22T00:00:00"/>
    <d v="2026-07-18T00:00:00"/>
    <n v="130"/>
    <n v="4"/>
    <x v="0"/>
    <n v="520"/>
    <x v="1"/>
  </r>
  <r>
    <n v="799"/>
    <s v="CNTR100798"/>
    <x v="1"/>
    <s v="ONE Kestrel"/>
    <x v="8"/>
    <s v="40GP"/>
    <d v="2026-06-13T00:00:00"/>
    <n v="6"/>
    <d v="2026-06-22T00:00:00"/>
    <d v="2026-06-19T00:00:00"/>
    <n v="130"/>
    <n v="3"/>
    <x v="0"/>
    <n v="390"/>
    <x v="1"/>
  </r>
  <r>
    <n v="800"/>
    <s v="CNTR100799"/>
    <x v="1"/>
    <s v="Hapag Lloyd Bern"/>
    <x v="4"/>
    <s v="40GP"/>
    <d v="2026-06-06T00:00:00"/>
    <n v="6"/>
    <d v="2026-06-12T00:00:00"/>
    <d v="2026-06-12T00:00:00"/>
    <n v="90"/>
    <n v="0"/>
    <x v="1"/>
    <s v="NA"/>
    <x v="1"/>
  </r>
  <r>
    <n v="801"/>
    <s v="CNTR100800"/>
    <x v="1"/>
    <s v="Maersk Kiel"/>
    <x v="5"/>
    <s v="20GP"/>
    <d v="2026-07-24T00:00:00"/>
    <n v="4"/>
    <d v="2026-07-27T00:00:00"/>
    <d v="2026-07-28T00:00:00"/>
    <n v="75"/>
    <n v="0"/>
    <x v="1"/>
    <s v="NA"/>
    <x v="1"/>
  </r>
  <r>
    <n v="802"/>
    <s v="CNTR100801"/>
    <x v="0"/>
    <s v="OOCL Bergen"/>
    <x v="0"/>
    <s v="40GP"/>
    <d v="2026-06-18T00:00:00"/>
    <n v="7"/>
    <d v="2026-06-23T00:00:00"/>
    <d v="2026-06-25T00:00:00"/>
    <n v="60"/>
    <n v="0"/>
    <x v="1"/>
    <s v="NA"/>
    <x v="1"/>
  </r>
  <r>
    <n v="803"/>
    <s v="CNTR100802"/>
    <x v="3"/>
    <s v="Yang Ming Peak"/>
    <x v="9"/>
    <s v="40RF"/>
    <d v="2026-07-11T00:00:00"/>
    <n v="3"/>
    <d v="2026-07-12T00:00:00"/>
    <d v="2026-07-14T00:00:00"/>
    <n v="120"/>
    <n v="0"/>
    <x v="1"/>
    <s v="NA"/>
    <x v="1"/>
  </r>
  <r>
    <n v="804"/>
    <s v="CNTR100803"/>
    <x v="0"/>
    <s v="ONE Kestrel"/>
    <x v="7"/>
    <s v="40HC"/>
    <d v="2026-06-22T00:00:00"/>
    <n v="4"/>
    <d v="2026-06-29T00:00:00"/>
    <d v="2026-06-26T00:00:00"/>
    <n v="110"/>
    <n v="3"/>
    <x v="0"/>
    <n v="330"/>
    <x v="1"/>
  </r>
  <r>
    <n v="805"/>
    <s v="CNTR100804"/>
    <x v="1"/>
    <s v="ONE Kestrel"/>
    <x v="5"/>
    <s v="20GP"/>
    <d v="2026-08-05T00:00:00"/>
    <n v="6"/>
    <m/>
    <d v="2026-08-11T00:00:00"/>
    <n v="90"/>
    <n v="14"/>
    <x v="2"/>
    <n v="1260"/>
    <x v="0"/>
  </r>
  <r>
    <n v="806"/>
    <s v="CNTR100805"/>
    <x v="1"/>
    <s v="ZIM Voyager"/>
    <x v="6"/>
    <s v="40RF"/>
    <d v="2026-06-21T00:00:00"/>
    <n v="3"/>
    <d v="2026-06-30T00:00:00"/>
    <d v="2026-06-24T00:00:00"/>
    <n v="120"/>
    <n v="6"/>
    <x v="0"/>
    <n v="720"/>
    <x v="1"/>
  </r>
  <r>
    <n v="807"/>
    <s v="CNTR100806"/>
    <x v="3"/>
    <s v="Maersk Kiel"/>
    <x v="8"/>
    <s v="40GP"/>
    <d v="2026-08-24T00:00:00"/>
    <n v="4"/>
    <d v="2026-08-25T00:00:00"/>
    <d v="2026-08-28T00:00:00"/>
    <n v="75"/>
    <n v="0"/>
    <x v="1"/>
    <s v="NA"/>
    <x v="1"/>
  </r>
  <r>
    <n v="808"/>
    <s v="CNTR100807"/>
    <x v="2"/>
    <s v="COSCO Harmony"/>
    <x v="5"/>
    <s v="40GP"/>
    <d v="2026-08-01T00:00:00"/>
    <n v="5"/>
    <d v="2026-08-04T00:00:00"/>
    <d v="2026-08-06T00:00:00"/>
    <n v="110"/>
    <n v="0"/>
    <x v="1"/>
    <s v="NA"/>
    <x v="1"/>
  </r>
  <r>
    <n v="809"/>
    <s v="CNTR100808"/>
    <x v="3"/>
    <s v="ZIM Voyager"/>
    <x v="4"/>
    <s v="40HC"/>
    <d v="2026-07-23T00:00:00"/>
    <n v="7"/>
    <d v="2026-08-04T00:00:00"/>
    <d v="2026-07-30T00:00:00"/>
    <n v="75"/>
    <n v="5"/>
    <x v="0"/>
    <n v="375"/>
    <x v="1"/>
  </r>
  <r>
    <n v="810"/>
    <s v="CNTR100809"/>
    <x v="3"/>
    <s v="MSC Elena"/>
    <x v="6"/>
    <s v="40GP"/>
    <d v="2026-07-16T00:00:00"/>
    <n v="4"/>
    <d v="2026-07-25T00:00:00"/>
    <d v="2026-07-20T00:00:00"/>
    <n v="60"/>
    <n v="5"/>
    <x v="0"/>
    <n v="300"/>
    <x v="1"/>
  </r>
  <r>
    <n v="811"/>
    <s v="CNTR100810"/>
    <x v="0"/>
    <s v="Yang Ming Peak"/>
    <x v="9"/>
    <s v="40GP"/>
    <d v="2026-06-29T00:00:00"/>
    <n v="4"/>
    <m/>
    <d v="2026-07-03T00:00:00"/>
    <n v="110"/>
    <n v="53"/>
    <x v="2"/>
    <n v="5830"/>
    <x v="0"/>
  </r>
  <r>
    <n v="812"/>
    <s v="CNTR100811"/>
    <x v="3"/>
    <s v="Maersk Kiel"/>
    <x v="1"/>
    <s v="20GP"/>
    <d v="2026-08-24T00:00:00"/>
    <n v="4"/>
    <d v="2026-08-25T00:00:00"/>
    <d v="2026-08-28T00:00:00"/>
    <n v="110"/>
    <n v="0"/>
    <x v="1"/>
    <s v="NA"/>
    <x v="1"/>
  </r>
  <r>
    <n v="813"/>
    <s v="CNTR100812"/>
    <x v="1"/>
    <s v="Hapag Lloyd Bern"/>
    <x v="4"/>
    <s v="20GP"/>
    <d v="2026-08-21T00:00:00"/>
    <n v="6"/>
    <d v="2026-08-25T00:00:00"/>
    <d v="2026-08-27T00:00:00"/>
    <n v="75"/>
    <n v="0"/>
    <x v="1"/>
    <s v="NA"/>
    <x v="1"/>
  </r>
  <r>
    <n v="814"/>
    <s v="CNTR100813"/>
    <x v="2"/>
    <s v="ONE Kestrel"/>
    <x v="4"/>
    <s v="40HC"/>
    <d v="2026-05-27T00:00:00"/>
    <n v="5"/>
    <d v="2026-06-04T00:00:00"/>
    <d v="2026-06-01T00:00:00"/>
    <n v="90"/>
    <n v="3"/>
    <x v="0"/>
    <n v="270"/>
    <x v="1"/>
  </r>
  <r>
    <n v="815"/>
    <s v="CNTR100814"/>
    <x v="1"/>
    <s v="OOCL Bergen"/>
    <x v="0"/>
    <s v="40HC"/>
    <d v="2026-06-29T00:00:00"/>
    <n v="5"/>
    <m/>
    <d v="2026-07-04T00:00:00"/>
    <n v="110"/>
    <n v="52"/>
    <x v="2"/>
    <n v="5720"/>
    <x v="0"/>
  </r>
  <r>
    <n v="816"/>
    <s v="CNTR100815"/>
    <x v="0"/>
    <s v="Hapag Lloyd Bern"/>
    <x v="2"/>
    <s v="20GP"/>
    <d v="2026-08-09T00:00:00"/>
    <n v="6"/>
    <m/>
    <d v="2026-08-15T00:00:00"/>
    <n v="110"/>
    <n v="10"/>
    <x v="2"/>
    <n v="1100"/>
    <x v="0"/>
  </r>
  <r>
    <n v="817"/>
    <s v="CNTR100816"/>
    <x v="2"/>
    <s v="Evergreen Ace"/>
    <x v="4"/>
    <s v="40HC"/>
    <d v="2026-07-05T00:00:00"/>
    <n v="4"/>
    <m/>
    <d v="2026-07-09T00:00:00"/>
    <n v="75"/>
    <n v="47"/>
    <x v="2"/>
    <n v="3525"/>
    <x v="0"/>
  </r>
  <r>
    <n v="818"/>
    <s v="CNTR100817"/>
    <x v="2"/>
    <s v="OOCL Bergen"/>
    <x v="7"/>
    <s v="40RF"/>
    <d v="2026-07-07T00:00:00"/>
    <n v="4"/>
    <d v="2026-07-12T00:00:00"/>
    <d v="2026-07-11T00:00:00"/>
    <n v="120"/>
    <n v="1"/>
    <x v="0"/>
    <n v="120"/>
    <x v="1"/>
  </r>
  <r>
    <n v="819"/>
    <s v="CNTR100818"/>
    <x v="1"/>
    <s v="Hapag Lloyd Bern"/>
    <x v="3"/>
    <s v="40HC"/>
    <d v="2026-07-03T00:00:00"/>
    <n v="7"/>
    <m/>
    <d v="2026-07-10T00:00:00"/>
    <n v="90"/>
    <n v="46"/>
    <x v="2"/>
    <n v="4140"/>
    <x v="0"/>
  </r>
  <r>
    <n v="820"/>
    <s v="CNTR100819"/>
    <x v="2"/>
    <s v="Yang Ming Peak"/>
    <x v="8"/>
    <s v="40RF"/>
    <d v="2026-06-07T00:00:00"/>
    <n v="4"/>
    <m/>
    <d v="2026-06-11T00:00:00"/>
    <n v="150"/>
    <n v="75"/>
    <x v="2"/>
    <n v="11250"/>
    <x v="0"/>
  </r>
  <r>
    <n v="821"/>
    <s v="CNTR100820"/>
    <x v="1"/>
    <s v="Hapag Lloyd Bern"/>
    <x v="7"/>
    <s v="40HC"/>
    <d v="2026-06-17T00:00:00"/>
    <n v="6"/>
    <d v="2026-06-24T00:00:00"/>
    <d v="2026-06-23T00:00:00"/>
    <n v="60"/>
    <n v="1"/>
    <x v="0"/>
    <n v="60"/>
    <x v="1"/>
  </r>
  <r>
    <n v="822"/>
    <s v="CNTR100821"/>
    <x v="2"/>
    <s v="Hapag Lloyd Bern"/>
    <x v="1"/>
    <s v="20GP"/>
    <d v="2026-08-13T00:00:00"/>
    <n v="5"/>
    <d v="2026-08-15T00:00:00"/>
    <d v="2026-08-18T00:00:00"/>
    <n v="75"/>
    <n v="0"/>
    <x v="1"/>
    <s v="NA"/>
    <x v="1"/>
  </r>
  <r>
    <n v="823"/>
    <s v="CNTR100822"/>
    <x v="2"/>
    <s v="ONE Kestrel"/>
    <x v="2"/>
    <s v="40RF"/>
    <d v="2026-06-04T00:00:00"/>
    <n v="4"/>
    <d v="2026-06-09T00:00:00"/>
    <d v="2026-06-08T00:00:00"/>
    <n v="180"/>
    <n v="1"/>
    <x v="0"/>
    <n v="180"/>
    <x v="1"/>
  </r>
  <r>
    <n v="824"/>
    <s v="CNTR100823"/>
    <x v="1"/>
    <s v="ZIM Voyager"/>
    <x v="4"/>
    <s v="40RF"/>
    <d v="2026-06-01T00:00:00"/>
    <n v="4"/>
    <d v="2026-06-05T00:00:00"/>
    <d v="2026-06-05T00:00:00"/>
    <n v="180"/>
    <n v="0"/>
    <x v="1"/>
    <s v="NA"/>
    <x v="1"/>
  </r>
  <r>
    <n v="825"/>
    <s v="CNTR100824"/>
    <x v="3"/>
    <s v="OOCL Bergen"/>
    <x v="2"/>
    <s v="40RF"/>
    <d v="2026-07-13T00:00:00"/>
    <n v="4"/>
    <d v="2026-07-23T00:00:00"/>
    <d v="2026-07-17T00:00:00"/>
    <n v="120"/>
    <n v="6"/>
    <x v="0"/>
    <n v="720"/>
    <x v="1"/>
  </r>
  <r>
    <n v="826"/>
    <s v="CNTR100825"/>
    <x v="2"/>
    <s v="ZIM Voyager"/>
    <x v="9"/>
    <s v="40GP"/>
    <d v="2026-06-01T00:00:00"/>
    <n v="4"/>
    <d v="2026-06-04T00:00:00"/>
    <d v="2026-06-05T00:00:00"/>
    <n v="60"/>
    <n v="0"/>
    <x v="1"/>
    <s v="NA"/>
    <x v="1"/>
  </r>
  <r>
    <n v="827"/>
    <s v="CNTR100826"/>
    <x v="0"/>
    <s v="Evergreen Ace"/>
    <x v="6"/>
    <s v="40GP"/>
    <d v="2026-07-25T00:00:00"/>
    <n v="6"/>
    <d v="2026-07-26T00:00:00"/>
    <d v="2026-07-31T00:00:00"/>
    <n v="130"/>
    <n v="0"/>
    <x v="1"/>
    <s v="NA"/>
    <x v="1"/>
  </r>
  <r>
    <n v="828"/>
    <s v="CNTR100827"/>
    <x v="1"/>
    <s v="MSC Elena"/>
    <x v="6"/>
    <s v="40GP"/>
    <d v="2026-05-31T00:00:00"/>
    <n v="5"/>
    <d v="2026-06-06T00:00:00"/>
    <d v="2026-06-05T00:00:00"/>
    <n v="110"/>
    <n v="1"/>
    <x v="0"/>
    <n v="110"/>
    <x v="1"/>
  </r>
  <r>
    <n v="829"/>
    <s v="CNTR100828"/>
    <x v="3"/>
    <s v="COSCO Harmony"/>
    <x v="8"/>
    <s v="40HC"/>
    <d v="2026-08-16T00:00:00"/>
    <n v="5"/>
    <d v="2026-08-19T00:00:00"/>
    <d v="2026-08-21T00:00:00"/>
    <n v="60"/>
    <n v="0"/>
    <x v="1"/>
    <s v="NA"/>
    <x v="1"/>
  </r>
  <r>
    <n v="830"/>
    <s v="CNTR100829"/>
    <x v="1"/>
    <s v="Yang Ming Peak"/>
    <x v="5"/>
    <s v="20GP"/>
    <d v="2026-07-04T00:00:00"/>
    <n v="5"/>
    <d v="2026-07-06T00:00:00"/>
    <d v="2026-07-09T00:00:00"/>
    <n v="75"/>
    <n v="0"/>
    <x v="1"/>
    <s v="NA"/>
    <x v="1"/>
  </r>
  <r>
    <n v="831"/>
    <s v="CNTR100830"/>
    <x v="0"/>
    <s v="Maersk Kiel"/>
    <x v="4"/>
    <s v="40GP"/>
    <d v="2026-08-04T00:00:00"/>
    <n v="6"/>
    <d v="2026-08-15T00:00:00"/>
    <d v="2026-08-10T00:00:00"/>
    <n v="75"/>
    <n v="5"/>
    <x v="0"/>
    <n v="375"/>
    <x v="1"/>
  </r>
  <r>
    <n v="832"/>
    <s v="CNTR100831"/>
    <x v="2"/>
    <s v="COSCO Harmony"/>
    <x v="6"/>
    <s v="40GP"/>
    <d v="2026-07-17T00:00:00"/>
    <n v="5"/>
    <d v="2026-07-18T00:00:00"/>
    <d v="2026-07-22T00:00:00"/>
    <n v="130"/>
    <n v="0"/>
    <x v="1"/>
    <s v="NA"/>
    <x v="1"/>
  </r>
  <r>
    <n v="833"/>
    <s v="CNTR100832"/>
    <x v="3"/>
    <s v="CMA CGM Rhone"/>
    <x v="9"/>
    <s v="40HC"/>
    <d v="2026-07-06T00:00:00"/>
    <n v="5"/>
    <d v="2026-07-10T00:00:00"/>
    <d v="2026-07-11T00:00:00"/>
    <n v="110"/>
    <n v="0"/>
    <x v="1"/>
    <s v="NA"/>
    <x v="1"/>
  </r>
  <r>
    <n v="834"/>
    <s v="CNTR100833"/>
    <x v="0"/>
    <s v="Evergreen Ace"/>
    <x v="4"/>
    <s v="40GP"/>
    <d v="2026-06-12T00:00:00"/>
    <n v="5"/>
    <m/>
    <d v="2026-06-17T00:00:00"/>
    <n v="90"/>
    <n v="69"/>
    <x v="2"/>
    <n v="6210"/>
    <x v="0"/>
  </r>
  <r>
    <n v="835"/>
    <s v="CNTR100834"/>
    <x v="2"/>
    <s v="ZIM Voyager"/>
    <x v="5"/>
    <s v="40RF"/>
    <d v="2026-08-14T00:00:00"/>
    <n v="3"/>
    <d v="2026-08-17T00:00:00"/>
    <d v="2026-08-17T00:00:00"/>
    <n v="120"/>
    <n v="0"/>
    <x v="1"/>
    <s v="NA"/>
    <x v="1"/>
  </r>
  <r>
    <n v="836"/>
    <s v="CNTR100835"/>
    <x v="2"/>
    <s v="ONE Kestrel"/>
    <x v="4"/>
    <s v="40GP"/>
    <d v="2026-06-30T00:00:00"/>
    <n v="7"/>
    <d v="2026-07-09T00:00:00"/>
    <d v="2026-07-07T00:00:00"/>
    <n v="110"/>
    <n v="2"/>
    <x v="0"/>
    <n v="220"/>
    <x v="1"/>
  </r>
  <r>
    <n v="837"/>
    <s v="CNTR100836"/>
    <x v="3"/>
    <s v="ONE Kestrel"/>
    <x v="4"/>
    <s v="20GP"/>
    <d v="2026-05-28T00:00:00"/>
    <n v="5"/>
    <m/>
    <d v="2026-06-02T00:00:00"/>
    <n v="75"/>
    <n v="84"/>
    <x v="2"/>
    <n v="6300"/>
    <x v="0"/>
  </r>
  <r>
    <n v="838"/>
    <s v="CNTR100837"/>
    <x v="2"/>
    <s v="ZIM Voyager"/>
    <x v="1"/>
    <s v="40HC"/>
    <d v="2026-06-17T00:00:00"/>
    <n v="6"/>
    <d v="2026-07-04T00:00:00"/>
    <d v="2026-06-23T00:00:00"/>
    <n v="75"/>
    <n v="11"/>
    <x v="2"/>
    <n v="825"/>
    <x v="1"/>
  </r>
  <r>
    <n v="839"/>
    <s v="CNTR100838"/>
    <x v="0"/>
    <s v="Hapag Lloyd Bern"/>
    <x v="5"/>
    <s v="20GP"/>
    <d v="2026-08-12T00:00:00"/>
    <n v="5"/>
    <d v="2026-08-16T00:00:00"/>
    <d v="2026-08-17T00:00:00"/>
    <n v="75"/>
    <n v="0"/>
    <x v="1"/>
    <s v="NA"/>
    <x v="1"/>
  </r>
  <r>
    <n v="840"/>
    <s v="CNTR100839"/>
    <x v="2"/>
    <s v="Evergreen Ace"/>
    <x v="6"/>
    <s v="40HC"/>
    <d v="2026-06-10T00:00:00"/>
    <n v="5"/>
    <d v="2026-06-11T00:00:00"/>
    <d v="2026-06-15T00:00:00"/>
    <n v="90"/>
    <n v="0"/>
    <x v="1"/>
    <s v="NA"/>
    <x v="1"/>
  </r>
  <r>
    <n v="841"/>
    <s v="CNTR100840"/>
    <x v="0"/>
    <s v="COSCO Harmony"/>
    <x v="0"/>
    <s v="40HC"/>
    <d v="2026-06-03T00:00:00"/>
    <n v="6"/>
    <d v="2026-06-07T00:00:00"/>
    <d v="2026-06-09T00:00:00"/>
    <n v="130"/>
    <n v="0"/>
    <x v="1"/>
    <s v="NA"/>
    <x v="1"/>
  </r>
  <r>
    <n v="842"/>
    <s v="CNTR100841"/>
    <x v="0"/>
    <s v="Evergreen Ace"/>
    <x v="7"/>
    <s v="40GP"/>
    <d v="2026-07-13T00:00:00"/>
    <n v="5"/>
    <d v="2026-07-24T00:00:00"/>
    <d v="2026-07-18T00:00:00"/>
    <n v="75"/>
    <n v="6"/>
    <x v="0"/>
    <n v="450"/>
    <x v="1"/>
  </r>
  <r>
    <n v="843"/>
    <s v="CNTR100842"/>
    <x v="2"/>
    <s v="Evergreen Ace"/>
    <x v="5"/>
    <s v="20GP"/>
    <d v="2026-06-03T00:00:00"/>
    <n v="5"/>
    <m/>
    <d v="2026-06-08T00:00:00"/>
    <n v="130"/>
    <n v="78"/>
    <x v="2"/>
    <n v="10140"/>
    <x v="0"/>
  </r>
  <r>
    <n v="844"/>
    <s v="CNTR100843"/>
    <x v="0"/>
    <s v="Maersk Kiel"/>
    <x v="1"/>
    <s v="40HC"/>
    <d v="2026-08-10T00:00:00"/>
    <n v="5"/>
    <d v="2026-08-11T00:00:00"/>
    <d v="2026-08-15T00:00:00"/>
    <n v="60"/>
    <n v="0"/>
    <x v="1"/>
    <s v="NA"/>
    <x v="1"/>
  </r>
  <r>
    <n v="845"/>
    <s v="CNTR100844"/>
    <x v="2"/>
    <s v="Yang Ming Peak"/>
    <x v="8"/>
    <s v="40HC"/>
    <d v="2026-06-18T00:00:00"/>
    <n v="7"/>
    <d v="2026-06-24T00:00:00"/>
    <d v="2026-06-25T00:00:00"/>
    <n v="60"/>
    <n v="0"/>
    <x v="1"/>
    <s v="NA"/>
    <x v="1"/>
  </r>
  <r>
    <n v="846"/>
    <s v="CNTR100845"/>
    <x v="0"/>
    <s v="Hapag Lloyd Bern"/>
    <x v="2"/>
    <s v="40HC"/>
    <d v="2026-06-14T00:00:00"/>
    <n v="5"/>
    <d v="2026-06-17T00:00:00"/>
    <d v="2026-06-19T00:00:00"/>
    <n v="90"/>
    <n v="0"/>
    <x v="1"/>
    <s v="NA"/>
    <x v="1"/>
  </r>
  <r>
    <n v="847"/>
    <s v="CNTR100846"/>
    <x v="1"/>
    <s v="OOCL Bergen"/>
    <x v="1"/>
    <s v="40GP"/>
    <d v="2026-08-20T00:00:00"/>
    <n v="5"/>
    <d v="2026-08-25T00:00:00"/>
    <d v="2026-08-25T00:00:00"/>
    <n v="75"/>
    <n v="0"/>
    <x v="1"/>
    <s v="NA"/>
    <x v="1"/>
  </r>
  <r>
    <n v="848"/>
    <s v="CNTR100847"/>
    <x v="3"/>
    <s v="COSCO Harmony"/>
    <x v="4"/>
    <s v="40HC"/>
    <d v="2026-06-22T00:00:00"/>
    <n v="5"/>
    <d v="2026-06-28T00:00:00"/>
    <d v="2026-06-27T00:00:00"/>
    <n v="110"/>
    <n v="1"/>
    <x v="0"/>
    <n v="110"/>
    <x v="1"/>
  </r>
  <r>
    <n v="849"/>
    <s v="CNTR100848"/>
    <x v="2"/>
    <s v="OOCL Bergen"/>
    <x v="7"/>
    <s v="40HC"/>
    <d v="2026-08-19T00:00:00"/>
    <n v="4"/>
    <m/>
    <d v="2026-08-23T00:00:00"/>
    <n v="60"/>
    <n v="2"/>
    <x v="0"/>
    <n v="120"/>
    <x v="0"/>
  </r>
  <r>
    <n v="850"/>
    <s v="CNTR100849"/>
    <x v="2"/>
    <s v="Maersk Kiel"/>
    <x v="9"/>
    <s v="40GP"/>
    <d v="2026-06-05T00:00:00"/>
    <n v="4"/>
    <d v="2026-06-14T00:00:00"/>
    <d v="2026-06-09T00:00:00"/>
    <n v="75"/>
    <n v="5"/>
    <x v="0"/>
    <n v="375"/>
    <x v="1"/>
  </r>
  <r>
    <n v="851"/>
    <s v="CNTR100850"/>
    <x v="2"/>
    <s v="Maersk Kiel"/>
    <x v="8"/>
    <s v="40GP"/>
    <d v="2026-06-11T00:00:00"/>
    <n v="5"/>
    <d v="2026-06-19T00:00:00"/>
    <d v="2026-06-16T00:00:00"/>
    <n v="110"/>
    <n v="3"/>
    <x v="0"/>
    <n v="330"/>
    <x v="1"/>
  </r>
  <r>
    <n v="852"/>
    <s v="CNTR100851"/>
    <x v="3"/>
    <s v="ONE Kestrel"/>
    <x v="7"/>
    <s v="40RF"/>
    <d v="2026-06-23T00:00:00"/>
    <n v="3"/>
    <m/>
    <d v="2026-06-26T00:00:00"/>
    <n v="180"/>
    <n v="60"/>
    <x v="2"/>
    <n v="10800"/>
    <x v="0"/>
  </r>
  <r>
    <n v="853"/>
    <s v="CNTR100852"/>
    <x v="1"/>
    <s v="Yang Ming Peak"/>
    <x v="1"/>
    <s v="20GP"/>
    <d v="2026-07-12T00:00:00"/>
    <n v="5"/>
    <m/>
    <d v="2026-07-17T00:00:00"/>
    <n v="130"/>
    <n v="39"/>
    <x v="2"/>
    <n v="5070"/>
    <x v="0"/>
  </r>
  <r>
    <n v="854"/>
    <s v="CNTR100853"/>
    <x v="0"/>
    <s v="ONE Kestrel"/>
    <x v="6"/>
    <s v="40RF"/>
    <d v="2026-08-11T00:00:00"/>
    <n v="4"/>
    <m/>
    <d v="2026-08-15T00:00:00"/>
    <n v="180"/>
    <n v="10"/>
    <x v="2"/>
    <n v="1800"/>
    <x v="0"/>
  </r>
  <r>
    <n v="855"/>
    <s v="CNTR100854"/>
    <x v="2"/>
    <s v="Yang Ming Peak"/>
    <x v="4"/>
    <s v="40HC"/>
    <d v="2026-07-12T00:00:00"/>
    <n v="5"/>
    <d v="2026-07-15T00:00:00"/>
    <d v="2026-07-17T00:00:00"/>
    <n v="60"/>
    <n v="0"/>
    <x v="1"/>
    <s v="NA"/>
    <x v="1"/>
  </r>
  <r>
    <n v="856"/>
    <s v="CNTR100855"/>
    <x v="3"/>
    <s v="Yang Ming Peak"/>
    <x v="3"/>
    <s v="20GP"/>
    <d v="2026-07-29T00:00:00"/>
    <n v="5"/>
    <d v="2026-07-30T00:00:00"/>
    <d v="2026-08-03T00:00:00"/>
    <n v="60"/>
    <n v="0"/>
    <x v="1"/>
    <s v="NA"/>
    <x v="1"/>
  </r>
  <r>
    <n v="857"/>
    <s v="CNTR100856"/>
    <x v="1"/>
    <s v="COSCO Harmony"/>
    <x v="7"/>
    <s v="40GP"/>
    <d v="2026-08-22T00:00:00"/>
    <n v="7"/>
    <d v="2026-08-25T00:00:00"/>
    <d v="2026-08-29T00:00:00"/>
    <n v="110"/>
    <n v="0"/>
    <x v="1"/>
    <s v="NA"/>
    <x v="1"/>
  </r>
  <r>
    <n v="858"/>
    <s v="CNTR100857"/>
    <x v="0"/>
    <s v="Evergreen Ace"/>
    <x v="7"/>
    <s v="40RF"/>
    <d v="2026-06-13T00:00:00"/>
    <n v="4"/>
    <d v="2026-06-16T00:00:00"/>
    <d v="2026-06-17T00:00:00"/>
    <n v="120"/>
    <n v="0"/>
    <x v="1"/>
    <s v="NA"/>
    <x v="1"/>
  </r>
  <r>
    <n v="859"/>
    <s v="CNTR100858"/>
    <x v="3"/>
    <s v="OOCL Bergen"/>
    <x v="3"/>
    <s v="20GP"/>
    <d v="2026-06-04T00:00:00"/>
    <n v="7"/>
    <m/>
    <d v="2026-06-11T00:00:00"/>
    <n v="110"/>
    <n v="75"/>
    <x v="2"/>
    <n v="8250"/>
    <x v="0"/>
  </r>
  <r>
    <n v="860"/>
    <s v="CNTR100859"/>
    <x v="2"/>
    <s v="ONE Kestrel"/>
    <x v="7"/>
    <s v="40RF"/>
    <d v="2026-07-02T00:00:00"/>
    <n v="4"/>
    <m/>
    <d v="2026-07-06T00:00:00"/>
    <n v="120"/>
    <n v="50"/>
    <x v="2"/>
    <n v="6000"/>
    <x v="0"/>
  </r>
  <r>
    <n v="861"/>
    <s v="CNTR100860"/>
    <x v="2"/>
    <s v="ZIM Voyager"/>
    <x v="7"/>
    <s v="40RF"/>
    <d v="2026-05-27T00:00:00"/>
    <n v="3"/>
    <d v="2026-06-03T00:00:00"/>
    <d v="2026-05-30T00:00:00"/>
    <n v="150"/>
    <n v="4"/>
    <x v="0"/>
    <n v="600"/>
    <x v="1"/>
  </r>
  <r>
    <n v="862"/>
    <s v="CNTR100861"/>
    <x v="3"/>
    <s v="Maersk Kiel"/>
    <x v="9"/>
    <s v="40RF"/>
    <d v="2026-08-08T00:00:00"/>
    <n v="4"/>
    <d v="2026-08-09T00:00:00"/>
    <d v="2026-08-12T00:00:00"/>
    <n v="120"/>
    <n v="0"/>
    <x v="1"/>
    <s v="NA"/>
    <x v="1"/>
  </r>
  <r>
    <n v="863"/>
    <s v="CNTR100862"/>
    <x v="1"/>
    <s v="Yang Ming Peak"/>
    <x v="5"/>
    <s v="20GP"/>
    <d v="2026-06-20T00:00:00"/>
    <n v="7"/>
    <d v="2026-06-28T00:00:00"/>
    <d v="2026-06-27T00:00:00"/>
    <n v="130"/>
    <n v="1"/>
    <x v="0"/>
    <n v="130"/>
    <x v="1"/>
  </r>
  <r>
    <n v="864"/>
    <s v="CNTR100863"/>
    <x v="3"/>
    <s v="Maersk Kiel"/>
    <x v="7"/>
    <s v="20GP"/>
    <d v="2026-07-13T00:00:00"/>
    <n v="5"/>
    <d v="2026-07-20T00:00:00"/>
    <d v="2026-07-18T00:00:00"/>
    <n v="60"/>
    <n v="2"/>
    <x v="0"/>
    <n v="120"/>
    <x v="1"/>
  </r>
  <r>
    <n v="865"/>
    <s v="CNTR100864"/>
    <x v="1"/>
    <s v="Yang Ming Peak"/>
    <x v="4"/>
    <s v="40GP"/>
    <d v="2026-07-03T00:00:00"/>
    <n v="5"/>
    <d v="2026-07-10T00:00:00"/>
    <d v="2026-07-08T00:00:00"/>
    <n v="75"/>
    <n v="2"/>
    <x v="0"/>
    <n v="150"/>
    <x v="1"/>
  </r>
  <r>
    <n v="866"/>
    <s v="CNTR100865"/>
    <x v="3"/>
    <s v="COSCO Harmony"/>
    <x v="2"/>
    <s v="40RF"/>
    <d v="2026-06-25T00:00:00"/>
    <n v="3"/>
    <m/>
    <d v="2026-06-28T00:00:00"/>
    <n v="180"/>
    <n v="58"/>
    <x v="2"/>
    <n v="10440"/>
    <x v="0"/>
  </r>
  <r>
    <n v="867"/>
    <s v="CNTR100866"/>
    <x v="3"/>
    <s v="ONE Kestrel"/>
    <x v="6"/>
    <s v="40GP"/>
    <d v="2026-06-29T00:00:00"/>
    <n v="4"/>
    <m/>
    <d v="2026-07-03T00:00:00"/>
    <n v="90"/>
    <n v="53"/>
    <x v="2"/>
    <n v="4770"/>
    <x v="0"/>
  </r>
  <r>
    <n v="868"/>
    <s v="CNTR100867"/>
    <x v="3"/>
    <s v="MSC Elena"/>
    <x v="8"/>
    <s v="20GP"/>
    <d v="2026-06-22T00:00:00"/>
    <n v="7"/>
    <d v="2026-06-27T00:00:00"/>
    <d v="2026-06-29T00:00:00"/>
    <n v="110"/>
    <n v="0"/>
    <x v="1"/>
    <s v="NA"/>
    <x v="1"/>
  </r>
  <r>
    <n v="869"/>
    <s v="CNTR100868"/>
    <x v="2"/>
    <s v="CMA CGM Rhone"/>
    <x v="0"/>
    <s v="40GP"/>
    <d v="2026-06-14T00:00:00"/>
    <n v="7"/>
    <d v="2026-06-20T00:00:00"/>
    <d v="2026-06-21T00:00:00"/>
    <n v="110"/>
    <n v="0"/>
    <x v="1"/>
    <s v="NA"/>
    <x v="1"/>
  </r>
  <r>
    <n v="870"/>
    <s v="CNTR100869"/>
    <x v="3"/>
    <s v="Hapag Lloyd Bern"/>
    <x v="8"/>
    <s v="40HC"/>
    <d v="2026-07-17T00:00:00"/>
    <n v="7"/>
    <m/>
    <d v="2026-07-24T00:00:00"/>
    <n v="60"/>
    <n v="32"/>
    <x v="2"/>
    <n v="1920"/>
    <x v="0"/>
  </r>
  <r>
    <n v="871"/>
    <s v="CNTR100870"/>
    <x v="0"/>
    <s v="CMA CGM Rhone"/>
    <x v="0"/>
    <s v="40RF"/>
    <d v="2026-06-28T00:00:00"/>
    <n v="3"/>
    <d v="2026-06-29T00:00:00"/>
    <d v="2026-07-01T00:00:00"/>
    <n v="120"/>
    <n v="0"/>
    <x v="1"/>
    <s v="NA"/>
    <x v="1"/>
  </r>
  <r>
    <n v="872"/>
    <s v="CNTR100871"/>
    <x v="3"/>
    <s v="MSC Elena"/>
    <x v="8"/>
    <s v="40RF"/>
    <d v="2026-05-30T00:00:00"/>
    <n v="4"/>
    <d v="2026-06-05T00:00:00"/>
    <d v="2026-06-03T00:00:00"/>
    <n v="120"/>
    <n v="2"/>
    <x v="0"/>
    <n v="240"/>
    <x v="1"/>
  </r>
  <r>
    <n v="873"/>
    <s v="CNTR100872"/>
    <x v="3"/>
    <s v="Yang Ming Peak"/>
    <x v="8"/>
    <s v="40RF"/>
    <d v="2026-06-29T00:00:00"/>
    <n v="4"/>
    <m/>
    <d v="2026-07-03T00:00:00"/>
    <n v="120"/>
    <n v="53"/>
    <x v="2"/>
    <n v="6360"/>
    <x v="0"/>
  </r>
  <r>
    <n v="874"/>
    <s v="CNTR100873"/>
    <x v="0"/>
    <s v="CMA CGM Rhone"/>
    <x v="5"/>
    <s v="40RF"/>
    <d v="2026-08-06T00:00:00"/>
    <n v="3"/>
    <d v="2026-08-10T00:00:00"/>
    <d v="2026-08-09T00:00:00"/>
    <n v="150"/>
    <n v="1"/>
    <x v="0"/>
    <n v="150"/>
    <x v="1"/>
  </r>
  <r>
    <n v="875"/>
    <s v="CNTR100874"/>
    <x v="2"/>
    <s v="ZIM Voyager"/>
    <x v="3"/>
    <s v="20GP"/>
    <d v="2026-05-27T00:00:00"/>
    <n v="7"/>
    <m/>
    <d v="2026-06-03T00:00:00"/>
    <n v="110"/>
    <n v="83"/>
    <x v="2"/>
    <n v="9130"/>
    <x v="0"/>
  </r>
  <r>
    <n v="876"/>
    <s v="CNTR100875"/>
    <x v="3"/>
    <s v="COSCO Harmony"/>
    <x v="6"/>
    <s v="40GP"/>
    <d v="2026-06-29T00:00:00"/>
    <n v="5"/>
    <m/>
    <d v="2026-07-04T00:00:00"/>
    <n v="90"/>
    <n v="52"/>
    <x v="2"/>
    <n v="4680"/>
    <x v="0"/>
  </r>
  <r>
    <n v="877"/>
    <s v="CNTR100876"/>
    <x v="1"/>
    <s v="Yang Ming Peak"/>
    <x v="2"/>
    <s v="40GP"/>
    <d v="2026-06-19T00:00:00"/>
    <n v="5"/>
    <d v="2026-06-30T00:00:00"/>
    <d v="2026-06-24T00:00:00"/>
    <n v="60"/>
    <n v="6"/>
    <x v="0"/>
    <n v="360"/>
    <x v="1"/>
  </r>
  <r>
    <n v="878"/>
    <s v="CNTR100877"/>
    <x v="0"/>
    <s v="ZIM Voyager"/>
    <x v="7"/>
    <s v="20GP"/>
    <d v="2026-07-23T00:00:00"/>
    <n v="6"/>
    <d v="2026-07-31T00:00:00"/>
    <d v="2026-07-29T00:00:00"/>
    <n v="60"/>
    <n v="2"/>
    <x v="0"/>
    <n v="120"/>
    <x v="1"/>
  </r>
  <r>
    <n v="879"/>
    <s v="CNTR100878"/>
    <x v="2"/>
    <s v="CMA CGM Rhone"/>
    <x v="5"/>
    <s v="40GP"/>
    <d v="2026-08-03T00:00:00"/>
    <n v="5"/>
    <d v="2026-08-12T00:00:00"/>
    <d v="2026-08-08T00:00:00"/>
    <n v="75"/>
    <n v="4"/>
    <x v="0"/>
    <n v="300"/>
    <x v="1"/>
  </r>
  <r>
    <n v="880"/>
    <s v="CNTR100879"/>
    <x v="0"/>
    <s v="Evergreen Ace"/>
    <x v="2"/>
    <s v="40HC"/>
    <d v="2026-06-28T00:00:00"/>
    <n v="5"/>
    <m/>
    <d v="2026-07-03T00:00:00"/>
    <n v="110"/>
    <n v="53"/>
    <x v="2"/>
    <n v="5830"/>
    <x v="0"/>
  </r>
  <r>
    <n v="881"/>
    <s v="CNTR100880"/>
    <x v="3"/>
    <s v="ZIM Voyager"/>
    <x v="3"/>
    <s v="40GP"/>
    <d v="2026-06-29T00:00:00"/>
    <n v="5"/>
    <d v="2026-07-03T00:00:00"/>
    <d v="2026-07-04T00:00:00"/>
    <n v="90"/>
    <n v="0"/>
    <x v="1"/>
    <s v="NA"/>
    <x v="1"/>
  </r>
  <r>
    <n v="882"/>
    <s v="CNTR100881"/>
    <x v="2"/>
    <s v="Yang Ming Peak"/>
    <x v="0"/>
    <s v="40GP"/>
    <d v="2026-07-09T00:00:00"/>
    <n v="4"/>
    <d v="2026-07-10T00:00:00"/>
    <d v="2026-07-13T00:00:00"/>
    <n v="90"/>
    <n v="0"/>
    <x v="1"/>
    <s v="NA"/>
    <x v="1"/>
  </r>
  <r>
    <n v="883"/>
    <s v="CNTR100882"/>
    <x v="3"/>
    <s v="COSCO Harmony"/>
    <x v="5"/>
    <s v="40GP"/>
    <d v="2026-07-07T00:00:00"/>
    <n v="5"/>
    <d v="2026-07-18T00:00:00"/>
    <d v="2026-07-12T00:00:00"/>
    <n v="110"/>
    <n v="6"/>
    <x v="0"/>
    <n v="660"/>
    <x v="1"/>
  </r>
  <r>
    <n v="884"/>
    <s v="CNTR100883"/>
    <x v="3"/>
    <s v="Maersk Kiel"/>
    <x v="3"/>
    <s v="40HC"/>
    <d v="2026-05-29T00:00:00"/>
    <n v="7"/>
    <m/>
    <d v="2026-06-05T00:00:00"/>
    <n v="110"/>
    <n v="81"/>
    <x v="2"/>
    <n v="8910"/>
    <x v="0"/>
  </r>
  <r>
    <n v="885"/>
    <s v="CNTR100884"/>
    <x v="3"/>
    <s v="CMA CGM Rhone"/>
    <x v="8"/>
    <s v="20GP"/>
    <d v="2026-07-28T00:00:00"/>
    <n v="4"/>
    <d v="2026-08-07T00:00:00"/>
    <d v="2026-08-01T00:00:00"/>
    <n v="130"/>
    <n v="6"/>
    <x v="0"/>
    <n v="780"/>
    <x v="1"/>
  </r>
  <r>
    <n v="886"/>
    <s v="CNTR100885"/>
    <x v="2"/>
    <s v="ONE Kestrel"/>
    <x v="2"/>
    <s v="40GP"/>
    <d v="2026-07-18T00:00:00"/>
    <n v="5"/>
    <d v="2026-07-20T00:00:00"/>
    <d v="2026-07-23T00:00:00"/>
    <n v="60"/>
    <n v="0"/>
    <x v="1"/>
    <s v="NA"/>
    <x v="1"/>
  </r>
  <r>
    <n v="887"/>
    <s v="CNTR100886"/>
    <x v="1"/>
    <s v="ZIM Voyager"/>
    <x v="7"/>
    <s v="20GP"/>
    <d v="2026-08-03T00:00:00"/>
    <n v="7"/>
    <m/>
    <d v="2026-08-10T00:00:00"/>
    <n v="130"/>
    <n v="15"/>
    <x v="2"/>
    <n v="1950"/>
    <x v="0"/>
  </r>
  <r>
    <n v="888"/>
    <s v="CNTR100887"/>
    <x v="1"/>
    <s v="ZIM Voyager"/>
    <x v="0"/>
    <s v="40GP"/>
    <d v="2026-07-25T00:00:00"/>
    <n v="6"/>
    <d v="2026-07-26T00:00:00"/>
    <d v="2026-07-31T00:00:00"/>
    <n v="90"/>
    <n v="0"/>
    <x v="1"/>
    <s v="NA"/>
    <x v="1"/>
  </r>
  <r>
    <n v="889"/>
    <s v="CNTR100888"/>
    <x v="2"/>
    <s v="MSC Elena"/>
    <x v="8"/>
    <s v="40HC"/>
    <d v="2026-08-09T00:00:00"/>
    <n v="6"/>
    <d v="2026-08-10T00:00:00"/>
    <d v="2026-08-15T00:00:00"/>
    <n v="90"/>
    <n v="0"/>
    <x v="1"/>
    <s v="NA"/>
    <x v="1"/>
  </r>
  <r>
    <n v="890"/>
    <s v="CNTR100889"/>
    <x v="1"/>
    <s v="OOCL Bergen"/>
    <x v="2"/>
    <s v="40HC"/>
    <d v="2026-07-19T00:00:00"/>
    <n v="5"/>
    <m/>
    <d v="2026-07-24T00:00:00"/>
    <n v="60"/>
    <n v="32"/>
    <x v="2"/>
    <n v="1920"/>
    <x v="0"/>
  </r>
  <r>
    <n v="891"/>
    <s v="CNTR100890"/>
    <x v="3"/>
    <s v="MSC Elena"/>
    <x v="6"/>
    <s v="40RF"/>
    <d v="2026-07-11T00:00:00"/>
    <n v="4"/>
    <m/>
    <d v="2026-07-15T00:00:00"/>
    <n v="150"/>
    <n v="41"/>
    <x v="2"/>
    <n v="6150"/>
    <x v="0"/>
  </r>
  <r>
    <n v="892"/>
    <s v="CNTR100891"/>
    <x v="0"/>
    <s v="Evergreen Ace"/>
    <x v="1"/>
    <s v="40GP"/>
    <d v="2026-06-05T00:00:00"/>
    <n v="7"/>
    <d v="2026-06-18T00:00:00"/>
    <d v="2026-06-12T00:00:00"/>
    <n v="75"/>
    <n v="6"/>
    <x v="0"/>
    <n v="450"/>
    <x v="1"/>
  </r>
  <r>
    <n v="893"/>
    <s v="CNTR100892"/>
    <x v="1"/>
    <s v="COSCO Harmony"/>
    <x v="3"/>
    <s v="20GP"/>
    <d v="2026-07-25T00:00:00"/>
    <n v="5"/>
    <d v="2026-07-26T00:00:00"/>
    <d v="2026-07-30T00:00:00"/>
    <n v="110"/>
    <n v="0"/>
    <x v="1"/>
    <s v="NA"/>
    <x v="1"/>
  </r>
  <r>
    <n v="894"/>
    <s v="CNTR100893"/>
    <x v="2"/>
    <s v="Maersk Kiel"/>
    <x v="7"/>
    <s v="40HC"/>
    <d v="2026-08-13T00:00:00"/>
    <n v="4"/>
    <d v="2026-08-17T00:00:00"/>
    <d v="2026-08-17T00:00:00"/>
    <n v="75"/>
    <n v="0"/>
    <x v="1"/>
    <s v="NA"/>
    <x v="1"/>
  </r>
  <r>
    <n v="895"/>
    <s v="CNTR100894"/>
    <x v="1"/>
    <s v="ZIM Voyager"/>
    <x v="7"/>
    <s v="40GP"/>
    <d v="2026-08-08T00:00:00"/>
    <n v="5"/>
    <m/>
    <d v="2026-08-13T00:00:00"/>
    <n v="60"/>
    <n v="12"/>
    <x v="2"/>
    <n v="720"/>
    <x v="0"/>
  </r>
  <r>
    <n v="896"/>
    <s v="CNTR100895"/>
    <x v="3"/>
    <s v="Hapag Lloyd Bern"/>
    <x v="3"/>
    <s v="40HC"/>
    <d v="2026-07-15T00:00:00"/>
    <n v="5"/>
    <m/>
    <d v="2026-07-20T00:00:00"/>
    <n v="75"/>
    <n v="36"/>
    <x v="2"/>
    <n v="2700"/>
    <x v="0"/>
  </r>
  <r>
    <n v="897"/>
    <s v="CNTR100896"/>
    <x v="2"/>
    <s v="Hapag Lloyd Bern"/>
    <x v="3"/>
    <s v="40GP"/>
    <d v="2026-07-17T00:00:00"/>
    <n v="6"/>
    <m/>
    <d v="2026-07-23T00:00:00"/>
    <n v="90"/>
    <n v="33"/>
    <x v="2"/>
    <n v="2970"/>
    <x v="0"/>
  </r>
  <r>
    <n v="898"/>
    <s v="CNTR100897"/>
    <x v="3"/>
    <s v="Hapag Lloyd Bern"/>
    <x v="5"/>
    <s v="20GP"/>
    <d v="2026-06-18T00:00:00"/>
    <n v="5"/>
    <d v="2026-06-19T00:00:00"/>
    <d v="2026-06-23T00:00:00"/>
    <n v="60"/>
    <n v="0"/>
    <x v="1"/>
    <s v="NA"/>
    <x v="1"/>
  </r>
  <r>
    <n v="899"/>
    <s v="CNTR100898"/>
    <x v="1"/>
    <s v="ZIM Voyager"/>
    <x v="8"/>
    <s v="20GP"/>
    <d v="2026-08-05T00:00:00"/>
    <n v="5"/>
    <d v="2026-08-11T00:00:00"/>
    <d v="2026-08-10T00:00:00"/>
    <n v="110"/>
    <n v="1"/>
    <x v="0"/>
    <n v="110"/>
    <x v="1"/>
  </r>
  <r>
    <n v="900"/>
    <s v="CNTR100899"/>
    <x v="1"/>
    <s v="COSCO Harmony"/>
    <x v="6"/>
    <s v="20GP"/>
    <d v="2026-08-01T00:00:00"/>
    <n v="6"/>
    <d v="2026-08-09T00:00:00"/>
    <d v="2026-08-07T00:00:00"/>
    <n v="75"/>
    <n v="2"/>
    <x v="0"/>
    <n v="150"/>
    <x v="1"/>
  </r>
  <r>
    <n v="901"/>
    <s v="CNTR100900"/>
    <x v="0"/>
    <s v="CMA CGM Rhone"/>
    <x v="5"/>
    <s v="40HC"/>
    <d v="2026-07-12T00:00:00"/>
    <n v="5"/>
    <d v="2026-07-14T00:00:00"/>
    <d v="2026-07-17T00:00:00"/>
    <n v="110"/>
    <n v="0"/>
    <x v="1"/>
    <s v="NA"/>
    <x v="1"/>
  </r>
  <r>
    <n v="902"/>
    <s v="CNTR100901"/>
    <x v="2"/>
    <s v="MSC Elena"/>
    <x v="5"/>
    <s v="40HC"/>
    <d v="2026-07-14T00:00:00"/>
    <n v="7"/>
    <m/>
    <d v="2026-07-21T00:00:00"/>
    <n v="90"/>
    <n v="35"/>
    <x v="2"/>
    <n v="3150"/>
    <x v="0"/>
  </r>
  <r>
    <n v="903"/>
    <s v="CNTR100902"/>
    <x v="1"/>
    <s v="ONE Kestrel"/>
    <x v="9"/>
    <s v="40RF"/>
    <d v="2026-05-29T00:00:00"/>
    <n v="4"/>
    <d v="2026-05-30T00:00:00"/>
    <d v="2026-06-02T00:00:00"/>
    <n v="150"/>
    <n v="0"/>
    <x v="1"/>
    <s v="NA"/>
    <x v="1"/>
  </r>
  <r>
    <n v="904"/>
    <s v="CNTR100903"/>
    <x v="3"/>
    <s v="CMA CGM Rhone"/>
    <x v="8"/>
    <s v="20GP"/>
    <d v="2026-05-28T00:00:00"/>
    <n v="5"/>
    <d v="2026-05-31T00:00:00"/>
    <d v="2026-06-02T00:00:00"/>
    <n v="110"/>
    <n v="0"/>
    <x v="1"/>
    <s v="NA"/>
    <x v="1"/>
  </r>
  <r>
    <n v="905"/>
    <s v="CNTR100904"/>
    <x v="1"/>
    <s v="MSC Elena"/>
    <x v="9"/>
    <s v="40HC"/>
    <d v="2026-06-15T00:00:00"/>
    <n v="7"/>
    <m/>
    <d v="2026-06-22T00:00:00"/>
    <n v="130"/>
    <n v="64"/>
    <x v="2"/>
    <n v="8320"/>
    <x v="0"/>
  </r>
  <r>
    <n v="906"/>
    <s v="CNTR100905"/>
    <x v="1"/>
    <s v="Maersk Kiel"/>
    <x v="1"/>
    <s v="20GP"/>
    <d v="2026-05-29T00:00:00"/>
    <n v="5"/>
    <d v="2026-05-30T00:00:00"/>
    <d v="2026-06-03T00:00:00"/>
    <n v="60"/>
    <n v="0"/>
    <x v="1"/>
    <s v="NA"/>
    <x v="1"/>
  </r>
  <r>
    <n v="907"/>
    <s v="CNTR100906"/>
    <x v="3"/>
    <s v="MSC Elena"/>
    <x v="1"/>
    <s v="20GP"/>
    <d v="2026-07-25T00:00:00"/>
    <n v="5"/>
    <d v="2026-07-31T00:00:00"/>
    <d v="2026-07-30T00:00:00"/>
    <n v="75"/>
    <n v="1"/>
    <x v="0"/>
    <n v="75"/>
    <x v="1"/>
  </r>
  <r>
    <n v="908"/>
    <s v="CNTR100907"/>
    <x v="3"/>
    <s v="COSCO Harmony"/>
    <x v="2"/>
    <s v="40RF"/>
    <d v="2026-06-24T00:00:00"/>
    <n v="4"/>
    <m/>
    <d v="2026-06-28T00:00:00"/>
    <n v="120"/>
    <n v="58"/>
    <x v="2"/>
    <n v="6960"/>
    <x v="0"/>
  </r>
  <r>
    <n v="909"/>
    <s v="CNTR100908"/>
    <x v="0"/>
    <s v="Evergreen Ace"/>
    <x v="9"/>
    <s v="40RF"/>
    <d v="2026-08-20T00:00:00"/>
    <n v="4"/>
    <d v="2026-08-25T00:00:00"/>
    <d v="2026-08-24T00:00:00"/>
    <n v="120"/>
    <n v="1"/>
    <x v="0"/>
    <n v="120"/>
    <x v="1"/>
  </r>
  <r>
    <n v="910"/>
    <s v="CNTR100909"/>
    <x v="0"/>
    <s v="MSC Elena"/>
    <x v="4"/>
    <s v="40GP"/>
    <d v="2026-08-23T00:00:00"/>
    <n v="5"/>
    <d v="2026-08-25T00:00:00"/>
    <d v="2026-08-28T00:00:00"/>
    <n v="110"/>
    <n v="0"/>
    <x v="1"/>
    <s v="NA"/>
    <x v="1"/>
  </r>
  <r>
    <n v="911"/>
    <s v="CNTR100910"/>
    <x v="0"/>
    <s v="ZIM Voyager"/>
    <x v="7"/>
    <s v="40RF"/>
    <d v="2026-08-19T00:00:00"/>
    <n v="3"/>
    <d v="2026-08-25T00:00:00"/>
    <d v="2026-08-22T00:00:00"/>
    <n v="120"/>
    <n v="3"/>
    <x v="0"/>
    <n v="360"/>
    <x v="1"/>
  </r>
  <r>
    <n v="912"/>
    <s v="CNTR100911"/>
    <x v="0"/>
    <s v="Yang Ming Peak"/>
    <x v="6"/>
    <s v="40RF"/>
    <d v="2026-06-17T00:00:00"/>
    <n v="4"/>
    <d v="2026-06-23T00:00:00"/>
    <d v="2026-06-21T00:00:00"/>
    <n v="180"/>
    <n v="2"/>
    <x v="0"/>
    <n v="360"/>
    <x v="1"/>
  </r>
  <r>
    <n v="913"/>
    <s v="CNTR100912"/>
    <x v="0"/>
    <s v="COSCO Harmony"/>
    <x v="2"/>
    <s v="40HC"/>
    <d v="2026-06-23T00:00:00"/>
    <n v="5"/>
    <d v="2026-06-29T00:00:00"/>
    <d v="2026-06-28T00:00:00"/>
    <n v="90"/>
    <n v="1"/>
    <x v="0"/>
    <n v="90"/>
    <x v="1"/>
  </r>
  <r>
    <n v="914"/>
    <s v="CNTR100913"/>
    <x v="3"/>
    <s v="COSCO Harmony"/>
    <x v="0"/>
    <s v="40GP"/>
    <d v="2026-07-25T00:00:00"/>
    <n v="5"/>
    <m/>
    <d v="2026-07-30T00:00:00"/>
    <n v="90"/>
    <n v="26"/>
    <x v="2"/>
    <n v="2340"/>
    <x v="0"/>
  </r>
  <r>
    <n v="915"/>
    <s v="CNTR100914"/>
    <x v="1"/>
    <s v="Hapag Lloyd Bern"/>
    <x v="8"/>
    <s v="40HC"/>
    <d v="2026-08-17T00:00:00"/>
    <n v="4"/>
    <d v="2026-08-21T00:00:00"/>
    <d v="2026-08-21T00:00:00"/>
    <n v="90"/>
    <n v="0"/>
    <x v="1"/>
    <s v="NA"/>
    <x v="1"/>
  </r>
  <r>
    <n v="916"/>
    <s v="CNTR100915"/>
    <x v="2"/>
    <s v="ZIM Voyager"/>
    <x v="8"/>
    <s v="40GP"/>
    <d v="2026-06-25T00:00:00"/>
    <n v="6"/>
    <d v="2026-06-30T00:00:00"/>
    <d v="2026-07-01T00:00:00"/>
    <n v="110"/>
    <n v="0"/>
    <x v="1"/>
    <s v="NA"/>
    <x v="1"/>
  </r>
  <r>
    <n v="917"/>
    <s v="CNTR100916"/>
    <x v="0"/>
    <s v="Maersk Kiel"/>
    <x v="9"/>
    <s v="20GP"/>
    <d v="2026-06-23T00:00:00"/>
    <n v="5"/>
    <m/>
    <d v="2026-06-28T00:00:00"/>
    <n v="90"/>
    <n v="58"/>
    <x v="2"/>
    <n v="5220"/>
    <x v="0"/>
  </r>
  <r>
    <n v="918"/>
    <s v="CNTR100917"/>
    <x v="1"/>
    <s v="ONE Kestrel"/>
    <x v="7"/>
    <s v="40HC"/>
    <d v="2026-07-11T00:00:00"/>
    <n v="6"/>
    <d v="2026-07-18T00:00:00"/>
    <d v="2026-07-17T00:00:00"/>
    <n v="60"/>
    <n v="1"/>
    <x v="0"/>
    <n v="60"/>
    <x v="1"/>
  </r>
  <r>
    <n v="919"/>
    <s v="CNTR100918"/>
    <x v="0"/>
    <s v="ONE Kestrel"/>
    <x v="5"/>
    <s v="40HC"/>
    <d v="2026-08-06T00:00:00"/>
    <n v="5"/>
    <d v="2026-08-18T00:00:00"/>
    <d v="2026-08-11T00:00:00"/>
    <n v="60"/>
    <n v="7"/>
    <x v="0"/>
    <n v="420"/>
    <x v="1"/>
  </r>
  <r>
    <n v="920"/>
    <s v="CNTR100919"/>
    <x v="2"/>
    <s v="COSCO Harmony"/>
    <x v="5"/>
    <s v="40GP"/>
    <d v="2026-06-21T00:00:00"/>
    <n v="4"/>
    <m/>
    <d v="2026-06-25T00:00:00"/>
    <n v="75"/>
    <n v="61"/>
    <x v="2"/>
    <n v="4575"/>
    <x v="0"/>
  </r>
  <r>
    <n v="921"/>
    <s v="CNTR100920"/>
    <x v="2"/>
    <s v="COSCO Harmony"/>
    <x v="8"/>
    <s v="40HC"/>
    <d v="2026-07-23T00:00:00"/>
    <n v="7"/>
    <m/>
    <d v="2026-07-30T00:00:00"/>
    <n v="130"/>
    <n v="26"/>
    <x v="2"/>
    <n v="3380"/>
    <x v="0"/>
  </r>
  <r>
    <n v="922"/>
    <s v="CNTR100921"/>
    <x v="0"/>
    <s v="COSCO Harmony"/>
    <x v="5"/>
    <s v="20GP"/>
    <d v="2026-06-12T00:00:00"/>
    <n v="7"/>
    <d v="2026-06-20T00:00:00"/>
    <d v="2026-06-19T00:00:00"/>
    <n v="110"/>
    <n v="1"/>
    <x v="0"/>
    <n v="110"/>
    <x v="1"/>
  </r>
  <r>
    <n v="923"/>
    <s v="CNTR100922"/>
    <x v="0"/>
    <s v="MSC Elena"/>
    <x v="5"/>
    <s v="40RF"/>
    <d v="2026-08-21T00:00:00"/>
    <n v="4"/>
    <m/>
    <d v="2026-08-25T00:00:00"/>
    <n v="150"/>
    <n v="0"/>
    <x v="1"/>
    <s v="NA"/>
    <x v="0"/>
  </r>
  <r>
    <n v="924"/>
    <s v="CNTR100923"/>
    <x v="1"/>
    <s v="ZIM Voyager"/>
    <x v="7"/>
    <s v="40GP"/>
    <d v="2026-06-15T00:00:00"/>
    <n v="7"/>
    <d v="2026-06-29T00:00:00"/>
    <d v="2026-06-22T00:00:00"/>
    <n v="60"/>
    <n v="7"/>
    <x v="0"/>
    <n v="420"/>
    <x v="1"/>
  </r>
  <r>
    <n v="925"/>
    <s v="CNTR100924"/>
    <x v="0"/>
    <s v="ONE Kestrel"/>
    <x v="6"/>
    <s v="40GP"/>
    <d v="2026-08-15T00:00:00"/>
    <n v="6"/>
    <d v="2026-08-25T00:00:00"/>
    <d v="2026-08-21T00:00:00"/>
    <n v="75"/>
    <n v="4"/>
    <x v="0"/>
    <n v="300"/>
    <x v="1"/>
  </r>
  <r>
    <n v="926"/>
    <s v="CNTR100925"/>
    <x v="3"/>
    <s v="COSCO Harmony"/>
    <x v="8"/>
    <s v="40HC"/>
    <d v="2026-06-25T00:00:00"/>
    <n v="5"/>
    <d v="2026-06-26T00:00:00"/>
    <d v="2026-06-30T00:00:00"/>
    <n v="75"/>
    <n v="0"/>
    <x v="1"/>
    <s v="NA"/>
    <x v="1"/>
  </r>
  <r>
    <n v="927"/>
    <s v="CNTR100926"/>
    <x v="1"/>
    <s v="MSC Elena"/>
    <x v="9"/>
    <s v="20GP"/>
    <d v="2026-08-06T00:00:00"/>
    <n v="6"/>
    <d v="2026-08-09T00:00:00"/>
    <d v="2026-08-12T00:00:00"/>
    <n v="110"/>
    <n v="0"/>
    <x v="1"/>
    <s v="NA"/>
    <x v="1"/>
  </r>
  <r>
    <n v="928"/>
    <s v="CNTR100927"/>
    <x v="2"/>
    <s v="ZIM Voyager"/>
    <x v="8"/>
    <s v="40RF"/>
    <d v="2026-07-31T00:00:00"/>
    <n v="3"/>
    <d v="2026-08-05T00:00:00"/>
    <d v="2026-08-03T00:00:00"/>
    <n v="120"/>
    <n v="2"/>
    <x v="0"/>
    <n v="240"/>
    <x v="1"/>
  </r>
  <r>
    <n v="929"/>
    <s v="CNTR100928"/>
    <x v="0"/>
    <s v="Yang Ming Peak"/>
    <x v="2"/>
    <s v="40GP"/>
    <d v="2026-08-24T00:00:00"/>
    <n v="4"/>
    <d v="2026-08-25T00:00:00"/>
    <d v="2026-08-28T00:00:00"/>
    <n v="90"/>
    <n v="0"/>
    <x v="1"/>
    <s v="NA"/>
    <x v="1"/>
  </r>
  <r>
    <n v="930"/>
    <s v="CNTR100929"/>
    <x v="0"/>
    <s v="MSC Elena"/>
    <x v="7"/>
    <s v="40RF"/>
    <d v="2026-07-22T00:00:00"/>
    <n v="3"/>
    <m/>
    <d v="2026-07-25T00:00:00"/>
    <n v="120"/>
    <n v="31"/>
    <x v="2"/>
    <n v="3720"/>
    <x v="0"/>
  </r>
  <r>
    <n v="931"/>
    <s v="CNTR100930"/>
    <x v="2"/>
    <s v="OOCL Bergen"/>
    <x v="6"/>
    <s v="40GP"/>
    <d v="2026-08-11T00:00:00"/>
    <n v="5"/>
    <m/>
    <d v="2026-08-16T00:00:00"/>
    <n v="110"/>
    <n v="9"/>
    <x v="0"/>
    <n v="990"/>
    <x v="0"/>
  </r>
  <r>
    <n v="932"/>
    <s v="CNTR100931"/>
    <x v="1"/>
    <s v="ONE Kestrel"/>
    <x v="0"/>
    <s v="40HC"/>
    <d v="2026-06-25T00:00:00"/>
    <n v="5"/>
    <d v="2026-06-27T00:00:00"/>
    <d v="2026-06-30T00:00:00"/>
    <n v="110"/>
    <n v="0"/>
    <x v="1"/>
    <s v="NA"/>
    <x v="1"/>
  </r>
  <r>
    <n v="933"/>
    <s v="CNTR100932"/>
    <x v="2"/>
    <s v="Maersk Kiel"/>
    <x v="9"/>
    <s v="20GP"/>
    <d v="2026-05-30T00:00:00"/>
    <n v="4"/>
    <d v="2026-06-03T00:00:00"/>
    <d v="2026-06-03T00:00:00"/>
    <n v="110"/>
    <n v="0"/>
    <x v="1"/>
    <s v="NA"/>
    <x v="1"/>
  </r>
  <r>
    <n v="934"/>
    <s v="CNTR100933"/>
    <x v="1"/>
    <s v="CMA CGM Rhone"/>
    <x v="1"/>
    <s v="40HC"/>
    <d v="2026-08-08T00:00:00"/>
    <n v="4"/>
    <d v="2026-08-12T00:00:00"/>
    <d v="2026-08-12T00:00:00"/>
    <n v="110"/>
    <n v="0"/>
    <x v="1"/>
    <s v="NA"/>
    <x v="1"/>
  </r>
  <r>
    <n v="935"/>
    <s v="CNTR100934"/>
    <x v="2"/>
    <s v="Maersk Kiel"/>
    <x v="2"/>
    <s v="40RF"/>
    <d v="2026-06-22T00:00:00"/>
    <n v="3"/>
    <d v="2026-06-23T00:00:00"/>
    <d v="2026-06-25T00:00:00"/>
    <n v="150"/>
    <n v="0"/>
    <x v="1"/>
    <s v="NA"/>
    <x v="1"/>
  </r>
  <r>
    <n v="936"/>
    <s v="CNTR100935"/>
    <x v="1"/>
    <s v="ZIM Voyager"/>
    <x v="9"/>
    <s v="40GP"/>
    <d v="2026-07-13T00:00:00"/>
    <n v="5"/>
    <m/>
    <d v="2026-07-18T00:00:00"/>
    <n v="75"/>
    <n v="38"/>
    <x v="2"/>
    <n v="2850"/>
    <x v="0"/>
  </r>
  <r>
    <n v="937"/>
    <s v="CNTR100936"/>
    <x v="3"/>
    <s v="Yang Ming Peak"/>
    <x v="0"/>
    <s v="40RF"/>
    <d v="2026-06-30T00:00:00"/>
    <n v="4"/>
    <d v="2026-07-05T00:00:00"/>
    <d v="2026-07-04T00:00:00"/>
    <n v="150"/>
    <n v="1"/>
    <x v="0"/>
    <n v="150"/>
    <x v="1"/>
  </r>
  <r>
    <n v="938"/>
    <s v="CNTR100937"/>
    <x v="0"/>
    <s v="CMA CGM Rhone"/>
    <x v="6"/>
    <s v="40HC"/>
    <d v="2026-08-09T00:00:00"/>
    <n v="6"/>
    <m/>
    <d v="2026-08-15T00:00:00"/>
    <n v="110"/>
    <n v="10"/>
    <x v="2"/>
    <n v="1100"/>
    <x v="0"/>
  </r>
  <r>
    <n v="939"/>
    <s v="CNTR100938"/>
    <x v="2"/>
    <s v="MSC Elena"/>
    <x v="0"/>
    <s v="20GP"/>
    <d v="2026-06-11T00:00:00"/>
    <n v="4"/>
    <d v="2026-06-12T00:00:00"/>
    <d v="2026-06-15T00:00:00"/>
    <n v="75"/>
    <n v="0"/>
    <x v="1"/>
    <s v="NA"/>
    <x v="1"/>
  </r>
  <r>
    <n v="940"/>
    <s v="CNTR100939"/>
    <x v="1"/>
    <s v="COSCO Harmony"/>
    <x v="3"/>
    <s v="40GP"/>
    <d v="2026-07-11T00:00:00"/>
    <n v="6"/>
    <d v="2026-07-18T00:00:00"/>
    <d v="2026-07-17T00:00:00"/>
    <n v="75"/>
    <n v="1"/>
    <x v="0"/>
    <n v="75"/>
    <x v="1"/>
  </r>
  <r>
    <n v="941"/>
    <s v="CNTR100940"/>
    <x v="0"/>
    <s v="OOCL Bergen"/>
    <x v="7"/>
    <s v="40GP"/>
    <d v="2026-07-14T00:00:00"/>
    <n v="7"/>
    <m/>
    <d v="2026-07-21T00:00:00"/>
    <n v="90"/>
    <n v="35"/>
    <x v="2"/>
    <n v="3150"/>
    <x v="0"/>
  </r>
  <r>
    <n v="942"/>
    <s v="CNTR100941"/>
    <x v="1"/>
    <s v="ZIM Voyager"/>
    <x v="6"/>
    <s v="20GP"/>
    <d v="2026-07-06T00:00:00"/>
    <n v="7"/>
    <d v="2026-07-18T00:00:00"/>
    <d v="2026-07-13T00:00:00"/>
    <n v="110"/>
    <n v="5"/>
    <x v="0"/>
    <n v="550"/>
    <x v="1"/>
  </r>
  <r>
    <n v="943"/>
    <s v="CNTR100942"/>
    <x v="0"/>
    <s v="MSC Elena"/>
    <x v="2"/>
    <s v="40RF"/>
    <d v="2026-08-06T00:00:00"/>
    <n v="4"/>
    <m/>
    <d v="2026-08-10T00:00:00"/>
    <n v="180"/>
    <n v="15"/>
    <x v="2"/>
    <n v="2700"/>
    <x v="0"/>
  </r>
  <r>
    <n v="944"/>
    <s v="CNTR100943"/>
    <x v="2"/>
    <s v="ONE Kestrel"/>
    <x v="2"/>
    <s v="40HC"/>
    <d v="2026-06-17T00:00:00"/>
    <n v="6"/>
    <m/>
    <d v="2026-06-23T00:00:00"/>
    <n v="90"/>
    <n v="63"/>
    <x v="2"/>
    <n v="5670"/>
    <x v="0"/>
  </r>
  <r>
    <n v="945"/>
    <s v="CNTR100944"/>
    <x v="0"/>
    <s v="MSC Elena"/>
    <x v="6"/>
    <s v="20GP"/>
    <d v="2026-06-29T00:00:00"/>
    <n v="4"/>
    <d v="2026-07-07T00:00:00"/>
    <d v="2026-07-03T00:00:00"/>
    <n v="110"/>
    <n v="4"/>
    <x v="0"/>
    <n v="440"/>
    <x v="1"/>
  </r>
  <r>
    <n v="946"/>
    <s v="CNTR100945"/>
    <x v="1"/>
    <s v="CMA CGM Rhone"/>
    <x v="8"/>
    <s v="20GP"/>
    <d v="2026-07-06T00:00:00"/>
    <n v="4"/>
    <d v="2026-07-07T00:00:00"/>
    <d v="2026-07-10T00:00:00"/>
    <n v="130"/>
    <n v="0"/>
    <x v="1"/>
    <s v="NA"/>
    <x v="1"/>
  </r>
  <r>
    <n v="947"/>
    <s v="CNTR100946"/>
    <x v="3"/>
    <s v="Hapag Lloyd Bern"/>
    <x v="1"/>
    <s v="20GP"/>
    <d v="2026-05-29T00:00:00"/>
    <n v="5"/>
    <d v="2026-06-01T00:00:00"/>
    <d v="2026-06-03T00:00:00"/>
    <n v="130"/>
    <n v="0"/>
    <x v="1"/>
    <s v="NA"/>
    <x v="1"/>
  </r>
  <r>
    <n v="948"/>
    <s v="CNTR100947"/>
    <x v="3"/>
    <s v="COSCO Harmony"/>
    <x v="7"/>
    <s v="20GP"/>
    <d v="2026-08-02T00:00:00"/>
    <n v="5"/>
    <m/>
    <d v="2026-08-07T00:00:00"/>
    <n v="90"/>
    <n v="18"/>
    <x v="2"/>
    <n v="1620"/>
    <x v="0"/>
  </r>
  <r>
    <n v="949"/>
    <s v="CNTR100948"/>
    <x v="0"/>
    <s v="Hapag Lloyd Bern"/>
    <x v="7"/>
    <s v="40HC"/>
    <d v="2026-06-30T00:00:00"/>
    <n v="5"/>
    <d v="2026-07-01T00:00:00"/>
    <d v="2026-07-05T00:00:00"/>
    <n v="110"/>
    <n v="0"/>
    <x v="1"/>
    <s v="NA"/>
    <x v="1"/>
  </r>
  <r>
    <n v="950"/>
    <s v="CNTR100949"/>
    <x v="3"/>
    <s v="Evergreen Ace"/>
    <x v="9"/>
    <s v="20GP"/>
    <d v="2026-07-30T00:00:00"/>
    <n v="5"/>
    <d v="2026-08-05T00:00:00"/>
    <d v="2026-08-04T00:00:00"/>
    <n v="75"/>
    <n v="1"/>
    <x v="0"/>
    <n v="75"/>
    <x v="1"/>
  </r>
  <r>
    <n v="951"/>
    <s v="CNTR100950"/>
    <x v="0"/>
    <s v="MSC Elena"/>
    <x v="5"/>
    <s v="40RF"/>
    <d v="2026-06-12T00:00:00"/>
    <n v="3"/>
    <d v="2026-06-19T00:00:00"/>
    <d v="2026-06-15T00:00:00"/>
    <n v="180"/>
    <n v="4"/>
    <x v="0"/>
    <n v="720"/>
    <x v="1"/>
  </r>
  <r>
    <n v="952"/>
    <s v="CNTR100951"/>
    <x v="2"/>
    <s v="CMA CGM Rhone"/>
    <x v="6"/>
    <s v="20GP"/>
    <d v="2026-08-11T00:00:00"/>
    <n v="5"/>
    <d v="2026-08-12T00:00:00"/>
    <d v="2026-08-16T00:00:00"/>
    <n v="60"/>
    <n v="0"/>
    <x v="1"/>
    <s v="NA"/>
    <x v="1"/>
  </r>
  <r>
    <n v="953"/>
    <s v="CNTR100952"/>
    <x v="1"/>
    <s v="OOCL Bergen"/>
    <x v="7"/>
    <s v="40GP"/>
    <d v="2026-06-06T00:00:00"/>
    <n v="7"/>
    <m/>
    <d v="2026-06-13T00:00:00"/>
    <n v="130"/>
    <n v="73"/>
    <x v="2"/>
    <n v="9490"/>
    <x v="0"/>
  </r>
  <r>
    <n v="954"/>
    <s v="CNTR100953"/>
    <x v="2"/>
    <s v="Hapag Lloyd Bern"/>
    <x v="1"/>
    <s v="40HC"/>
    <d v="2026-07-11T00:00:00"/>
    <n v="5"/>
    <d v="2026-07-16T00:00:00"/>
    <d v="2026-07-16T00:00:00"/>
    <n v="90"/>
    <n v="0"/>
    <x v="1"/>
    <s v="NA"/>
    <x v="1"/>
  </r>
  <r>
    <n v="955"/>
    <s v="CNTR100954"/>
    <x v="2"/>
    <s v="Maersk Kiel"/>
    <x v="4"/>
    <s v="40HC"/>
    <d v="2026-06-20T00:00:00"/>
    <n v="6"/>
    <m/>
    <d v="2026-06-26T00:00:00"/>
    <n v="90"/>
    <n v="60"/>
    <x v="2"/>
    <n v="5400"/>
    <x v="0"/>
  </r>
  <r>
    <n v="956"/>
    <s v="CNTR100955"/>
    <x v="3"/>
    <s v="COSCO Harmony"/>
    <x v="1"/>
    <s v="40RF"/>
    <d v="2026-07-17T00:00:00"/>
    <n v="4"/>
    <d v="2026-07-18T00:00:00"/>
    <d v="2026-07-21T00:00:00"/>
    <n v="180"/>
    <n v="0"/>
    <x v="1"/>
    <s v="NA"/>
    <x v="1"/>
  </r>
  <r>
    <n v="957"/>
    <s v="CNTR100956"/>
    <x v="0"/>
    <s v="MSC Elena"/>
    <x v="9"/>
    <s v="40GP"/>
    <d v="2026-08-15T00:00:00"/>
    <n v="4"/>
    <d v="2026-08-16T00:00:00"/>
    <d v="2026-08-19T00:00:00"/>
    <n v="75"/>
    <n v="0"/>
    <x v="1"/>
    <s v="NA"/>
    <x v="1"/>
  </r>
  <r>
    <n v="958"/>
    <s v="CNTR100957"/>
    <x v="1"/>
    <s v="Maersk Kiel"/>
    <x v="4"/>
    <s v="40GP"/>
    <d v="2026-08-24T00:00:00"/>
    <n v="7"/>
    <m/>
    <d v="2026-08-31T00:00:00"/>
    <n v="110"/>
    <n v="0"/>
    <x v="1"/>
    <s v="NA"/>
    <x v="0"/>
  </r>
  <r>
    <n v="959"/>
    <s v="CNTR100958"/>
    <x v="3"/>
    <s v="Yang Ming Peak"/>
    <x v="7"/>
    <s v="40HC"/>
    <d v="2026-05-29T00:00:00"/>
    <n v="5"/>
    <d v="2026-06-05T00:00:00"/>
    <d v="2026-06-03T00:00:00"/>
    <n v="90"/>
    <n v="2"/>
    <x v="0"/>
    <n v="180"/>
    <x v="1"/>
  </r>
  <r>
    <n v="960"/>
    <s v="CNTR100959"/>
    <x v="0"/>
    <s v="Maersk Kiel"/>
    <x v="7"/>
    <s v="40HC"/>
    <d v="2026-06-09T00:00:00"/>
    <n v="6"/>
    <d v="2026-06-17T00:00:00"/>
    <d v="2026-06-15T00:00:00"/>
    <n v="75"/>
    <n v="2"/>
    <x v="0"/>
    <n v="150"/>
    <x v="1"/>
  </r>
  <r>
    <n v="961"/>
    <s v="CNTR100960"/>
    <x v="1"/>
    <s v="Yang Ming Peak"/>
    <x v="4"/>
    <s v="40GP"/>
    <d v="2026-06-24T00:00:00"/>
    <n v="5"/>
    <m/>
    <d v="2026-06-29T00:00:00"/>
    <n v="130"/>
    <n v="57"/>
    <x v="2"/>
    <n v="7410"/>
    <x v="0"/>
  </r>
  <r>
    <n v="962"/>
    <s v="CNTR100961"/>
    <x v="2"/>
    <s v="COSCO Harmony"/>
    <x v="6"/>
    <s v="20GP"/>
    <d v="2026-07-15T00:00:00"/>
    <n v="5"/>
    <d v="2026-07-17T00:00:00"/>
    <d v="2026-07-20T00:00:00"/>
    <n v="130"/>
    <n v="0"/>
    <x v="1"/>
    <s v="NA"/>
    <x v="1"/>
  </r>
  <r>
    <n v="963"/>
    <s v="CNTR100962"/>
    <x v="2"/>
    <s v="COSCO Harmony"/>
    <x v="6"/>
    <s v="20GP"/>
    <d v="2026-07-30T00:00:00"/>
    <n v="7"/>
    <d v="2026-08-01T00:00:00"/>
    <d v="2026-08-06T00:00:00"/>
    <n v="90"/>
    <n v="0"/>
    <x v="1"/>
    <s v="NA"/>
    <x v="1"/>
  </r>
  <r>
    <n v="964"/>
    <s v="CNTR100963"/>
    <x v="1"/>
    <s v="CMA CGM Rhone"/>
    <x v="3"/>
    <s v="40RF"/>
    <d v="2026-07-11T00:00:00"/>
    <n v="3"/>
    <m/>
    <d v="2026-07-14T00:00:00"/>
    <n v="150"/>
    <n v="42"/>
    <x v="2"/>
    <n v="6300"/>
    <x v="0"/>
  </r>
  <r>
    <n v="965"/>
    <s v="CNTR100964"/>
    <x v="0"/>
    <s v="OOCL Bergen"/>
    <x v="8"/>
    <s v="40RF"/>
    <d v="2026-06-12T00:00:00"/>
    <n v="3"/>
    <d v="2026-06-15T00:00:00"/>
    <d v="2026-06-15T00:00:00"/>
    <n v="120"/>
    <n v="0"/>
    <x v="1"/>
    <s v="NA"/>
    <x v="1"/>
  </r>
  <r>
    <n v="966"/>
    <s v="CNTR100965"/>
    <x v="2"/>
    <s v="COSCO Harmony"/>
    <x v="3"/>
    <s v="40GP"/>
    <d v="2026-08-07T00:00:00"/>
    <n v="5"/>
    <m/>
    <d v="2026-08-12T00:00:00"/>
    <n v="75"/>
    <n v="13"/>
    <x v="2"/>
    <n v="975"/>
    <x v="0"/>
  </r>
  <r>
    <n v="967"/>
    <s v="CNTR100966"/>
    <x v="3"/>
    <s v="Yang Ming Peak"/>
    <x v="9"/>
    <s v="40GP"/>
    <d v="2026-07-29T00:00:00"/>
    <n v="5"/>
    <m/>
    <d v="2026-08-03T00:00:00"/>
    <n v="110"/>
    <n v="22"/>
    <x v="2"/>
    <n v="2420"/>
    <x v="0"/>
  </r>
  <r>
    <n v="968"/>
    <s v="CNTR100967"/>
    <x v="1"/>
    <s v="Yang Ming Peak"/>
    <x v="5"/>
    <s v="40HC"/>
    <d v="2026-06-02T00:00:00"/>
    <n v="4"/>
    <d v="2026-06-09T00:00:00"/>
    <d v="2026-06-06T00:00:00"/>
    <n v="60"/>
    <n v="3"/>
    <x v="0"/>
    <n v="180"/>
    <x v="1"/>
  </r>
  <r>
    <n v="969"/>
    <s v="CNTR100968"/>
    <x v="1"/>
    <s v="MSC Elena"/>
    <x v="6"/>
    <s v="20GP"/>
    <d v="2026-08-11T00:00:00"/>
    <n v="5"/>
    <m/>
    <d v="2026-08-16T00:00:00"/>
    <n v="130"/>
    <n v="9"/>
    <x v="0"/>
    <n v="1170"/>
    <x v="0"/>
  </r>
  <r>
    <n v="970"/>
    <s v="CNTR100969"/>
    <x v="2"/>
    <s v="COSCO Harmony"/>
    <x v="5"/>
    <s v="40HC"/>
    <d v="2026-07-05T00:00:00"/>
    <n v="7"/>
    <d v="2026-07-06T00:00:00"/>
    <d v="2026-07-12T00:00:00"/>
    <n v="75"/>
    <n v="0"/>
    <x v="1"/>
    <s v="NA"/>
    <x v="1"/>
  </r>
  <r>
    <n v="971"/>
    <s v="CNTR100970"/>
    <x v="1"/>
    <s v="Evergreen Ace"/>
    <x v="1"/>
    <s v="40GP"/>
    <d v="2026-08-03T00:00:00"/>
    <n v="7"/>
    <d v="2026-08-08T00:00:00"/>
    <d v="2026-08-10T00:00:00"/>
    <n v="75"/>
    <n v="0"/>
    <x v="1"/>
    <s v="NA"/>
    <x v="1"/>
  </r>
  <r>
    <n v="972"/>
    <s v="CNTR100971"/>
    <x v="2"/>
    <s v="Yang Ming Peak"/>
    <x v="1"/>
    <s v="20GP"/>
    <d v="2026-06-23T00:00:00"/>
    <n v="6"/>
    <d v="2026-06-28T00:00:00"/>
    <d v="2026-06-29T00:00:00"/>
    <n v="110"/>
    <n v="0"/>
    <x v="1"/>
    <s v="NA"/>
    <x v="1"/>
  </r>
  <r>
    <n v="973"/>
    <s v="CNTR100972"/>
    <x v="0"/>
    <s v="Yang Ming Peak"/>
    <x v="7"/>
    <s v="40RF"/>
    <d v="2026-06-22T00:00:00"/>
    <n v="4"/>
    <d v="2026-06-29T00:00:00"/>
    <d v="2026-06-26T00:00:00"/>
    <n v="180"/>
    <n v="3"/>
    <x v="0"/>
    <n v="540"/>
    <x v="1"/>
  </r>
  <r>
    <n v="974"/>
    <s v="CNTR100973"/>
    <x v="2"/>
    <s v="Maersk Kiel"/>
    <x v="9"/>
    <s v="40HC"/>
    <d v="2026-07-17T00:00:00"/>
    <n v="4"/>
    <d v="2026-07-28T00:00:00"/>
    <d v="2026-07-21T00:00:00"/>
    <n v="110"/>
    <n v="7"/>
    <x v="0"/>
    <n v="770"/>
    <x v="1"/>
  </r>
  <r>
    <n v="975"/>
    <s v="CNTR100974"/>
    <x v="2"/>
    <s v="ONE Kestrel"/>
    <x v="4"/>
    <s v="40HC"/>
    <d v="2026-06-18T00:00:00"/>
    <n v="5"/>
    <d v="2026-06-26T00:00:00"/>
    <d v="2026-06-23T00:00:00"/>
    <n v="75"/>
    <n v="3"/>
    <x v="0"/>
    <n v="225"/>
    <x v="1"/>
  </r>
  <r>
    <n v="976"/>
    <s v="CNTR100975"/>
    <x v="2"/>
    <s v="MSC Elena"/>
    <x v="9"/>
    <s v="20GP"/>
    <d v="2026-07-09T00:00:00"/>
    <n v="5"/>
    <m/>
    <d v="2026-07-14T00:00:00"/>
    <n v="90"/>
    <n v="42"/>
    <x v="2"/>
    <n v="3780"/>
    <x v="0"/>
  </r>
  <r>
    <n v="977"/>
    <s v="CNTR100976"/>
    <x v="0"/>
    <s v="Hapag Lloyd Bern"/>
    <x v="4"/>
    <s v="20GP"/>
    <d v="2026-08-05T00:00:00"/>
    <n v="5"/>
    <d v="2026-08-12T00:00:00"/>
    <d v="2026-08-10T00:00:00"/>
    <n v="90"/>
    <n v="2"/>
    <x v="0"/>
    <n v="180"/>
    <x v="1"/>
  </r>
  <r>
    <n v="978"/>
    <s v="CNTR100977"/>
    <x v="2"/>
    <s v="Maersk Kiel"/>
    <x v="2"/>
    <s v="40RF"/>
    <d v="2026-06-11T00:00:00"/>
    <n v="4"/>
    <d v="2026-06-13T00:00:00"/>
    <d v="2026-06-15T00:00:00"/>
    <n v="120"/>
    <n v="0"/>
    <x v="1"/>
    <s v="NA"/>
    <x v="1"/>
  </r>
  <r>
    <n v="979"/>
    <s v="CNTR100978"/>
    <x v="3"/>
    <s v="ONE Kestrel"/>
    <x v="7"/>
    <s v="40GP"/>
    <d v="2026-06-17T00:00:00"/>
    <n v="7"/>
    <d v="2026-06-26T00:00:00"/>
    <d v="2026-06-24T00:00:00"/>
    <n v="110"/>
    <n v="2"/>
    <x v="0"/>
    <n v="220"/>
    <x v="1"/>
  </r>
  <r>
    <n v="980"/>
    <s v="CNTR100979"/>
    <x v="2"/>
    <s v="Evergreen Ace"/>
    <x v="0"/>
    <s v="40HC"/>
    <d v="2026-07-30T00:00:00"/>
    <n v="5"/>
    <d v="2026-08-01T00:00:00"/>
    <d v="2026-08-04T00:00:00"/>
    <n v="75"/>
    <n v="0"/>
    <x v="1"/>
    <s v="NA"/>
    <x v="1"/>
  </r>
  <r>
    <n v="981"/>
    <s v="CNTR100980"/>
    <x v="3"/>
    <s v="Yang Ming Peak"/>
    <x v="8"/>
    <s v="40GP"/>
    <d v="2026-06-23T00:00:00"/>
    <n v="7"/>
    <m/>
    <d v="2026-06-30T00:00:00"/>
    <n v="75"/>
    <n v="56"/>
    <x v="2"/>
    <n v="4200"/>
    <x v="0"/>
  </r>
  <r>
    <n v="982"/>
    <s v="CNTR100981"/>
    <x v="2"/>
    <s v="CMA CGM Rhone"/>
    <x v="0"/>
    <s v="40HC"/>
    <d v="2026-08-15T00:00:00"/>
    <n v="4"/>
    <d v="2026-08-22T00:00:00"/>
    <d v="2026-08-19T00:00:00"/>
    <n v="75"/>
    <n v="3"/>
    <x v="0"/>
    <n v="225"/>
    <x v="1"/>
  </r>
  <r>
    <n v="983"/>
    <s v="CNTR100982"/>
    <x v="2"/>
    <s v="CMA CGM Rhone"/>
    <x v="4"/>
    <s v="40HC"/>
    <d v="2026-07-23T00:00:00"/>
    <n v="5"/>
    <d v="2026-07-30T00:00:00"/>
    <d v="2026-07-28T00:00:00"/>
    <n v="75"/>
    <n v="2"/>
    <x v="0"/>
    <n v="150"/>
    <x v="1"/>
  </r>
  <r>
    <n v="984"/>
    <s v="CNTR100983"/>
    <x v="1"/>
    <s v="Maersk Kiel"/>
    <x v="1"/>
    <s v="40RF"/>
    <d v="2026-06-08T00:00:00"/>
    <n v="3"/>
    <m/>
    <d v="2026-06-11T00:00:00"/>
    <n v="150"/>
    <n v="75"/>
    <x v="2"/>
    <n v="11250"/>
    <x v="0"/>
  </r>
  <r>
    <n v="985"/>
    <s v="CNTR100984"/>
    <x v="2"/>
    <s v="MSC Elena"/>
    <x v="6"/>
    <s v="40RF"/>
    <d v="2026-07-22T00:00:00"/>
    <n v="4"/>
    <d v="2026-07-25T00:00:00"/>
    <d v="2026-07-26T00:00:00"/>
    <n v="180"/>
    <n v="0"/>
    <x v="1"/>
    <s v="NA"/>
    <x v="1"/>
  </r>
  <r>
    <n v="986"/>
    <s v="CNTR100985"/>
    <x v="0"/>
    <s v="CMA CGM Rhone"/>
    <x v="8"/>
    <s v="20GP"/>
    <d v="2026-07-23T00:00:00"/>
    <n v="5"/>
    <d v="2026-07-24T00:00:00"/>
    <d v="2026-07-28T00:00:00"/>
    <n v="75"/>
    <n v="0"/>
    <x v="1"/>
    <s v="NA"/>
    <x v="1"/>
  </r>
  <r>
    <n v="987"/>
    <s v="CNTR100986"/>
    <x v="2"/>
    <s v="Maersk Kiel"/>
    <x v="4"/>
    <s v="20GP"/>
    <d v="2026-08-06T00:00:00"/>
    <n v="5"/>
    <d v="2026-08-07T00:00:00"/>
    <d v="2026-08-11T00:00:00"/>
    <n v="60"/>
    <n v="0"/>
    <x v="1"/>
    <s v="NA"/>
    <x v="1"/>
  </r>
  <r>
    <n v="988"/>
    <s v="CNTR100987"/>
    <x v="0"/>
    <s v="Yang Ming Peak"/>
    <x v="6"/>
    <s v="40GP"/>
    <d v="2026-07-06T00:00:00"/>
    <n v="5"/>
    <d v="2026-07-10T00:00:00"/>
    <d v="2026-07-11T00:00:00"/>
    <n v="90"/>
    <n v="0"/>
    <x v="1"/>
    <s v="NA"/>
    <x v="1"/>
  </r>
  <r>
    <n v="989"/>
    <s v="CNTR100988"/>
    <x v="1"/>
    <s v="Maersk Kiel"/>
    <x v="1"/>
    <s v="40GP"/>
    <d v="2026-06-28T00:00:00"/>
    <n v="5"/>
    <m/>
    <d v="2026-07-03T00:00:00"/>
    <n v="110"/>
    <n v="53"/>
    <x v="2"/>
    <n v="5830"/>
    <x v="0"/>
  </r>
  <r>
    <n v="990"/>
    <s v="CNTR100989"/>
    <x v="0"/>
    <s v="COSCO Harmony"/>
    <x v="0"/>
    <s v="40GP"/>
    <d v="2026-08-01T00:00:00"/>
    <n v="5"/>
    <m/>
    <d v="2026-08-06T00:00:00"/>
    <n v="110"/>
    <n v="19"/>
    <x v="2"/>
    <n v="2090"/>
    <x v="0"/>
  </r>
  <r>
    <n v="991"/>
    <s v="CNTR100990"/>
    <x v="1"/>
    <s v="ZIM Voyager"/>
    <x v="4"/>
    <s v="20GP"/>
    <d v="2026-08-16T00:00:00"/>
    <n v="4"/>
    <d v="2026-08-22T00:00:00"/>
    <d v="2026-08-20T00:00:00"/>
    <n v="60"/>
    <n v="2"/>
    <x v="0"/>
    <n v="120"/>
    <x v="1"/>
  </r>
  <r>
    <n v="992"/>
    <s v="CNTR100991"/>
    <x v="3"/>
    <s v="OOCL Bergen"/>
    <x v="7"/>
    <s v="40HC"/>
    <d v="2026-08-13T00:00:00"/>
    <n v="4"/>
    <d v="2026-08-15T00:00:00"/>
    <d v="2026-08-17T00:00:00"/>
    <n v="130"/>
    <n v="0"/>
    <x v="1"/>
    <s v="NA"/>
    <x v="1"/>
  </r>
  <r>
    <n v="993"/>
    <s v="CNTR100992"/>
    <x v="0"/>
    <s v="CMA CGM Rhone"/>
    <x v="7"/>
    <s v="40GP"/>
    <d v="2026-06-16T00:00:00"/>
    <n v="7"/>
    <m/>
    <d v="2026-06-23T00:00:00"/>
    <n v="130"/>
    <n v="63"/>
    <x v="2"/>
    <n v="8190"/>
    <x v="0"/>
  </r>
  <r>
    <n v="994"/>
    <s v="CNTR100993"/>
    <x v="2"/>
    <s v="ONE Kestrel"/>
    <x v="6"/>
    <s v="40HC"/>
    <d v="2026-05-28T00:00:00"/>
    <n v="4"/>
    <m/>
    <d v="2026-06-01T00:00:00"/>
    <n v="60"/>
    <n v="85"/>
    <x v="2"/>
    <n v="5100"/>
    <x v="0"/>
  </r>
  <r>
    <n v="995"/>
    <s v="CNTR100994"/>
    <x v="0"/>
    <s v="MSC Elena"/>
    <x v="1"/>
    <s v="40HC"/>
    <d v="2026-06-09T00:00:00"/>
    <n v="7"/>
    <d v="2026-06-23T00:00:00"/>
    <d v="2026-06-16T00:00:00"/>
    <n v="60"/>
    <n v="7"/>
    <x v="0"/>
    <n v="420"/>
    <x v="1"/>
  </r>
  <r>
    <n v="996"/>
    <s v="CNTR100995"/>
    <x v="2"/>
    <s v="OOCL Bergen"/>
    <x v="2"/>
    <s v="40RF"/>
    <d v="2026-08-09T00:00:00"/>
    <n v="3"/>
    <m/>
    <d v="2026-08-12T00:00:00"/>
    <n v="120"/>
    <n v="13"/>
    <x v="2"/>
    <n v="1560"/>
    <x v="0"/>
  </r>
  <r>
    <n v="997"/>
    <s v="CNTR100996"/>
    <x v="1"/>
    <s v="ZIM Voyager"/>
    <x v="3"/>
    <s v="20GP"/>
    <d v="2026-08-23T00:00:00"/>
    <n v="4"/>
    <d v="2026-08-25T00:00:00"/>
    <d v="2026-08-27T00:00:00"/>
    <n v="90"/>
    <n v="0"/>
    <x v="1"/>
    <s v="NA"/>
    <x v="1"/>
  </r>
  <r>
    <n v="998"/>
    <s v="CNTR100997"/>
    <x v="0"/>
    <s v="OOCL Bergen"/>
    <x v="6"/>
    <s v="20GP"/>
    <d v="2026-07-12T00:00:00"/>
    <n v="5"/>
    <d v="2026-07-16T00:00:00"/>
    <d v="2026-07-17T00:00:00"/>
    <n v="130"/>
    <n v="0"/>
    <x v="1"/>
    <s v="NA"/>
    <x v="1"/>
  </r>
  <r>
    <n v="999"/>
    <s v="CNTR100998"/>
    <x v="3"/>
    <s v="ZIM Voyager"/>
    <x v="0"/>
    <s v="20GP"/>
    <d v="2026-08-10T00:00:00"/>
    <n v="4"/>
    <m/>
    <d v="2026-08-14T00:00:00"/>
    <n v="60"/>
    <n v="11"/>
    <x v="2"/>
    <n v="660"/>
    <x v="0"/>
  </r>
  <r>
    <n v="1000"/>
    <s v="CNTR100999"/>
    <x v="1"/>
    <s v="CMA CGM Rhone"/>
    <x v="8"/>
    <s v="40HC"/>
    <d v="2026-07-07T00:00:00"/>
    <n v="7"/>
    <d v="2026-07-13T00:00:00"/>
    <d v="2026-07-14T00:00:00"/>
    <n v="110"/>
    <n v="0"/>
    <x v="1"/>
    <s v="NA"/>
    <x v="1"/>
  </r>
  <r>
    <n v="1001"/>
    <s v="CNTR101000"/>
    <x v="1"/>
    <s v="ZIM Voyager"/>
    <x v="1"/>
    <s v="20GP"/>
    <d v="2026-06-13T00:00:00"/>
    <n v="6"/>
    <d v="2026-06-16T00:00:00"/>
    <d v="2026-06-19T00:00:00"/>
    <n v="130"/>
    <n v="0"/>
    <x v="1"/>
    <s v="NA"/>
    <x v="1"/>
  </r>
  <r>
    <n v="1002"/>
    <s v="CNTR101001"/>
    <x v="2"/>
    <s v="ZIM Voyager"/>
    <x v="0"/>
    <s v="40GP"/>
    <d v="2026-08-18T00:00:00"/>
    <n v="7"/>
    <d v="2026-08-25T00:00:00"/>
    <d v="2026-08-25T00:00:00"/>
    <n v="130"/>
    <n v="0"/>
    <x v="1"/>
    <s v="NA"/>
    <x v="1"/>
  </r>
  <r>
    <n v="1003"/>
    <s v="CNTR101002"/>
    <x v="2"/>
    <s v="MSC Elena"/>
    <x v="3"/>
    <s v="20GP"/>
    <d v="2026-06-21T00:00:00"/>
    <n v="5"/>
    <d v="2026-06-22T00:00:00"/>
    <d v="2026-06-26T00:00:00"/>
    <n v="110"/>
    <n v="0"/>
    <x v="1"/>
    <s v="NA"/>
    <x v="1"/>
  </r>
  <r>
    <n v="1004"/>
    <s v="CNTR101003"/>
    <x v="1"/>
    <s v="Evergreen Ace"/>
    <x v="6"/>
    <s v="40HC"/>
    <d v="2026-08-08T00:00:00"/>
    <n v="7"/>
    <m/>
    <d v="2026-08-15T00:00:00"/>
    <n v="75"/>
    <n v="10"/>
    <x v="2"/>
    <n v="750"/>
    <x v="0"/>
  </r>
  <r>
    <n v="1005"/>
    <s v="CNTR101004"/>
    <x v="2"/>
    <s v="Yang Ming Peak"/>
    <x v="1"/>
    <s v="40HC"/>
    <d v="2026-07-13T00:00:00"/>
    <n v="5"/>
    <m/>
    <d v="2026-07-18T00:00:00"/>
    <n v="90"/>
    <n v="38"/>
    <x v="2"/>
    <n v="3420"/>
    <x v="0"/>
  </r>
  <r>
    <n v="1006"/>
    <s v="CNTR101005"/>
    <x v="0"/>
    <s v="OOCL Bergen"/>
    <x v="8"/>
    <s v="20GP"/>
    <d v="2026-06-10T00:00:00"/>
    <n v="7"/>
    <m/>
    <d v="2026-06-17T00:00:00"/>
    <n v="90"/>
    <n v="69"/>
    <x v="2"/>
    <n v="6210"/>
    <x v="0"/>
  </r>
  <r>
    <n v="1007"/>
    <s v="CNTR101006"/>
    <x v="0"/>
    <s v="ZIM Voyager"/>
    <x v="4"/>
    <s v="40HC"/>
    <d v="2026-05-29T00:00:00"/>
    <n v="5"/>
    <m/>
    <d v="2026-06-03T00:00:00"/>
    <n v="90"/>
    <n v="83"/>
    <x v="2"/>
    <n v="7470"/>
    <x v="0"/>
  </r>
  <r>
    <n v="1008"/>
    <s v="CNTR101007"/>
    <x v="3"/>
    <s v="CMA CGM Rhone"/>
    <x v="4"/>
    <s v="20GP"/>
    <d v="2026-08-10T00:00:00"/>
    <n v="5"/>
    <d v="2026-08-11T00:00:00"/>
    <d v="2026-08-15T00:00:00"/>
    <n v="60"/>
    <n v="0"/>
    <x v="1"/>
    <s v="NA"/>
    <x v="1"/>
  </r>
  <r>
    <n v="1009"/>
    <s v="CNTR101008"/>
    <x v="0"/>
    <s v="ZIM Voyager"/>
    <x v="4"/>
    <s v="40RF"/>
    <d v="2026-06-15T00:00:00"/>
    <n v="4"/>
    <d v="2026-06-16T00:00:00"/>
    <d v="2026-06-19T00:00:00"/>
    <n v="150"/>
    <n v="0"/>
    <x v="1"/>
    <s v="NA"/>
    <x v="1"/>
  </r>
  <r>
    <n v="1010"/>
    <s v="CNTR101009"/>
    <x v="1"/>
    <s v="Yang Ming Peak"/>
    <x v="7"/>
    <s v="40RF"/>
    <d v="2026-07-05T00:00:00"/>
    <n v="3"/>
    <d v="2026-07-08T00:00:00"/>
    <d v="2026-07-08T00:00:00"/>
    <n v="120"/>
    <n v="0"/>
    <x v="1"/>
    <s v="NA"/>
    <x v="1"/>
  </r>
  <r>
    <n v="1011"/>
    <s v="CNTR101010"/>
    <x v="1"/>
    <s v="ZIM Voyager"/>
    <x v="7"/>
    <s v="40RF"/>
    <d v="2026-07-10T00:00:00"/>
    <n v="3"/>
    <d v="2026-07-13T00:00:00"/>
    <d v="2026-07-13T00:00:00"/>
    <n v="180"/>
    <n v="0"/>
    <x v="1"/>
    <s v="NA"/>
    <x v="1"/>
  </r>
  <r>
    <n v="1012"/>
    <s v="CNTR101011"/>
    <x v="2"/>
    <s v="ZIM Voyager"/>
    <x v="6"/>
    <s v="20GP"/>
    <d v="2026-08-20T00:00:00"/>
    <n v="6"/>
    <d v="2026-08-25T00:00:00"/>
    <d v="2026-08-26T00:00:00"/>
    <n v="60"/>
    <n v="0"/>
    <x v="1"/>
    <s v="NA"/>
    <x v="1"/>
  </r>
  <r>
    <n v="1013"/>
    <s v="CNTR101012"/>
    <x v="3"/>
    <s v="MSC Elena"/>
    <x v="5"/>
    <s v="20GP"/>
    <d v="2026-05-30T00:00:00"/>
    <n v="4"/>
    <d v="2026-06-06T00:00:00"/>
    <d v="2026-06-03T00:00:00"/>
    <n v="60"/>
    <n v="3"/>
    <x v="0"/>
    <n v="180"/>
    <x v="1"/>
  </r>
  <r>
    <n v="1014"/>
    <s v="CNTR101013"/>
    <x v="0"/>
    <s v="Yang Ming Peak"/>
    <x v="0"/>
    <s v="40HC"/>
    <d v="2026-05-30T00:00:00"/>
    <n v="5"/>
    <m/>
    <d v="2026-06-04T00:00:00"/>
    <n v="130"/>
    <n v="82"/>
    <x v="2"/>
    <n v="10660"/>
    <x v="0"/>
  </r>
  <r>
    <n v="1015"/>
    <s v="CNTR101014"/>
    <x v="0"/>
    <s v="MSC Elena"/>
    <x v="6"/>
    <s v="20GP"/>
    <d v="2026-06-14T00:00:00"/>
    <n v="7"/>
    <d v="2026-06-26T00:00:00"/>
    <d v="2026-06-21T00:00:00"/>
    <n v="60"/>
    <n v="5"/>
    <x v="0"/>
    <n v="300"/>
    <x v="1"/>
  </r>
  <r>
    <n v="1016"/>
    <s v="CNTR101015"/>
    <x v="0"/>
    <s v="Maersk Kiel"/>
    <x v="5"/>
    <s v="40GP"/>
    <d v="2026-06-26T00:00:00"/>
    <n v="4"/>
    <d v="2026-07-01T00:00:00"/>
    <d v="2026-06-30T00:00:00"/>
    <n v="75"/>
    <n v="1"/>
    <x v="0"/>
    <n v="75"/>
    <x v="1"/>
  </r>
  <r>
    <n v="1017"/>
    <s v="CNTR101016"/>
    <x v="1"/>
    <s v="CMA CGM Rhone"/>
    <x v="2"/>
    <s v="40RF"/>
    <d v="2026-07-09T00:00:00"/>
    <n v="4"/>
    <d v="2026-07-10T00:00:00"/>
    <d v="2026-07-13T00:00:00"/>
    <n v="150"/>
    <n v="0"/>
    <x v="1"/>
    <s v="NA"/>
    <x v="1"/>
  </r>
  <r>
    <n v="1018"/>
    <s v="CNTR101017"/>
    <x v="3"/>
    <s v="COSCO Harmony"/>
    <x v="3"/>
    <s v="40RF"/>
    <d v="2026-06-16T00:00:00"/>
    <n v="4"/>
    <m/>
    <d v="2026-06-20T00:00:00"/>
    <n v="150"/>
    <n v="66"/>
    <x v="2"/>
    <n v="9900"/>
    <x v="0"/>
  </r>
  <r>
    <n v="1019"/>
    <s v="CNTR101018"/>
    <x v="3"/>
    <s v="Yang Ming Peak"/>
    <x v="2"/>
    <s v="40HC"/>
    <d v="2026-07-02T00:00:00"/>
    <n v="5"/>
    <d v="2026-07-07T00:00:00"/>
    <d v="2026-07-07T00:00:00"/>
    <n v="110"/>
    <n v="0"/>
    <x v="1"/>
    <s v="NA"/>
    <x v="1"/>
  </r>
  <r>
    <n v="1020"/>
    <s v="CNTR101019"/>
    <x v="0"/>
    <s v="Hapag Lloyd Bern"/>
    <x v="6"/>
    <s v="40HC"/>
    <d v="2026-06-24T00:00:00"/>
    <n v="4"/>
    <m/>
    <d v="2026-06-28T00:00:00"/>
    <n v="90"/>
    <n v="58"/>
    <x v="2"/>
    <n v="5220"/>
    <x v="0"/>
  </r>
  <r>
    <n v="1021"/>
    <s v="CNTR101020"/>
    <x v="1"/>
    <s v="CMA CGM Rhone"/>
    <x v="6"/>
    <s v="40RF"/>
    <d v="2026-08-05T00:00:00"/>
    <n v="4"/>
    <m/>
    <d v="2026-08-09T00:00:00"/>
    <n v="180"/>
    <n v="16"/>
    <x v="2"/>
    <n v="2880"/>
    <x v="0"/>
  </r>
  <r>
    <n v="1022"/>
    <s v="CNTR101021"/>
    <x v="2"/>
    <s v="Yang Ming Peak"/>
    <x v="1"/>
    <s v="40GP"/>
    <d v="2026-08-15T00:00:00"/>
    <n v="6"/>
    <m/>
    <d v="2026-08-21T00:00:00"/>
    <n v="90"/>
    <n v="4"/>
    <x v="0"/>
    <n v="360"/>
    <x v="0"/>
  </r>
  <r>
    <n v="1023"/>
    <s v="CNTR101022"/>
    <x v="0"/>
    <s v="CMA CGM Rhone"/>
    <x v="2"/>
    <s v="40RF"/>
    <d v="2026-06-22T00:00:00"/>
    <n v="3"/>
    <d v="2026-06-27T00:00:00"/>
    <d v="2026-06-25T00:00:00"/>
    <n v="180"/>
    <n v="2"/>
    <x v="0"/>
    <n v="360"/>
    <x v="1"/>
  </r>
  <r>
    <n v="1024"/>
    <s v="CNTR101023"/>
    <x v="1"/>
    <s v="ONE Kestrel"/>
    <x v="0"/>
    <s v="20GP"/>
    <d v="2026-07-23T00:00:00"/>
    <n v="7"/>
    <d v="2026-07-28T00:00:00"/>
    <d v="2026-07-30T00:00:00"/>
    <n v="75"/>
    <n v="0"/>
    <x v="1"/>
    <s v="NA"/>
    <x v="1"/>
  </r>
  <r>
    <n v="1025"/>
    <s v="CNTR101024"/>
    <x v="0"/>
    <s v="Yang Ming Peak"/>
    <x v="6"/>
    <s v="40GP"/>
    <d v="2026-06-08T00:00:00"/>
    <n v="5"/>
    <m/>
    <d v="2026-06-13T00:00:00"/>
    <n v="130"/>
    <n v="73"/>
    <x v="2"/>
    <n v="9490"/>
    <x v="0"/>
  </r>
  <r>
    <n v="1026"/>
    <s v="CNTR101025"/>
    <x v="3"/>
    <s v="Evergreen Ace"/>
    <x v="7"/>
    <s v="40RF"/>
    <d v="2026-07-08T00:00:00"/>
    <n v="4"/>
    <d v="2026-07-10T00:00:00"/>
    <d v="2026-07-12T00:00:00"/>
    <n v="180"/>
    <n v="0"/>
    <x v="1"/>
    <s v="NA"/>
    <x v="1"/>
  </r>
  <r>
    <n v="1027"/>
    <s v="CNTR101026"/>
    <x v="0"/>
    <s v="Yang Ming Peak"/>
    <x v="0"/>
    <s v="40RF"/>
    <d v="2026-08-16T00:00:00"/>
    <n v="3"/>
    <d v="2026-08-17T00:00:00"/>
    <d v="2026-08-19T00:00:00"/>
    <n v="150"/>
    <n v="0"/>
    <x v="1"/>
    <s v="NA"/>
    <x v="1"/>
  </r>
  <r>
    <n v="1028"/>
    <s v="CNTR101027"/>
    <x v="0"/>
    <s v="OOCL Bergen"/>
    <x v="7"/>
    <s v="40HC"/>
    <d v="2026-08-22T00:00:00"/>
    <n v="7"/>
    <d v="2026-08-24T00:00:00"/>
    <d v="2026-08-29T00:00:00"/>
    <n v="90"/>
    <n v="0"/>
    <x v="1"/>
    <s v="NA"/>
    <x v="1"/>
  </r>
  <r>
    <n v="1029"/>
    <s v="CNTR101028"/>
    <x v="0"/>
    <s v="ZIM Voyager"/>
    <x v="9"/>
    <s v="40GP"/>
    <d v="2026-08-11T00:00:00"/>
    <n v="4"/>
    <d v="2026-08-19T00:00:00"/>
    <d v="2026-08-15T00:00:00"/>
    <n v="110"/>
    <n v="4"/>
    <x v="0"/>
    <n v="440"/>
    <x v="1"/>
  </r>
  <r>
    <n v="1030"/>
    <s v="CNTR101029"/>
    <x v="3"/>
    <s v="ONE Kestrel"/>
    <x v="8"/>
    <s v="20GP"/>
    <d v="2026-06-09T00:00:00"/>
    <n v="5"/>
    <m/>
    <d v="2026-06-14T00:00:00"/>
    <n v="75"/>
    <n v="72"/>
    <x v="2"/>
    <n v="5400"/>
    <x v="0"/>
  </r>
  <r>
    <n v="1031"/>
    <s v="CNTR101030"/>
    <x v="2"/>
    <s v="Hapag Lloyd Bern"/>
    <x v="8"/>
    <s v="40HC"/>
    <d v="2026-06-18T00:00:00"/>
    <n v="5"/>
    <d v="2026-06-25T00:00:00"/>
    <d v="2026-06-23T00:00:00"/>
    <n v="90"/>
    <n v="2"/>
    <x v="0"/>
    <n v="180"/>
    <x v="1"/>
  </r>
  <r>
    <n v="1032"/>
    <s v="CNTR101031"/>
    <x v="3"/>
    <s v="MSC Elena"/>
    <x v="9"/>
    <s v="20GP"/>
    <d v="2026-06-22T00:00:00"/>
    <n v="4"/>
    <m/>
    <d v="2026-06-26T00:00:00"/>
    <n v="90"/>
    <n v="60"/>
    <x v="2"/>
    <n v="5400"/>
    <x v="0"/>
  </r>
  <r>
    <n v="1033"/>
    <s v="CNTR101032"/>
    <x v="2"/>
    <s v="MSC Elena"/>
    <x v="1"/>
    <s v="40GP"/>
    <d v="2026-08-17T00:00:00"/>
    <n v="5"/>
    <d v="2026-08-21T00:00:00"/>
    <d v="2026-08-22T00:00:00"/>
    <n v="90"/>
    <n v="0"/>
    <x v="1"/>
    <s v="NA"/>
    <x v="1"/>
  </r>
  <r>
    <n v="1034"/>
    <s v="CNTR101033"/>
    <x v="3"/>
    <s v="ONE Kestrel"/>
    <x v="1"/>
    <s v="40RF"/>
    <d v="2026-06-05T00:00:00"/>
    <n v="4"/>
    <d v="2026-06-06T00:00:00"/>
    <d v="2026-06-09T00:00:00"/>
    <n v="150"/>
    <n v="0"/>
    <x v="1"/>
    <s v="NA"/>
    <x v="1"/>
  </r>
  <r>
    <n v="1035"/>
    <s v="CNTR101034"/>
    <x v="1"/>
    <s v="ONE Kestrel"/>
    <x v="4"/>
    <s v="40GP"/>
    <d v="2026-07-18T00:00:00"/>
    <n v="6"/>
    <d v="2026-07-25T00:00:00"/>
    <d v="2026-07-24T00:00:00"/>
    <n v="90"/>
    <n v="1"/>
    <x v="0"/>
    <n v="90"/>
    <x v="1"/>
  </r>
  <r>
    <n v="1036"/>
    <s v="CNTR101035"/>
    <x v="1"/>
    <s v="ZIM Voyager"/>
    <x v="3"/>
    <s v="40HC"/>
    <d v="2026-07-06T00:00:00"/>
    <n v="5"/>
    <d v="2026-07-11T00:00:00"/>
    <d v="2026-07-11T00:00:00"/>
    <n v="130"/>
    <n v="0"/>
    <x v="1"/>
    <s v="NA"/>
    <x v="1"/>
  </r>
  <r>
    <n v="1037"/>
    <s v="CNTR101036"/>
    <x v="3"/>
    <s v="Yang Ming Peak"/>
    <x v="9"/>
    <s v="40RF"/>
    <d v="2026-06-15T00:00:00"/>
    <n v="4"/>
    <d v="2026-06-16T00:00:00"/>
    <d v="2026-06-19T00:00:00"/>
    <n v="120"/>
    <n v="0"/>
    <x v="1"/>
    <s v="NA"/>
    <x v="1"/>
  </r>
  <r>
    <n v="1038"/>
    <s v="CNTR101037"/>
    <x v="3"/>
    <s v="COSCO Harmony"/>
    <x v="9"/>
    <s v="20GP"/>
    <d v="2026-07-04T00:00:00"/>
    <n v="6"/>
    <m/>
    <d v="2026-07-10T00:00:00"/>
    <n v="110"/>
    <n v="46"/>
    <x v="2"/>
    <n v="5060"/>
    <x v="0"/>
  </r>
  <r>
    <n v="1039"/>
    <s v="CNTR101038"/>
    <x v="3"/>
    <s v="MSC Elena"/>
    <x v="9"/>
    <s v="40GP"/>
    <d v="2026-07-22T00:00:00"/>
    <n v="7"/>
    <d v="2026-07-23T00:00:00"/>
    <d v="2026-07-29T00:00:00"/>
    <n v="110"/>
    <n v="0"/>
    <x v="1"/>
    <s v="NA"/>
    <x v="1"/>
  </r>
  <r>
    <n v="1040"/>
    <s v="CNTR101039"/>
    <x v="2"/>
    <s v="Hapag Lloyd Bern"/>
    <x v="5"/>
    <s v="40RF"/>
    <d v="2026-06-19T00:00:00"/>
    <n v="4"/>
    <m/>
    <d v="2026-06-23T00:00:00"/>
    <n v="180"/>
    <n v="63"/>
    <x v="2"/>
    <n v="11340"/>
    <x v="0"/>
  </r>
  <r>
    <n v="1041"/>
    <s v="CNTR101040"/>
    <x v="3"/>
    <s v="Maersk Kiel"/>
    <x v="9"/>
    <s v="40HC"/>
    <d v="2026-07-31T00:00:00"/>
    <n v="5"/>
    <m/>
    <d v="2026-08-05T00:00:00"/>
    <n v="90"/>
    <n v="20"/>
    <x v="2"/>
    <n v="1800"/>
    <x v="0"/>
  </r>
  <r>
    <n v="1042"/>
    <s v="CNTR101041"/>
    <x v="3"/>
    <s v="Evergreen Ace"/>
    <x v="0"/>
    <s v="40GP"/>
    <d v="2026-07-15T00:00:00"/>
    <n v="7"/>
    <d v="2026-07-20T00:00:00"/>
    <d v="2026-07-22T00:00:00"/>
    <n v="110"/>
    <n v="0"/>
    <x v="1"/>
    <s v="NA"/>
    <x v="1"/>
  </r>
  <r>
    <n v="1043"/>
    <s v="CNTR101042"/>
    <x v="0"/>
    <s v="Evergreen Ace"/>
    <x v="1"/>
    <s v="40RF"/>
    <d v="2026-06-11T00:00:00"/>
    <n v="4"/>
    <d v="2026-06-20T00:00:00"/>
    <d v="2026-06-15T00:00:00"/>
    <n v="180"/>
    <n v="5"/>
    <x v="0"/>
    <n v="900"/>
    <x v="1"/>
  </r>
  <r>
    <n v="1044"/>
    <s v="CNTR101043"/>
    <x v="2"/>
    <s v="Hapag Lloyd Bern"/>
    <x v="6"/>
    <s v="40HC"/>
    <d v="2026-08-10T00:00:00"/>
    <n v="6"/>
    <m/>
    <d v="2026-08-16T00:00:00"/>
    <n v="75"/>
    <n v="9"/>
    <x v="0"/>
    <n v="675"/>
    <x v="0"/>
  </r>
  <r>
    <n v="1045"/>
    <s v="CNTR101044"/>
    <x v="3"/>
    <s v="ONE Kestrel"/>
    <x v="1"/>
    <s v="40GP"/>
    <d v="2026-07-24T00:00:00"/>
    <n v="5"/>
    <d v="2026-07-26T00:00:00"/>
    <d v="2026-07-29T00:00:00"/>
    <n v="90"/>
    <n v="0"/>
    <x v="1"/>
    <s v="NA"/>
    <x v="1"/>
  </r>
  <r>
    <n v="1046"/>
    <s v="CNTR101045"/>
    <x v="1"/>
    <s v="CMA CGM Rhone"/>
    <x v="4"/>
    <s v="40RF"/>
    <d v="2026-06-08T00:00:00"/>
    <n v="4"/>
    <d v="2026-06-09T00:00:00"/>
    <d v="2026-06-12T00:00:00"/>
    <n v="180"/>
    <n v="0"/>
    <x v="1"/>
    <s v="NA"/>
    <x v="1"/>
  </r>
  <r>
    <n v="1047"/>
    <s v="CNTR101046"/>
    <x v="1"/>
    <s v="ONE Kestrel"/>
    <x v="4"/>
    <s v="40HC"/>
    <d v="2026-08-10T00:00:00"/>
    <n v="4"/>
    <m/>
    <d v="2026-08-14T00:00:00"/>
    <n v="60"/>
    <n v="11"/>
    <x v="2"/>
    <n v="660"/>
    <x v="0"/>
  </r>
  <r>
    <n v="1048"/>
    <s v="CNTR101047"/>
    <x v="0"/>
    <s v="Evergreen Ace"/>
    <x v="5"/>
    <s v="40HC"/>
    <d v="2026-08-22T00:00:00"/>
    <n v="5"/>
    <d v="2026-08-25T00:00:00"/>
    <d v="2026-08-27T00:00:00"/>
    <n v="75"/>
    <n v="0"/>
    <x v="1"/>
    <s v="NA"/>
    <x v="1"/>
  </r>
  <r>
    <n v="1049"/>
    <s v="CNTR101048"/>
    <x v="0"/>
    <s v="Yang Ming Peak"/>
    <x v="3"/>
    <s v="40RF"/>
    <d v="2026-08-21T00:00:00"/>
    <n v="3"/>
    <m/>
    <d v="2026-08-24T00:00:00"/>
    <n v="150"/>
    <n v="1"/>
    <x v="0"/>
    <n v="150"/>
    <x v="0"/>
  </r>
  <r>
    <n v="1050"/>
    <s v="CNTR101049"/>
    <x v="0"/>
    <s v="ZIM Voyager"/>
    <x v="8"/>
    <s v="40HC"/>
    <d v="2026-06-30T00:00:00"/>
    <n v="5"/>
    <d v="2026-07-08T00:00:00"/>
    <d v="2026-07-05T00:00:00"/>
    <n v="75"/>
    <n v="3"/>
    <x v="0"/>
    <n v="225"/>
    <x v="1"/>
  </r>
  <r>
    <n v="1051"/>
    <s v="CNTR101050"/>
    <x v="2"/>
    <s v="Evergreen Ace"/>
    <x v="1"/>
    <s v="20GP"/>
    <d v="2026-07-20T00:00:00"/>
    <n v="6"/>
    <d v="2026-07-28T00:00:00"/>
    <d v="2026-07-26T00:00:00"/>
    <n v="130"/>
    <n v="2"/>
    <x v="0"/>
    <n v="260"/>
    <x v="1"/>
  </r>
  <r>
    <n v="1052"/>
    <s v="CNTR101051"/>
    <x v="0"/>
    <s v="MSC Elena"/>
    <x v="6"/>
    <s v="40GP"/>
    <d v="2026-06-03T00:00:00"/>
    <n v="5"/>
    <d v="2026-06-05T00:00:00"/>
    <d v="2026-06-08T00:00:00"/>
    <n v="90"/>
    <n v="0"/>
    <x v="1"/>
    <s v="NA"/>
    <x v="1"/>
  </r>
  <r>
    <n v="1053"/>
    <s v="CNTR101052"/>
    <x v="1"/>
    <s v="CMA CGM Rhone"/>
    <x v="3"/>
    <s v="40RF"/>
    <d v="2026-06-19T00:00:00"/>
    <n v="4"/>
    <m/>
    <d v="2026-06-23T00:00:00"/>
    <n v="120"/>
    <n v="63"/>
    <x v="2"/>
    <n v="7560"/>
    <x v="0"/>
  </r>
  <r>
    <n v="1054"/>
    <s v="CNTR101053"/>
    <x v="0"/>
    <s v="OOCL Bergen"/>
    <x v="7"/>
    <s v="40GP"/>
    <d v="2026-07-28T00:00:00"/>
    <n v="5"/>
    <m/>
    <d v="2026-08-02T00:00:00"/>
    <n v="60"/>
    <n v="23"/>
    <x v="2"/>
    <n v="1380"/>
    <x v="0"/>
  </r>
  <r>
    <n v="1055"/>
    <s v="CNTR101054"/>
    <x v="2"/>
    <s v="ONE Kestrel"/>
    <x v="6"/>
    <s v="40RF"/>
    <d v="2026-07-15T00:00:00"/>
    <n v="4"/>
    <d v="2026-07-24T00:00:00"/>
    <d v="2026-07-19T00:00:00"/>
    <n v="180"/>
    <n v="5"/>
    <x v="0"/>
    <n v="900"/>
    <x v="1"/>
  </r>
  <r>
    <n v="1056"/>
    <s v="CNTR101055"/>
    <x v="1"/>
    <s v="Hapag Lloyd Bern"/>
    <x v="2"/>
    <s v="40HC"/>
    <d v="2026-08-19T00:00:00"/>
    <n v="5"/>
    <d v="2026-08-25T00:00:00"/>
    <d v="2026-08-24T00:00:00"/>
    <n v="110"/>
    <n v="1"/>
    <x v="0"/>
    <n v="110"/>
    <x v="1"/>
  </r>
  <r>
    <n v="1057"/>
    <s v="CNTR101056"/>
    <x v="1"/>
    <s v="COSCO Harmony"/>
    <x v="1"/>
    <s v="20GP"/>
    <d v="2026-08-07T00:00:00"/>
    <n v="5"/>
    <d v="2026-08-08T00:00:00"/>
    <d v="2026-08-12T00:00:00"/>
    <n v="75"/>
    <n v="0"/>
    <x v="1"/>
    <s v="NA"/>
    <x v="1"/>
  </r>
  <r>
    <n v="1058"/>
    <s v="CNTR101057"/>
    <x v="3"/>
    <s v="ZIM Voyager"/>
    <x v="6"/>
    <s v="40RF"/>
    <d v="2026-06-19T00:00:00"/>
    <n v="3"/>
    <m/>
    <d v="2026-06-22T00:00:00"/>
    <n v="150"/>
    <n v="64"/>
    <x v="2"/>
    <n v="9600"/>
    <x v="0"/>
  </r>
  <r>
    <n v="1059"/>
    <s v="CNTR101058"/>
    <x v="1"/>
    <s v="OOCL Bergen"/>
    <x v="4"/>
    <s v="20GP"/>
    <d v="2026-07-28T00:00:00"/>
    <n v="4"/>
    <d v="2026-07-31T00:00:00"/>
    <d v="2026-08-01T00:00:00"/>
    <n v="60"/>
    <n v="0"/>
    <x v="1"/>
    <s v="NA"/>
    <x v="1"/>
  </r>
  <r>
    <n v="1060"/>
    <s v="CNTR101059"/>
    <x v="2"/>
    <s v="OOCL Bergen"/>
    <x v="7"/>
    <s v="40RF"/>
    <d v="2026-08-02T00:00:00"/>
    <n v="4"/>
    <d v="2026-08-03T00:00:00"/>
    <d v="2026-08-06T00:00:00"/>
    <n v="180"/>
    <n v="0"/>
    <x v="1"/>
    <s v="NA"/>
    <x v="1"/>
  </r>
  <r>
    <n v="1061"/>
    <s v="CNTR101060"/>
    <x v="0"/>
    <s v="Yang Ming Peak"/>
    <x v="7"/>
    <s v="40RF"/>
    <d v="2026-07-08T00:00:00"/>
    <n v="4"/>
    <d v="2026-07-09T00:00:00"/>
    <d v="2026-07-12T00:00:00"/>
    <n v="180"/>
    <n v="0"/>
    <x v="1"/>
    <s v="NA"/>
    <x v="1"/>
  </r>
  <r>
    <n v="1062"/>
    <s v="CNTR101061"/>
    <x v="3"/>
    <s v="Evergreen Ace"/>
    <x v="4"/>
    <s v="20GP"/>
    <d v="2026-08-09T00:00:00"/>
    <n v="5"/>
    <d v="2026-08-16T00:00:00"/>
    <d v="2026-08-14T00:00:00"/>
    <n v="130"/>
    <n v="2"/>
    <x v="0"/>
    <n v="260"/>
    <x v="1"/>
  </r>
  <r>
    <n v="1063"/>
    <s v="CNTR101062"/>
    <x v="2"/>
    <s v="Hapag Lloyd Bern"/>
    <x v="8"/>
    <s v="40RF"/>
    <d v="2026-06-02T00:00:00"/>
    <n v="4"/>
    <d v="2026-06-03T00:00:00"/>
    <d v="2026-06-06T00:00:00"/>
    <n v="120"/>
    <n v="0"/>
    <x v="1"/>
    <s v="NA"/>
    <x v="1"/>
  </r>
  <r>
    <n v="1064"/>
    <s v="CNTR101063"/>
    <x v="1"/>
    <s v="MSC Elena"/>
    <x v="1"/>
    <s v="40RF"/>
    <d v="2026-06-08T00:00:00"/>
    <n v="3"/>
    <d v="2026-06-11T00:00:00"/>
    <d v="2026-06-11T00:00:00"/>
    <n v="180"/>
    <n v="0"/>
    <x v="1"/>
    <s v="NA"/>
    <x v="1"/>
  </r>
  <r>
    <n v="1065"/>
    <s v="CNTR101064"/>
    <x v="3"/>
    <s v="CMA CGM Rhone"/>
    <x v="3"/>
    <s v="40HC"/>
    <d v="2026-05-30T00:00:00"/>
    <n v="6"/>
    <d v="2026-06-05T00:00:00"/>
    <d v="2026-06-05T00:00:00"/>
    <n v="60"/>
    <n v="0"/>
    <x v="1"/>
    <s v="NA"/>
    <x v="1"/>
  </r>
  <r>
    <n v="1066"/>
    <s v="CNTR101065"/>
    <x v="0"/>
    <s v="COSCO Harmony"/>
    <x v="6"/>
    <s v="40RF"/>
    <d v="2026-06-26T00:00:00"/>
    <n v="3"/>
    <d v="2026-06-28T00:00:00"/>
    <d v="2026-06-29T00:00:00"/>
    <n v="180"/>
    <n v="0"/>
    <x v="1"/>
    <s v="NA"/>
    <x v="1"/>
  </r>
  <r>
    <n v="1067"/>
    <s v="CNTR101066"/>
    <x v="2"/>
    <s v="CMA CGM Rhone"/>
    <x v="9"/>
    <s v="40RF"/>
    <d v="2026-07-10T00:00:00"/>
    <n v="4"/>
    <m/>
    <d v="2026-07-14T00:00:00"/>
    <n v="120"/>
    <n v="42"/>
    <x v="2"/>
    <n v="5040"/>
    <x v="0"/>
  </r>
  <r>
    <n v="1068"/>
    <s v="CNTR101067"/>
    <x v="3"/>
    <s v="ONE Kestrel"/>
    <x v="4"/>
    <s v="40GP"/>
    <d v="2026-06-24T00:00:00"/>
    <n v="5"/>
    <d v="2026-06-27T00:00:00"/>
    <d v="2026-06-29T00:00:00"/>
    <n v="75"/>
    <n v="0"/>
    <x v="1"/>
    <s v="NA"/>
    <x v="1"/>
  </r>
  <r>
    <n v="1069"/>
    <s v="CNTR101068"/>
    <x v="3"/>
    <s v="ONE Kestrel"/>
    <x v="2"/>
    <s v="40GP"/>
    <d v="2026-06-28T00:00:00"/>
    <n v="6"/>
    <d v="2026-07-06T00:00:00"/>
    <d v="2026-07-04T00:00:00"/>
    <n v="110"/>
    <n v="2"/>
    <x v="0"/>
    <n v="220"/>
    <x v="1"/>
  </r>
  <r>
    <n v="1070"/>
    <s v="CNTR101069"/>
    <x v="2"/>
    <s v="OOCL Bergen"/>
    <x v="4"/>
    <s v="40RF"/>
    <d v="2026-06-25T00:00:00"/>
    <n v="4"/>
    <d v="2026-06-26T00:00:00"/>
    <d v="2026-06-29T00:00:00"/>
    <n v="180"/>
    <n v="0"/>
    <x v="1"/>
    <s v="NA"/>
    <x v="1"/>
  </r>
  <r>
    <n v="1071"/>
    <s v="CNTR101070"/>
    <x v="2"/>
    <s v="MSC Elena"/>
    <x v="1"/>
    <s v="40HC"/>
    <d v="2026-07-19T00:00:00"/>
    <n v="7"/>
    <m/>
    <d v="2026-07-26T00:00:00"/>
    <n v="75"/>
    <n v="30"/>
    <x v="2"/>
    <n v="2250"/>
    <x v="0"/>
  </r>
  <r>
    <n v="1072"/>
    <s v="CNTR101071"/>
    <x v="3"/>
    <s v="CMA CGM Rhone"/>
    <x v="6"/>
    <s v="40GP"/>
    <d v="2026-07-10T00:00:00"/>
    <n v="5"/>
    <d v="2026-07-16T00:00:00"/>
    <d v="2026-07-15T00:00:00"/>
    <n v="90"/>
    <n v="1"/>
    <x v="0"/>
    <n v="90"/>
    <x v="1"/>
  </r>
  <r>
    <n v="1073"/>
    <s v="CNTR101072"/>
    <x v="0"/>
    <s v="Maersk Kiel"/>
    <x v="8"/>
    <s v="40GP"/>
    <d v="2026-06-29T00:00:00"/>
    <n v="7"/>
    <m/>
    <d v="2026-07-06T00:00:00"/>
    <n v="130"/>
    <n v="50"/>
    <x v="2"/>
    <n v="6500"/>
    <x v="0"/>
  </r>
  <r>
    <n v="1074"/>
    <s v="CNTR101073"/>
    <x v="1"/>
    <s v="CMA CGM Rhone"/>
    <x v="9"/>
    <s v="20GP"/>
    <d v="2026-06-03T00:00:00"/>
    <n v="7"/>
    <m/>
    <d v="2026-06-10T00:00:00"/>
    <n v="130"/>
    <n v="76"/>
    <x v="2"/>
    <n v="9880"/>
    <x v="0"/>
  </r>
  <r>
    <n v="1075"/>
    <s v="CNTR101074"/>
    <x v="2"/>
    <s v="Evergreen Ace"/>
    <x v="9"/>
    <s v="40GP"/>
    <d v="2026-06-08T00:00:00"/>
    <n v="7"/>
    <m/>
    <d v="2026-06-15T00:00:00"/>
    <n v="75"/>
    <n v="71"/>
    <x v="2"/>
    <n v="5325"/>
    <x v="0"/>
  </r>
  <r>
    <n v="1076"/>
    <s v="CNTR101075"/>
    <x v="1"/>
    <s v="Maersk Kiel"/>
    <x v="6"/>
    <s v="40RF"/>
    <d v="2026-08-20T00:00:00"/>
    <n v="4"/>
    <d v="2026-08-25T00:00:00"/>
    <d v="2026-08-24T00:00:00"/>
    <n v="180"/>
    <n v="1"/>
    <x v="0"/>
    <n v="180"/>
    <x v="1"/>
  </r>
  <r>
    <n v="1077"/>
    <s v="CNTR101076"/>
    <x v="1"/>
    <s v="COSCO Harmony"/>
    <x v="8"/>
    <s v="20GP"/>
    <d v="2026-06-06T00:00:00"/>
    <n v="6"/>
    <m/>
    <d v="2026-06-12T00:00:00"/>
    <n v="60"/>
    <n v="74"/>
    <x v="2"/>
    <n v="4440"/>
    <x v="0"/>
  </r>
  <r>
    <n v="1078"/>
    <s v="CNTR101077"/>
    <x v="3"/>
    <s v="Maersk Kiel"/>
    <x v="4"/>
    <s v="40GP"/>
    <d v="2026-08-23T00:00:00"/>
    <n v="5"/>
    <d v="2026-08-25T00:00:00"/>
    <d v="2026-08-28T00:00:00"/>
    <n v="130"/>
    <n v="0"/>
    <x v="1"/>
    <s v="NA"/>
    <x v="1"/>
  </r>
  <r>
    <n v="1079"/>
    <s v="CNTR101078"/>
    <x v="1"/>
    <s v="Maersk Kiel"/>
    <x v="1"/>
    <s v="20GP"/>
    <d v="2026-08-20T00:00:00"/>
    <n v="4"/>
    <m/>
    <d v="2026-08-24T00:00:00"/>
    <n v="90"/>
    <n v="1"/>
    <x v="0"/>
    <n v="90"/>
    <x v="0"/>
  </r>
  <r>
    <n v="1080"/>
    <s v="CNTR101079"/>
    <x v="1"/>
    <s v="CMA CGM Rhone"/>
    <x v="1"/>
    <s v="40HC"/>
    <d v="2026-07-15T00:00:00"/>
    <n v="4"/>
    <d v="2026-07-16T00:00:00"/>
    <d v="2026-07-19T00:00:00"/>
    <n v="75"/>
    <n v="0"/>
    <x v="1"/>
    <s v="NA"/>
    <x v="1"/>
  </r>
  <r>
    <n v="1081"/>
    <s v="CNTR101080"/>
    <x v="0"/>
    <s v="Yang Ming Peak"/>
    <x v="6"/>
    <s v="40RF"/>
    <d v="2026-06-20T00:00:00"/>
    <n v="3"/>
    <m/>
    <d v="2026-06-23T00:00:00"/>
    <n v="120"/>
    <n v="63"/>
    <x v="2"/>
    <n v="7560"/>
    <x v="0"/>
  </r>
  <r>
    <n v="1082"/>
    <s v="CNTR101081"/>
    <x v="3"/>
    <s v="ZIM Voyager"/>
    <x v="9"/>
    <s v="40GP"/>
    <d v="2026-08-03T00:00:00"/>
    <n v="5"/>
    <d v="2026-08-08T00:00:00"/>
    <d v="2026-08-08T00:00:00"/>
    <n v="130"/>
    <n v="0"/>
    <x v="1"/>
    <s v="NA"/>
    <x v="1"/>
  </r>
  <r>
    <n v="1083"/>
    <s v="CNTR101082"/>
    <x v="1"/>
    <s v="ONE Kestrel"/>
    <x v="6"/>
    <s v="40HC"/>
    <d v="2026-06-12T00:00:00"/>
    <n v="5"/>
    <m/>
    <d v="2026-06-17T00:00:00"/>
    <n v="90"/>
    <n v="69"/>
    <x v="2"/>
    <n v="6210"/>
    <x v="0"/>
  </r>
  <r>
    <n v="1084"/>
    <s v="CNTR101083"/>
    <x v="0"/>
    <s v="OOCL Bergen"/>
    <x v="0"/>
    <s v="40HC"/>
    <d v="2026-08-07T00:00:00"/>
    <n v="5"/>
    <d v="2026-08-14T00:00:00"/>
    <d v="2026-08-12T00:00:00"/>
    <n v="60"/>
    <n v="2"/>
    <x v="0"/>
    <n v="120"/>
    <x v="1"/>
  </r>
  <r>
    <n v="1085"/>
    <s v="CNTR101084"/>
    <x v="3"/>
    <s v="COSCO Harmony"/>
    <x v="8"/>
    <s v="20GP"/>
    <d v="2026-07-13T00:00:00"/>
    <n v="4"/>
    <d v="2026-07-14T00:00:00"/>
    <d v="2026-07-17T00:00:00"/>
    <n v="60"/>
    <n v="0"/>
    <x v="1"/>
    <s v="NA"/>
    <x v="1"/>
  </r>
  <r>
    <n v="1086"/>
    <s v="CNTR101085"/>
    <x v="3"/>
    <s v="Evergreen Ace"/>
    <x v="2"/>
    <s v="40HC"/>
    <d v="2026-06-23T00:00:00"/>
    <n v="5"/>
    <m/>
    <d v="2026-06-28T00:00:00"/>
    <n v="110"/>
    <n v="58"/>
    <x v="2"/>
    <n v="6380"/>
    <x v="0"/>
  </r>
  <r>
    <n v="1087"/>
    <s v="CNTR101086"/>
    <x v="0"/>
    <s v="MSC Elena"/>
    <x v="8"/>
    <s v="40HC"/>
    <d v="2026-06-15T00:00:00"/>
    <n v="4"/>
    <d v="2026-06-19T00:00:00"/>
    <d v="2026-06-19T00:00:00"/>
    <n v="60"/>
    <n v="0"/>
    <x v="1"/>
    <s v="NA"/>
    <x v="1"/>
  </r>
  <r>
    <n v="1088"/>
    <s v="CNTR101087"/>
    <x v="2"/>
    <s v="Yang Ming Peak"/>
    <x v="8"/>
    <s v="40RF"/>
    <d v="2026-08-15T00:00:00"/>
    <n v="3"/>
    <d v="2026-08-20T00:00:00"/>
    <d v="2026-08-18T00:00:00"/>
    <n v="180"/>
    <n v="2"/>
    <x v="0"/>
    <n v="360"/>
    <x v="1"/>
  </r>
  <r>
    <n v="1089"/>
    <s v="CNTR101088"/>
    <x v="1"/>
    <s v="Hapag Lloyd Bern"/>
    <x v="7"/>
    <s v="20GP"/>
    <d v="2026-07-23T00:00:00"/>
    <n v="5"/>
    <m/>
    <d v="2026-07-28T00:00:00"/>
    <n v="130"/>
    <n v="28"/>
    <x v="2"/>
    <n v="3640"/>
    <x v="0"/>
  </r>
  <r>
    <n v="1090"/>
    <s v="CNTR101089"/>
    <x v="3"/>
    <s v="Yang Ming Peak"/>
    <x v="0"/>
    <s v="40HC"/>
    <d v="2026-06-12T00:00:00"/>
    <n v="5"/>
    <d v="2026-06-14T00:00:00"/>
    <d v="2026-06-17T00:00:00"/>
    <n v="110"/>
    <n v="0"/>
    <x v="1"/>
    <s v="NA"/>
    <x v="1"/>
  </r>
  <r>
    <n v="1091"/>
    <s v="CNTR101090"/>
    <x v="2"/>
    <s v="COSCO Harmony"/>
    <x v="9"/>
    <s v="40GP"/>
    <d v="2026-07-22T00:00:00"/>
    <n v="6"/>
    <d v="2026-07-31T00:00:00"/>
    <d v="2026-07-28T00:00:00"/>
    <n v="60"/>
    <n v="3"/>
    <x v="0"/>
    <n v="180"/>
    <x v="1"/>
  </r>
  <r>
    <n v="1092"/>
    <s v="CNTR101091"/>
    <x v="3"/>
    <s v="COSCO Harmony"/>
    <x v="7"/>
    <s v="40RF"/>
    <d v="2026-07-18T00:00:00"/>
    <n v="4"/>
    <m/>
    <d v="2026-07-22T00:00:00"/>
    <n v="150"/>
    <n v="34"/>
    <x v="2"/>
    <n v="5100"/>
    <x v="0"/>
  </r>
  <r>
    <n v="1093"/>
    <s v="CNTR101092"/>
    <x v="1"/>
    <s v="CMA CGM Rhone"/>
    <x v="8"/>
    <s v="40HC"/>
    <d v="2026-06-27T00:00:00"/>
    <n v="5"/>
    <m/>
    <d v="2026-07-02T00:00:00"/>
    <n v="130"/>
    <n v="54"/>
    <x v="2"/>
    <n v="7020"/>
    <x v="0"/>
  </r>
  <r>
    <n v="1094"/>
    <s v="CNTR101093"/>
    <x v="2"/>
    <s v="Maersk Kiel"/>
    <x v="8"/>
    <s v="40RF"/>
    <d v="2026-07-08T00:00:00"/>
    <n v="4"/>
    <d v="2026-07-09T00:00:00"/>
    <d v="2026-07-12T00:00:00"/>
    <n v="180"/>
    <n v="0"/>
    <x v="1"/>
    <s v="NA"/>
    <x v="1"/>
  </r>
  <r>
    <n v="1095"/>
    <s v="CNTR101094"/>
    <x v="0"/>
    <s v="MSC Elena"/>
    <x v="6"/>
    <s v="20GP"/>
    <d v="2026-08-24T00:00:00"/>
    <n v="5"/>
    <d v="2026-08-25T00:00:00"/>
    <d v="2026-08-29T00:00:00"/>
    <n v="130"/>
    <n v="0"/>
    <x v="1"/>
    <s v="NA"/>
    <x v="1"/>
  </r>
  <r>
    <n v="1096"/>
    <s v="CNTR101095"/>
    <x v="3"/>
    <s v="ONE Kestrel"/>
    <x v="9"/>
    <s v="20GP"/>
    <d v="2026-08-19T00:00:00"/>
    <n v="4"/>
    <d v="2026-08-25T00:00:00"/>
    <d v="2026-08-23T00:00:00"/>
    <n v="90"/>
    <n v="2"/>
    <x v="0"/>
    <n v="180"/>
    <x v="1"/>
  </r>
  <r>
    <n v="1097"/>
    <s v="CNTR101096"/>
    <x v="3"/>
    <s v="Maersk Kiel"/>
    <x v="5"/>
    <s v="40RF"/>
    <d v="2026-06-13T00:00:00"/>
    <n v="3"/>
    <m/>
    <d v="2026-06-16T00:00:00"/>
    <n v="120"/>
    <n v="70"/>
    <x v="2"/>
    <n v="8400"/>
    <x v="0"/>
  </r>
  <r>
    <n v="1098"/>
    <s v="CNTR101097"/>
    <x v="2"/>
    <s v="CMA CGM Rhone"/>
    <x v="7"/>
    <s v="20GP"/>
    <d v="2026-08-10T00:00:00"/>
    <n v="6"/>
    <d v="2026-08-15T00:00:00"/>
    <d v="2026-08-16T00:00:00"/>
    <n v="90"/>
    <n v="0"/>
    <x v="1"/>
    <s v="NA"/>
    <x v="1"/>
  </r>
  <r>
    <n v="1099"/>
    <s v="CNTR101098"/>
    <x v="0"/>
    <s v="COSCO Harmony"/>
    <x v="2"/>
    <s v="20GP"/>
    <d v="2026-06-07T00:00:00"/>
    <n v="7"/>
    <d v="2026-06-20T00:00:00"/>
    <d v="2026-06-14T00:00:00"/>
    <n v="130"/>
    <n v="6"/>
    <x v="0"/>
    <n v="780"/>
    <x v="1"/>
  </r>
  <r>
    <n v="1100"/>
    <s v="CNTR101099"/>
    <x v="0"/>
    <s v="Evergreen Ace"/>
    <x v="8"/>
    <s v="40RF"/>
    <d v="2026-07-15T00:00:00"/>
    <n v="4"/>
    <d v="2026-07-19T00:00:00"/>
    <d v="2026-07-19T00:00:00"/>
    <n v="180"/>
    <n v="0"/>
    <x v="1"/>
    <s v="NA"/>
    <x v="1"/>
  </r>
  <r>
    <n v="1101"/>
    <s v="CNTR101100"/>
    <x v="1"/>
    <s v="Evergreen Ace"/>
    <x v="2"/>
    <s v="40HC"/>
    <d v="2026-07-10T00:00:00"/>
    <n v="4"/>
    <m/>
    <d v="2026-07-14T00:00:00"/>
    <n v="90"/>
    <n v="42"/>
    <x v="2"/>
    <n v="3780"/>
    <x v="0"/>
  </r>
  <r>
    <n v="1102"/>
    <s v="CNTR101101"/>
    <x v="2"/>
    <s v="ONE Kestrel"/>
    <x v="4"/>
    <s v="40GP"/>
    <d v="2026-06-17T00:00:00"/>
    <n v="7"/>
    <d v="2026-06-21T00:00:00"/>
    <d v="2026-06-24T00:00:00"/>
    <n v="110"/>
    <n v="0"/>
    <x v="1"/>
    <s v="NA"/>
    <x v="1"/>
  </r>
  <r>
    <n v="1103"/>
    <s v="CNTR101102"/>
    <x v="0"/>
    <s v="Evergreen Ace"/>
    <x v="8"/>
    <s v="40GP"/>
    <d v="2026-06-04T00:00:00"/>
    <n v="4"/>
    <d v="2026-06-10T00:00:00"/>
    <d v="2026-06-08T00:00:00"/>
    <n v="90"/>
    <n v="2"/>
    <x v="0"/>
    <n v="180"/>
    <x v="1"/>
  </r>
  <r>
    <n v="1104"/>
    <s v="CNTR101103"/>
    <x v="1"/>
    <s v="COSCO Harmony"/>
    <x v="5"/>
    <s v="40HC"/>
    <d v="2026-07-17T00:00:00"/>
    <n v="6"/>
    <m/>
    <d v="2026-07-23T00:00:00"/>
    <n v="75"/>
    <n v="33"/>
    <x v="2"/>
    <n v="2475"/>
    <x v="0"/>
  </r>
  <r>
    <n v="1105"/>
    <s v="CNTR101104"/>
    <x v="3"/>
    <s v="COSCO Harmony"/>
    <x v="7"/>
    <s v="40HC"/>
    <d v="2026-06-25T00:00:00"/>
    <n v="7"/>
    <d v="2026-07-02T00:00:00"/>
    <d v="2026-07-02T00:00:00"/>
    <n v="75"/>
    <n v="0"/>
    <x v="1"/>
    <s v="NA"/>
    <x v="1"/>
  </r>
  <r>
    <n v="1106"/>
    <s v="CNTR101105"/>
    <x v="1"/>
    <s v="COSCO Harmony"/>
    <x v="5"/>
    <s v="20GP"/>
    <d v="2026-08-07T00:00:00"/>
    <n v="4"/>
    <d v="2026-08-16T00:00:00"/>
    <d v="2026-08-11T00:00:00"/>
    <n v="130"/>
    <n v="5"/>
    <x v="0"/>
    <n v="650"/>
    <x v="1"/>
  </r>
  <r>
    <n v="1107"/>
    <s v="CNTR101106"/>
    <x v="1"/>
    <s v="ZIM Voyager"/>
    <x v="4"/>
    <s v="40GP"/>
    <d v="2026-06-02T00:00:00"/>
    <n v="7"/>
    <m/>
    <d v="2026-06-09T00:00:00"/>
    <n v="110"/>
    <n v="77"/>
    <x v="2"/>
    <n v="8470"/>
    <x v="0"/>
  </r>
  <r>
    <n v="1108"/>
    <s v="CNTR101107"/>
    <x v="1"/>
    <s v="Yang Ming Peak"/>
    <x v="7"/>
    <s v="20GP"/>
    <d v="2026-07-09T00:00:00"/>
    <n v="5"/>
    <m/>
    <d v="2026-07-14T00:00:00"/>
    <n v="60"/>
    <n v="42"/>
    <x v="2"/>
    <n v="2520"/>
    <x v="0"/>
  </r>
  <r>
    <n v="1109"/>
    <s v="CNTR101108"/>
    <x v="1"/>
    <s v="Hapag Lloyd Bern"/>
    <x v="3"/>
    <s v="40HC"/>
    <d v="2026-05-30T00:00:00"/>
    <n v="6"/>
    <m/>
    <d v="2026-06-05T00:00:00"/>
    <n v="110"/>
    <n v="81"/>
    <x v="2"/>
    <n v="8910"/>
    <x v="0"/>
  </r>
  <r>
    <n v="1110"/>
    <s v="CNTR101109"/>
    <x v="3"/>
    <s v="Hapag Lloyd Bern"/>
    <x v="2"/>
    <s v="40GP"/>
    <d v="2026-08-17T00:00:00"/>
    <n v="5"/>
    <d v="2026-08-18T00:00:00"/>
    <d v="2026-08-22T00:00:00"/>
    <n v="130"/>
    <n v="0"/>
    <x v="1"/>
    <s v="NA"/>
    <x v="1"/>
  </r>
  <r>
    <n v="1111"/>
    <s v="CNTR101110"/>
    <x v="3"/>
    <s v="ZIM Voyager"/>
    <x v="2"/>
    <s v="40RF"/>
    <d v="2026-06-15T00:00:00"/>
    <n v="4"/>
    <m/>
    <d v="2026-06-19T00:00:00"/>
    <n v="120"/>
    <n v="67"/>
    <x v="2"/>
    <n v="8040"/>
    <x v="0"/>
  </r>
  <r>
    <n v="1112"/>
    <s v="CNTR101111"/>
    <x v="3"/>
    <s v="Yang Ming Peak"/>
    <x v="7"/>
    <s v="40RF"/>
    <d v="2026-06-19T00:00:00"/>
    <n v="4"/>
    <d v="2026-06-22T00:00:00"/>
    <d v="2026-06-23T00:00:00"/>
    <n v="180"/>
    <n v="0"/>
    <x v="1"/>
    <s v="NA"/>
    <x v="1"/>
  </r>
  <r>
    <n v="1113"/>
    <s v="CNTR101112"/>
    <x v="1"/>
    <s v="Yang Ming Peak"/>
    <x v="9"/>
    <s v="40RF"/>
    <d v="2026-08-24T00:00:00"/>
    <n v="4"/>
    <m/>
    <d v="2026-08-28T00:00:00"/>
    <n v="120"/>
    <n v="0"/>
    <x v="1"/>
    <s v="NA"/>
    <x v="0"/>
  </r>
  <r>
    <n v="1114"/>
    <s v="CNTR101113"/>
    <x v="2"/>
    <s v="CMA CGM Rhone"/>
    <x v="8"/>
    <s v="40RF"/>
    <d v="2026-07-15T00:00:00"/>
    <n v="4"/>
    <d v="2026-07-16T00:00:00"/>
    <d v="2026-07-19T00:00:00"/>
    <n v="150"/>
    <n v="0"/>
    <x v="1"/>
    <s v="NA"/>
    <x v="1"/>
  </r>
  <r>
    <n v="1115"/>
    <s v="CNTR101114"/>
    <x v="0"/>
    <s v="Yang Ming Peak"/>
    <x v="1"/>
    <s v="40HC"/>
    <d v="2026-07-08T00:00:00"/>
    <n v="7"/>
    <d v="2026-07-17T00:00:00"/>
    <d v="2026-07-15T00:00:00"/>
    <n v="90"/>
    <n v="2"/>
    <x v="0"/>
    <n v="180"/>
    <x v="1"/>
  </r>
  <r>
    <n v="1116"/>
    <s v="CNTR101115"/>
    <x v="2"/>
    <s v="COSCO Harmony"/>
    <x v="6"/>
    <s v="40HC"/>
    <d v="2026-05-28T00:00:00"/>
    <n v="5"/>
    <d v="2026-05-31T00:00:00"/>
    <d v="2026-06-02T00:00:00"/>
    <n v="130"/>
    <n v="0"/>
    <x v="1"/>
    <s v="NA"/>
    <x v="1"/>
  </r>
  <r>
    <n v="1117"/>
    <s v="CNTR101116"/>
    <x v="2"/>
    <s v="Yang Ming Peak"/>
    <x v="5"/>
    <s v="40HC"/>
    <d v="2026-06-26T00:00:00"/>
    <n v="6"/>
    <d v="2026-07-07T00:00:00"/>
    <d v="2026-07-02T00:00:00"/>
    <n v="75"/>
    <n v="5"/>
    <x v="0"/>
    <n v="375"/>
    <x v="1"/>
  </r>
  <r>
    <n v="1118"/>
    <s v="CNTR101117"/>
    <x v="0"/>
    <s v="Maersk Kiel"/>
    <x v="7"/>
    <s v="20GP"/>
    <d v="2026-07-30T00:00:00"/>
    <n v="5"/>
    <d v="2026-07-31T00:00:00"/>
    <d v="2026-08-04T00:00:00"/>
    <n v="75"/>
    <n v="0"/>
    <x v="1"/>
    <s v="NA"/>
    <x v="1"/>
  </r>
  <r>
    <n v="1119"/>
    <s v="CNTR101118"/>
    <x v="2"/>
    <s v="Yang Ming Peak"/>
    <x v="3"/>
    <s v="40RF"/>
    <d v="2026-07-27T00:00:00"/>
    <n v="3"/>
    <d v="2026-08-02T00:00:00"/>
    <d v="2026-07-30T00:00:00"/>
    <n v="120"/>
    <n v="3"/>
    <x v="0"/>
    <n v="360"/>
    <x v="1"/>
  </r>
  <r>
    <n v="1120"/>
    <s v="CNTR101119"/>
    <x v="0"/>
    <s v="Evergreen Ace"/>
    <x v="1"/>
    <s v="40RF"/>
    <d v="2026-08-06T00:00:00"/>
    <n v="3"/>
    <d v="2026-08-09T00:00:00"/>
    <d v="2026-08-09T00:00:00"/>
    <n v="180"/>
    <n v="0"/>
    <x v="1"/>
    <s v="NA"/>
    <x v="1"/>
  </r>
  <r>
    <n v="1121"/>
    <s v="CNTR101120"/>
    <x v="1"/>
    <s v="COSCO Harmony"/>
    <x v="1"/>
    <s v="20GP"/>
    <d v="2026-08-14T00:00:00"/>
    <n v="5"/>
    <d v="2026-08-15T00:00:00"/>
    <d v="2026-08-19T00:00:00"/>
    <n v="130"/>
    <n v="0"/>
    <x v="1"/>
    <s v="NA"/>
    <x v="1"/>
  </r>
  <r>
    <n v="1122"/>
    <s v="CNTR101121"/>
    <x v="1"/>
    <s v="OOCL Bergen"/>
    <x v="3"/>
    <s v="40GP"/>
    <d v="2026-07-24T00:00:00"/>
    <n v="5"/>
    <m/>
    <d v="2026-07-29T00:00:00"/>
    <n v="130"/>
    <n v="27"/>
    <x v="2"/>
    <n v="3510"/>
    <x v="0"/>
  </r>
  <r>
    <n v="1123"/>
    <s v="CNTR101122"/>
    <x v="1"/>
    <s v="OOCL Bergen"/>
    <x v="1"/>
    <s v="40GP"/>
    <d v="2026-08-20T00:00:00"/>
    <n v="4"/>
    <m/>
    <d v="2026-08-24T00:00:00"/>
    <n v="60"/>
    <n v="1"/>
    <x v="0"/>
    <n v="60"/>
    <x v="0"/>
  </r>
  <r>
    <n v="1124"/>
    <s v="CNTR101123"/>
    <x v="3"/>
    <s v="Maersk Kiel"/>
    <x v="6"/>
    <s v="40RF"/>
    <d v="2026-06-06T00:00:00"/>
    <n v="4"/>
    <m/>
    <d v="2026-06-10T00:00:00"/>
    <n v="120"/>
    <n v="76"/>
    <x v="2"/>
    <n v="9120"/>
    <x v="0"/>
  </r>
  <r>
    <n v="1125"/>
    <s v="CNTR101124"/>
    <x v="0"/>
    <s v="ONE Kestrel"/>
    <x v="7"/>
    <s v="20GP"/>
    <d v="2026-08-12T00:00:00"/>
    <n v="7"/>
    <d v="2026-08-14T00:00:00"/>
    <d v="2026-08-19T00:00:00"/>
    <n v="130"/>
    <n v="0"/>
    <x v="1"/>
    <s v="NA"/>
    <x v="1"/>
  </r>
  <r>
    <n v="1126"/>
    <s v="CNTR101125"/>
    <x v="3"/>
    <s v="Hapag Lloyd Bern"/>
    <x v="8"/>
    <s v="40GP"/>
    <d v="2026-05-27T00:00:00"/>
    <n v="4"/>
    <m/>
    <d v="2026-05-31T00:00:00"/>
    <n v="60"/>
    <n v="86"/>
    <x v="2"/>
    <n v="5160"/>
    <x v="0"/>
  </r>
  <r>
    <n v="1127"/>
    <s v="CNTR101126"/>
    <x v="2"/>
    <s v="Evergreen Ace"/>
    <x v="3"/>
    <s v="20GP"/>
    <d v="2026-07-30T00:00:00"/>
    <n v="5"/>
    <m/>
    <d v="2026-08-04T00:00:00"/>
    <n v="90"/>
    <n v="21"/>
    <x v="2"/>
    <n v="1890"/>
    <x v="0"/>
  </r>
  <r>
    <n v="1128"/>
    <s v="CNTR101127"/>
    <x v="2"/>
    <s v="MSC Elena"/>
    <x v="3"/>
    <s v="40HC"/>
    <d v="2026-06-19T00:00:00"/>
    <n v="5"/>
    <d v="2026-06-29T00:00:00"/>
    <d v="2026-06-24T00:00:00"/>
    <n v="130"/>
    <n v="5"/>
    <x v="0"/>
    <n v="650"/>
    <x v="1"/>
  </r>
  <r>
    <n v="1129"/>
    <s v="CNTR101128"/>
    <x v="2"/>
    <s v="Yang Ming Peak"/>
    <x v="7"/>
    <s v="40GP"/>
    <d v="2026-06-15T00:00:00"/>
    <n v="6"/>
    <d v="2026-06-18T00:00:00"/>
    <d v="2026-06-21T00:00:00"/>
    <n v="90"/>
    <n v="0"/>
    <x v="1"/>
    <s v="NA"/>
    <x v="1"/>
  </r>
  <r>
    <n v="1130"/>
    <s v="CNTR101129"/>
    <x v="2"/>
    <s v="MSC Elena"/>
    <x v="1"/>
    <s v="40HC"/>
    <d v="2026-07-28T00:00:00"/>
    <n v="6"/>
    <m/>
    <d v="2026-08-03T00:00:00"/>
    <n v="130"/>
    <n v="22"/>
    <x v="2"/>
    <n v="2860"/>
    <x v="0"/>
  </r>
  <r>
    <n v="1131"/>
    <s v="CNTR101130"/>
    <x v="3"/>
    <s v="CMA CGM Rhone"/>
    <x v="9"/>
    <s v="40GP"/>
    <d v="2026-08-12T00:00:00"/>
    <n v="6"/>
    <d v="2026-08-23T00:00:00"/>
    <d v="2026-08-18T00:00:00"/>
    <n v="110"/>
    <n v="5"/>
    <x v="0"/>
    <n v="550"/>
    <x v="1"/>
  </r>
  <r>
    <n v="1132"/>
    <s v="CNTR101131"/>
    <x v="1"/>
    <s v="ONE Kestrel"/>
    <x v="6"/>
    <s v="20GP"/>
    <d v="2026-06-12T00:00:00"/>
    <n v="5"/>
    <d v="2026-06-13T00:00:00"/>
    <d v="2026-06-17T00:00:00"/>
    <n v="90"/>
    <n v="0"/>
    <x v="1"/>
    <s v="NA"/>
    <x v="1"/>
  </r>
  <r>
    <n v="1133"/>
    <s v="CNTR101132"/>
    <x v="3"/>
    <s v="COSCO Harmony"/>
    <x v="2"/>
    <s v="40GP"/>
    <d v="2026-08-06T00:00:00"/>
    <n v="7"/>
    <d v="2026-08-19T00:00:00"/>
    <d v="2026-08-13T00:00:00"/>
    <n v="90"/>
    <n v="6"/>
    <x v="0"/>
    <n v="540"/>
    <x v="1"/>
  </r>
  <r>
    <n v="1134"/>
    <s v="CNTR101133"/>
    <x v="0"/>
    <s v="Yang Ming Peak"/>
    <x v="8"/>
    <s v="40RF"/>
    <d v="2026-08-13T00:00:00"/>
    <n v="4"/>
    <d v="2026-08-23T00:00:00"/>
    <d v="2026-08-17T00:00:00"/>
    <n v="120"/>
    <n v="6"/>
    <x v="0"/>
    <n v="720"/>
    <x v="1"/>
  </r>
  <r>
    <n v="1135"/>
    <s v="CNTR101134"/>
    <x v="0"/>
    <s v="COSCO Harmony"/>
    <x v="6"/>
    <s v="40HC"/>
    <d v="2026-07-02T00:00:00"/>
    <n v="4"/>
    <d v="2026-07-10T00:00:00"/>
    <d v="2026-07-06T00:00:00"/>
    <n v="60"/>
    <n v="4"/>
    <x v="0"/>
    <n v="240"/>
    <x v="1"/>
  </r>
  <r>
    <n v="1136"/>
    <s v="CNTR101135"/>
    <x v="0"/>
    <s v="COSCO Harmony"/>
    <x v="1"/>
    <s v="40GP"/>
    <d v="2026-08-02T00:00:00"/>
    <n v="5"/>
    <d v="2026-08-09T00:00:00"/>
    <d v="2026-08-07T00:00:00"/>
    <n v="75"/>
    <n v="2"/>
    <x v="0"/>
    <n v="150"/>
    <x v="1"/>
  </r>
  <r>
    <n v="1137"/>
    <s v="CNTR101136"/>
    <x v="0"/>
    <s v="COSCO Harmony"/>
    <x v="3"/>
    <s v="40RF"/>
    <d v="2026-07-01T00:00:00"/>
    <n v="4"/>
    <d v="2026-07-09T00:00:00"/>
    <d v="2026-07-05T00:00:00"/>
    <n v="120"/>
    <n v="4"/>
    <x v="0"/>
    <n v="480"/>
    <x v="1"/>
  </r>
  <r>
    <n v="1138"/>
    <s v="CNTR101137"/>
    <x v="1"/>
    <s v="Maersk Kiel"/>
    <x v="3"/>
    <s v="20GP"/>
    <d v="2026-07-17T00:00:00"/>
    <n v="7"/>
    <d v="2026-07-24T00:00:00"/>
    <d v="2026-07-24T00:00:00"/>
    <n v="130"/>
    <n v="0"/>
    <x v="1"/>
    <s v="NA"/>
    <x v="1"/>
  </r>
  <r>
    <n v="1139"/>
    <s v="CNTR101138"/>
    <x v="3"/>
    <s v="MSC Elena"/>
    <x v="9"/>
    <s v="20GP"/>
    <d v="2026-07-31T00:00:00"/>
    <n v="5"/>
    <d v="2026-08-08T00:00:00"/>
    <d v="2026-08-05T00:00:00"/>
    <n v="90"/>
    <n v="3"/>
    <x v="0"/>
    <n v="270"/>
    <x v="1"/>
  </r>
  <r>
    <n v="1140"/>
    <s v="CNTR101139"/>
    <x v="1"/>
    <s v="ZIM Voyager"/>
    <x v="3"/>
    <s v="20GP"/>
    <d v="2026-08-15T00:00:00"/>
    <n v="7"/>
    <d v="2026-08-24T00:00:00"/>
    <d v="2026-08-22T00:00:00"/>
    <n v="60"/>
    <n v="2"/>
    <x v="0"/>
    <n v="120"/>
    <x v="1"/>
  </r>
  <r>
    <n v="1141"/>
    <s v="CNTR101140"/>
    <x v="2"/>
    <s v="CMA CGM Rhone"/>
    <x v="1"/>
    <s v="40HC"/>
    <d v="2026-07-23T00:00:00"/>
    <n v="4"/>
    <d v="2026-07-26T00:00:00"/>
    <d v="2026-07-27T00:00:00"/>
    <n v="130"/>
    <n v="0"/>
    <x v="1"/>
    <s v="NA"/>
    <x v="1"/>
  </r>
  <r>
    <n v="1142"/>
    <s v="CNTR101141"/>
    <x v="2"/>
    <s v="MSC Elena"/>
    <x v="2"/>
    <s v="40RF"/>
    <d v="2026-08-13T00:00:00"/>
    <n v="4"/>
    <m/>
    <d v="2026-08-17T00:00:00"/>
    <n v="120"/>
    <n v="8"/>
    <x v="0"/>
    <n v="960"/>
    <x v="0"/>
  </r>
  <r>
    <n v="1143"/>
    <s v="CNTR101142"/>
    <x v="2"/>
    <s v="COSCO Harmony"/>
    <x v="2"/>
    <s v="40HC"/>
    <d v="2026-07-05T00:00:00"/>
    <n v="4"/>
    <d v="2026-07-13T00:00:00"/>
    <d v="2026-07-09T00:00:00"/>
    <n v="75"/>
    <n v="4"/>
    <x v="0"/>
    <n v="300"/>
    <x v="1"/>
  </r>
  <r>
    <n v="1144"/>
    <s v="CNTR101143"/>
    <x v="3"/>
    <s v="ZIM Voyager"/>
    <x v="1"/>
    <s v="20GP"/>
    <d v="2026-06-13T00:00:00"/>
    <n v="5"/>
    <d v="2026-06-14T00:00:00"/>
    <d v="2026-06-18T00:00:00"/>
    <n v="60"/>
    <n v="0"/>
    <x v="1"/>
    <s v="NA"/>
    <x v="1"/>
  </r>
  <r>
    <n v="1145"/>
    <s v="CNTR101144"/>
    <x v="1"/>
    <s v="CMA CGM Rhone"/>
    <x v="6"/>
    <s v="40HC"/>
    <d v="2026-06-07T00:00:00"/>
    <n v="4"/>
    <d v="2026-06-19T00:00:00"/>
    <d v="2026-06-11T00:00:00"/>
    <n v="110"/>
    <n v="8"/>
    <x v="0"/>
    <n v="880"/>
    <x v="1"/>
  </r>
  <r>
    <n v="1146"/>
    <s v="CNTR101145"/>
    <x v="1"/>
    <s v="MSC Elena"/>
    <x v="1"/>
    <s v="40HC"/>
    <d v="2026-07-15T00:00:00"/>
    <n v="5"/>
    <m/>
    <d v="2026-07-20T00:00:00"/>
    <n v="60"/>
    <n v="36"/>
    <x v="2"/>
    <n v="2160"/>
    <x v="0"/>
  </r>
  <r>
    <n v="1147"/>
    <s v="CNTR101146"/>
    <x v="2"/>
    <s v="ZIM Voyager"/>
    <x v="9"/>
    <s v="40RF"/>
    <d v="2026-08-02T00:00:00"/>
    <n v="4"/>
    <d v="2026-08-06T00:00:00"/>
    <d v="2026-08-06T00:00:00"/>
    <n v="150"/>
    <n v="0"/>
    <x v="1"/>
    <s v="NA"/>
    <x v="1"/>
  </r>
  <r>
    <n v="1148"/>
    <s v="CNTR101147"/>
    <x v="2"/>
    <s v="Hapag Lloyd Bern"/>
    <x v="4"/>
    <s v="20GP"/>
    <d v="2026-07-26T00:00:00"/>
    <n v="4"/>
    <d v="2026-08-01T00:00:00"/>
    <d v="2026-07-30T00:00:00"/>
    <n v="75"/>
    <n v="2"/>
    <x v="0"/>
    <n v="150"/>
    <x v="1"/>
  </r>
  <r>
    <n v="1149"/>
    <s v="CNTR101148"/>
    <x v="2"/>
    <s v="ONE Kestrel"/>
    <x v="9"/>
    <s v="40RF"/>
    <d v="2026-06-13T00:00:00"/>
    <n v="4"/>
    <d v="2026-06-22T00:00:00"/>
    <d v="2026-06-17T00:00:00"/>
    <n v="150"/>
    <n v="5"/>
    <x v="0"/>
    <n v="750"/>
    <x v="1"/>
  </r>
  <r>
    <n v="1150"/>
    <s v="CNTR101149"/>
    <x v="2"/>
    <s v="OOCL Bergen"/>
    <x v="7"/>
    <s v="40HC"/>
    <d v="2026-07-29T00:00:00"/>
    <n v="4"/>
    <d v="2026-07-30T00:00:00"/>
    <d v="2026-08-02T00:00:00"/>
    <n v="90"/>
    <n v="0"/>
    <x v="1"/>
    <s v="NA"/>
    <x v="1"/>
  </r>
  <r>
    <n v="1151"/>
    <s v="CNTR101150"/>
    <x v="0"/>
    <s v="Hapag Lloyd Bern"/>
    <x v="9"/>
    <s v="40GP"/>
    <d v="2026-06-18T00:00:00"/>
    <n v="5"/>
    <d v="2026-06-20T00:00:00"/>
    <d v="2026-06-23T00:00:00"/>
    <n v="130"/>
    <n v="0"/>
    <x v="1"/>
    <s v="NA"/>
    <x v="1"/>
  </r>
  <r>
    <n v="1152"/>
    <s v="CNTR101151"/>
    <x v="0"/>
    <s v="OOCL Bergen"/>
    <x v="4"/>
    <s v="40HC"/>
    <d v="2026-07-03T00:00:00"/>
    <n v="7"/>
    <d v="2026-07-09T00:00:00"/>
    <d v="2026-07-10T00:00:00"/>
    <n v="60"/>
    <n v="0"/>
    <x v="1"/>
    <s v="NA"/>
    <x v="1"/>
  </r>
  <r>
    <n v="1153"/>
    <s v="CNTR101152"/>
    <x v="3"/>
    <s v="Maersk Kiel"/>
    <x v="2"/>
    <s v="40RF"/>
    <d v="2026-05-31T00:00:00"/>
    <n v="3"/>
    <m/>
    <d v="2026-06-03T00:00:00"/>
    <n v="150"/>
    <n v="83"/>
    <x v="2"/>
    <n v="12450"/>
    <x v="0"/>
  </r>
  <r>
    <n v="1154"/>
    <s v="CNTR101153"/>
    <x v="3"/>
    <s v="Hapag Lloyd Bern"/>
    <x v="5"/>
    <s v="20GP"/>
    <d v="2026-06-08T00:00:00"/>
    <n v="5"/>
    <m/>
    <d v="2026-06-13T00:00:00"/>
    <n v="75"/>
    <n v="73"/>
    <x v="2"/>
    <n v="5475"/>
    <x v="0"/>
  </r>
  <r>
    <n v="1155"/>
    <s v="CNTR101154"/>
    <x v="3"/>
    <s v="ONE Kestrel"/>
    <x v="7"/>
    <s v="20GP"/>
    <d v="2026-06-23T00:00:00"/>
    <n v="6"/>
    <d v="2026-06-27T00:00:00"/>
    <d v="2026-06-29T00:00:00"/>
    <n v="110"/>
    <n v="0"/>
    <x v="1"/>
    <s v="NA"/>
    <x v="1"/>
  </r>
  <r>
    <n v="1156"/>
    <s v="CNTR101155"/>
    <x v="0"/>
    <s v="OOCL Bergen"/>
    <x v="5"/>
    <s v="40GP"/>
    <d v="2026-07-26T00:00:00"/>
    <n v="5"/>
    <d v="2026-07-27T00:00:00"/>
    <d v="2026-07-31T00:00:00"/>
    <n v="110"/>
    <n v="0"/>
    <x v="1"/>
    <s v="NA"/>
    <x v="1"/>
  </r>
  <r>
    <n v="1157"/>
    <s v="CNTR101156"/>
    <x v="1"/>
    <s v="Hapag Lloyd Bern"/>
    <x v="1"/>
    <s v="20GP"/>
    <d v="2026-05-29T00:00:00"/>
    <n v="6"/>
    <m/>
    <d v="2026-06-04T00:00:00"/>
    <n v="130"/>
    <n v="82"/>
    <x v="2"/>
    <n v="10660"/>
    <x v="0"/>
  </r>
  <r>
    <n v="1158"/>
    <s v="CNTR101157"/>
    <x v="2"/>
    <s v="COSCO Harmony"/>
    <x v="4"/>
    <s v="20GP"/>
    <d v="2026-08-11T00:00:00"/>
    <n v="5"/>
    <d v="2026-08-20T00:00:00"/>
    <d v="2026-08-16T00:00:00"/>
    <n v="60"/>
    <n v="4"/>
    <x v="0"/>
    <n v="240"/>
    <x v="1"/>
  </r>
  <r>
    <n v="1159"/>
    <s v="CNTR101158"/>
    <x v="2"/>
    <s v="OOCL Bergen"/>
    <x v="8"/>
    <s v="40RF"/>
    <d v="2026-07-09T00:00:00"/>
    <n v="3"/>
    <m/>
    <d v="2026-07-12T00:00:00"/>
    <n v="150"/>
    <n v="44"/>
    <x v="2"/>
    <n v="6600"/>
    <x v="0"/>
  </r>
  <r>
    <n v="1160"/>
    <s v="CNTR101159"/>
    <x v="0"/>
    <s v="ONE Kestrel"/>
    <x v="2"/>
    <s v="40HC"/>
    <d v="2026-08-22T00:00:00"/>
    <n v="5"/>
    <m/>
    <d v="2026-08-27T00:00:00"/>
    <n v="90"/>
    <n v="0"/>
    <x v="1"/>
    <s v="NA"/>
    <x v="0"/>
  </r>
  <r>
    <n v="1161"/>
    <s v="CNTR101160"/>
    <x v="1"/>
    <s v="OOCL Bergen"/>
    <x v="2"/>
    <s v="40GP"/>
    <d v="2026-08-18T00:00:00"/>
    <n v="6"/>
    <d v="2026-08-25T00:00:00"/>
    <d v="2026-08-24T00:00:00"/>
    <n v="75"/>
    <n v="1"/>
    <x v="0"/>
    <n v="75"/>
    <x v="1"/>
  </r>
  <r>
    <n v="1162"/>
    <s v="CNTR101161"/>
    <x v="1"/>
    <s v="Yang Ming Peak"/>
    <x v="1"/>
    <s v="40RF"/>
    <d v="2026-06-12T00:00:00"/>
    <n v="4"/>
    <m/>
    <d v="2026-06-16T00:00:00"/>
    <n v="150"/>
    <n v="70"/>
    <x v="2"/>
    <n v="10500"/>
    <x v="0"/>
  </r>
  <r>
    <n v="1163"/>
    <s v="CNTR101162"/>
    <x v="3"/>
    <s v="CMA CGM Rhone"/>
    <x v="4"/>
    <s v="20GP"/>
    <d v="2026-08-05T00:00:00"/>
    <n v="6"/>
    <m/>
    <d v="2026-08-11T00:00:00"/>
    <n v="90"/>
    <n v="14"/>
    <x v="2"/>
    <n v="1260"/>
    <x v="0"/>
  </r>
  <r>
    <n v="1164"/>
    <s v="CNTR101163"/>
    <x v="3"/>
    <s v="Evergreen Ace"/>
    <x v="4"/>
    <s v="40GP"/>
    <d v="2026-06-18T00:00:00"/>
    <n v="4"/>
    <d v="2026-06-19T00:00:00"/>
    <d v="2026-06-22T00:00:00"/>
    <n v="60"/>
    <n v="0"/>
    <x v="1"/>
    <s v="NA"/>
    <x v="1"/>
  </r>
  <r>
    <n v="1165"/>
    <s v="CNTR101164"/>
    <x v="2"/>
    <s v="CMA CGM Rhone"/>
    <x v="3"/>
    <s v="40GP"/>
    <d v="2026-06-30T00:00:00"/>
    <n v="4"/>
    <d v="2026-07-01T00:00:00"/>
    <d v="2026-07-04T00:00:00"/>
    <n v="90"/>
    <n v="0"/>
    <x v="1"/>
    <s v="NA"/>
    <x v="1"/>
  </r>
  <r>
    <n v="1166"/>
    <s v="CNTR101165"/>
    <x v="3"/>
    <s v="ZIM Voyager"/>
    <x v="2"/>
    <s v="40RF"/>
    <d v="2026-07-12T00:00:00"/>
    <n v="4"/>
    <m/>
    <d v="2026-07-16T00:00:00"/>
    <n v="150"/>
    <n v="40"/>
    <x v="2"/>
    <n v="6000"/>
    <x v="0"/>
  </r>
  <r>
    <n v="1167"/>
    <s v="CNTR101166"/>
    <x v="1"/>
    <s v="COSCO Harmony"/>
    <x v="7"/>
    <s v="40GP"/>
    <d v="2026-08-17T00:00:00"/>
    <n v="7"/>
    <d v="2026-08-25T00:00:00"/>
    <d v="2026-08-24T00:00:00"/>
    <n v="90"/>
    <n v="1"/>
    <x v="0"/>
    <n v="90"/>
    <x v="1"/>
  </r>
  <r>
    <n v="1168"/>
    <s v="CNTR101167"/>
    <x v="2"/>
    <s v="Yang Ming Peak"/>
    <x v="6"/>
    <s v="20GP"/>
    <d v="2026-06-14T00:00:00"/>
    <n v="4"/>
    <m/>
    <d v="2026-06-18T00:00:00"/>
    <n v="90"/>
    <n v="68"/>
    <x v="2"/>
    <n v="6120"/>
    <x v="0"/>
  </r>
  <r>
    <n v="1169"/>
    <s v="CNTR101168"/>
    <x v="0"/>
    <s v="ONE Kestrel"/>
    <x v="2"/>
    <s v="40RF"/>
    <d v="2026-07-23T00:00:00"/>
    <n v="4"/>
    <d v="2026-07-31T00:00:00"/>
    <d v="2026-07-27T00:00:00"/>
    <n v="120"/>
    <n v="4"/>
    <x v="0"/>
    <n v="480"/>
    <x v="1"/>
  </r>
  <r>
    <n v="1170"/>
    <s v="CNTR101169"/>
    <x v="0"/>
    <s v="ONE Kestrel"/>
    <x v="7"/>
    <s v="40RF"/>
    <d v="2026-07-17T00:00:00"/>
    <n v="4"/>
    <d v="2026-07-21T00:00:00"/>
    <d v="2026-07-21T00:00:00"/>
    <n v="150"/>
    <n v="0"/>
    <x v="1"/>
    <s v="NA"/>
    <x v="1"/>
  </r>
  <r>
    <n v="1171"/>
    <s v="CNTR101170"/>
    <x v="3"/>
    <s v="ONE Kestrel"/>
    <x v="4"/>
    <s v="20GP"/>
    <d v="2026-07-14T00:00:00"/>
    <n v="5"/>
    <d v="2026-07-21T00:00:00"/>
    <d v="2026-07-19T00:00:00"/>
    <n v="75"/>
    <n v="2"/>
    <x v="0"/>
    <n v="150"/>
    <x v="1"/>
  </r>
  <r>
    <n v="1172"/>
    <s v="CNTR101171"/>
    <x v="2"/>
    <s v="Evergreen Ace"/>
    <x v="0"/>
    <s v="40GP"/>
    <d v="2026-06-18T00:00:00"/>
    <n v="7"/>
    <m/>
    <d v="2026-06-25T00:00:00"/>
    <n v="60"/>
    <n v="61"/>
    <x v="2"/>
    <n v="3660"/>
    <x v="0"/>
  </r>
  <r>
    <n v="1173"/>
    <s v="CNTR101172"/>
    <x v="1"/>
    <s v="Hapag Lloyd Bern"/>
    <x v="4"/>
    <s v="20GP"/>
    <d v="2026-08-06T00:00:00"/>
    <n v="5"/>
    <d v="2026-08-11T00:00:00"/>
    <d v="2026-08-11T00:00:00"/>
    <n v="75"/>
    <n v="0"/>
    <x v="1"/>
    <s v="NA"/>
    <x v="1"/>
  </r>
  <r>
    <n v="1174"/>
    <s v="CNTR101173"/>
    <x v="3"/>
    <s v="COSCO Harmony"/>
    <x v="4"/>
    <s v="20GP"/>
    <d v="2026-06-23T00:00:00"/>
    <n v="4"/>
    <d v="2026-06-30T00:00:00"/>
    <d v="2026-06-27T00:00:00"/>
    <n v="130"/>
    <n v="3"/>
    <x v="0"/>
    <n v="390"/>
    <x v="1"/>
  </r>
  <r>
    <n v="1175"/>
    <s v="CNTR101174"/>
    <x v="1"/>
    <s v="Hapag Lloyd Bern"/>
    <x v="9"/>
    <s v="40HC"/>
    <d v="2026-06-17T00:00:00"/>
    <n v="5"/>
    <d v="2026-06-18T00:00:00"/>
    <d v="2026-06-22T00:00:00"/>
    <n v="110"/>
    <n v="0"/>
    <x v="1"/>
    <s v="NA"/>
    <x v="1"/>
  </r>
  <r>
    <n v="1176"/>
    <s v="CNTR101175"/>
    <x v="1"/>
    <s v="Maersk Kiel"/>
    <x v="6"/>
    <s v="40HC"/>
    <d v="2026-07-21T00:00:00"/>
    <n v="6"/>
    <d v="2026-07-22T00:00:00"/>
    <d v="2026-07-27T00:00:00"/>
    <n v="110"/>
    <n v="0"/>
    <x v="1"/>
    <s v="NA"/>
    <x v="1"/>
  </r>
  <r>
    <n v="1177"/>
    <s v="CNTR101176"/>
    <x v="1"/>
    <s v="COSCO Harmony"/>
    <x v="1"/>
    <s v="20GP"/>
    <d v="2026-07-14T00:00:00"/>
    <n v="7"/>
    <d v="2026-07-28T00:00:00"/>
    <d v="2026-07-21T00:00:00"/>
    <n v="130"/>
    <n v="7"/>
    <x v="0"/>
    <n v="910"/>
    <x v="1"/>
  </r>
  <r>
    <n v="1178"/>
    <s v="CNTR101177"/>
    <x v="0"/>
    <s v="Hapag Lloyd Bern"/>
    <x v="8"/>
    <s v="20GP"/>
    <d v="2026-07-08T00:00:00"/>
    <n v="5"/>
    <d v="2026-07-14T00:00:00"/>
    <d v="2026-07-13T00:00:00"/>
    <n v="110"/>
    <n v="1"/>
    <x v="0"/>
    <n v="110"/>
    <x v="1"/>
  </r>
  <r>
    <n v="1179"/>
    <s v="CNTR101178"/>
    <x v="2"/>
    <s v="Evergreen Ace"/>
    <x v="8"/>
    <s v="40RF"/>
    <d v="2026-07-05T00:00:00"/>
    <n v="4"/>
    <d v="2026-07-15T00:00:00"/>
    <d v="2026-07-09T00:00:00"/>
    <n v="180"/>
    <n v="6"/>
    <x v="0"/>
    <n v="1080"/>
    <x v="1"/>
  </r>
  <r>
    <n v="1180"/>
    <s v="CNTR101179"/>
    <x v="1"/>
    <s v="Maersk Kiel"/>
    <x v="0"/>
    <s v="20GP"/>
    <d v="2026-07-21T00:00:00"/>
    <n v="6"/>
    <d v="2026-08-05T00:00:00"/>
    <d v="2026-07-27T00:00:00"/>
    <n v="60"/>
    <n v="9"/>
    <x v="0"/>
    <n v="540"/>
    <x v="1"/>
  </r>
  <r>
    <n v="1181"/>
    <s v="CNTR101180"/>
    <x v="0"/>
    <s v="OOCL Bergen"/>
    <x v="2"/>
    <s v="40RF"/>
    <d v="2026-07-15T00:00:00"/>
    <n v="3"/>
    <m/>
    <d v="2026-07-18T00:00:00"/>
    <n v="180"/>
    <n v="38"/>
    <x v="2"/>
    <n v="6840"/>
    <x v="0"/>
  </r>
  <r>
    <n v="1182"/>
    <s v="CNTR101181"/>
    <x v="0"/>
    <s v="Maersk Kiel"/>
    <x v="3"/>
    <s v="40GP"/>
    <d v="2026-06-23T00:00:00"/>
    <n v="5"/>
    <m/>
    <d v="2026-06-28T00:00:00"/>
    <n v="130"/>
    <n v="58"/>
    <x v="2"/>
    <n v="7540"/>
    <x v="0"/>
  </r>
  <r>
    <n v="1183"/>
    <s v="CNTR101182"/>
    <x v="0"/>
    <s v="ONE Kestrel"/>
    <x v="9"/>
    <s v="40GP"/>
    <d v="2026-07-20T00:00:00"/>
    <n v="7"/>
    <d v="2026-07-21T00:00:00"/>
    <d v="2026-07-27T00:00:00"/>
    <n v="130"/>
    <n v="0"/>
    <x v="1"/>
    <s v="NA"/>
    <x v="1"/>
  </r>
  <r>
    <n v="1184"/>
    <s v="CNTR101183"/>
    <x v="0"/>
    <s v="Hapag Lloyd Bern"/>
    <x v="5"/>
    <s v="20GP"/>
    <d v="2026-07-26T00:00:00"/>
    <n v="6"/>
    <d v="2026-08-04T00:00:00"/>
    <d v="2026-08-01T00:00:00"/>
    <n v="60"/>
    <n v="3"/>
    <x v="0"/>
    <n v="180"/>
    <x v="1"/>
  </r>
  <r>
    <n v="1185"/>
    <s v="CNTR101184"/>
    <x v="2"/>
    <s v="Maersk Kiel"/>
    <x v="4"/>
    <s v="40RF"/>
    <d v="2026-06-22T00:00:00"/>
    <n v="4"/>
    <m/>
    <d v="2026-06-26T00:00:00"/>
    <n v="150"/>
    <n v="60"/>
    <x v="2"/>
    <n v="9000"/>
    <x v="0"/>
  </r>
  <r>
    <n v="1186"/>
    <s v="CNTR101185"/>
    <x v="3"/>
    <s v="ONE Kestrel"/>
    <x v="7"/>
    <s v="40HC"/>
    <d v="2026-07-21T00:00:00"/>
    <n v="6"/>
    <d v="2026-07-26T00:00:00"/>
    <d v="2026-07-27T00:00:00"/>
    <n v="130"/>
    <n v="0"/>
    <x v="1"/>
    <s v="NA"/>
    <x v="1"/>
  </r>
  <r>
    <n v="1187"/>
    <s v="CNTR101186"/>
    <x v="1"/>
    <s v="ONE Kestrel"/>
    <x v="2"/>
    <s v="40GP"/>
    <d v="2026-07-05T00:00:00"/>
    <n v="5"/>
    <d v="2026-07-13T00:00:00"/>
    <d v="2026-07-10T00:00:00"/>
    <n v="110"/>
    <n v="3"/>
    <x v="0"/>
    <n v="330"/>
    <x v="1"/>
  </r>
  <r>
    <n v="1188"/>
    <s v="CNTR101187"/>
    <x v="3"/>
    <s v="COSCO Harmony"/>
    <x v="4"/>
    <s v="40HC"/>
    <d v="2026-06-11T00:00:00"/>
    <n v="7"/>
    <d v="2026-06-18T00:00:00"/>
    <d v="2026-06-18T00:00:00"/>
    <n v="60"/>
    <n v="0"/>
    <x v="1"/>
    <s v="NA"/>
    <x v="1"/>
  </r>
  <r>
    <n v="1189"/>
    <s v="CNTR101188"/>
    <x v="2"/>
    <s v="Evergreen Ace"/>
    <x v="4"/>
    <s v="40GP"/>
    <d v="2026-08-06T00:00:00"/>
    <n v="6"/>
    <m/>
    <d v="2026-08-12T00:00:00"/>
    <n v="110"/>
    <n v="13"/>
    <x v="2"/>
    <n v="1430"/>
    <x v="0"/>
  </r>
  <r>
    <n v="1190"/>
    <s v="CNTR101189"/>
    <x v="1"/>
    <s v="Hapag Lloyd Bern"/>
    <x v="3"/>
    <s v="40RF"/>
    <d v="2026-06-07T00:00:00"/>
    <n v="3"/>
    <d v="2026-06-10T00:00:00"/>
    <d v="2026-06-10T00:00:00"/>
    <n v="150"/>
    <n v="0"/>
    <x v="1"/>
    <s v="NA"/>
    <x v="1"/>
  </r>
  <r>
    <n v="1191"/>
    <s v="CNTR101190"/>
    <x v="3"/>
    <s v="Maersk Kiel"/>
    <x v="3"/>
    <s v="20GP"/>
    <d v="2026-08-16T00:00:00"/>
    <n v="7"/>
    <m/>
    <d v="2026-08-23T00:00:00"/>
    <n v="60"/>
    <n v="2"/>
    <x v="0"/>
    <n v="120"/>
    <x v="0"/>
  </r>
  <r>
    <n v="1192"/>
    <s v="CNTR101191"/>
    <x v="0"/>
    <s v="ONE Kestrel"/>
    <x v="5"/>
    <s v="20GP"/>
    <d v="2026-07-18T00:00:00"/>
    <n v="4"/>
    <d v="2026-07-19T00:00:00"/>
    <d v="2026-07-22T00:00:00"/>
    <n v="90"/>
    <n v="0"/>
    <x v="1"/>
    <s v="NA"/>
    <x v="1"/>
  </r>
  <r>
    <n v="1193"/>
    <s v="CNTR101192"/>
    <x v="3"/>
    <s v="Hapag Lloyd Bern"/>
    <x v="5"/>
    <s v="40GP"/>
    <d v="2026-07-30T00:00:00"/>
    <n v="6"/>
    <d v="2026-08-02T00:00:00"/>
    <d v="2026-08-05T00:00:00"/>
    <n v="110"/>
    <n v="0"/>
    <x v="1"/>
    <s v="NA"/>
    <x v="1"/>
  </r>
  <r>
    <n v="1194"/>
    <s v="CNTR101193"/>
    <x v="0"/>
    <s v="Maersk Kiel"/>
    <x v="4"/>
    <s v="40GP"/>
    <d v="2026-08-12T00:00:00"/>
    <n v="6"/>
    <m/>
    <d v="2026-08-18T00:00:00"/>
    <n v="90"/>
    <n v="7"/>
    <x v="0"/>
    <n v="630"/>
    <x v="0"/>
  </r>
  <r>
    <n v="1195"/>
    <s v="CNTR101194"/>
    <x v="0"/>
    <s v="Maersk Kiel"/>
    <x v="9"/>
    <s v="40RF"/>
    <d v="2026-08-01T00:00:00"/>
    <n v="3"/>
    <d v="2026-08-02T00:00:00"/>
    <d v="2026-08-04T00:00:00"/>
    <n v="120"/>
    <n v="0"/>
    <x v="1"/>
    <s v="NA"/>
    <x v="1"/>
  </r>
  <r>
    <n v="1196"/>
    <s v="CNTR101195"/>
    <x v="1"/>
    <s v="Evergreen Ace"/>
    <x v="4"/>
    <s v="40HC"/>
    <d v="2026-08-22T00:00:00"/>
    <n v="5"/>
    <d v="2026-08-25T00:00:00"/>
    <d v="2026-08-27T00:00:00"/>
    <n v="60"/>
    <n v="0"/>
    <x v="1"/>
    <s v="NA"/>
    <x v="1"/>
  </r>
  <r>
    <n v="1197"/>
    <s v="CNTR101196"/>
    <x v="0"/>
    <s v="Yang Ming Peak"/>
    <x v="6"/>
    <s v="40GP"/>
    <d v="2026-06-13T00:00:00"/>
    <n v="6"/>
    <d v="2026-06-21T00:00:00"/>
    <d v="2026-06-19T00:00:00"/>
    <n v="90"/>
    <n v="2"/>
    <x v="0"/>
    <n v="180"/>
    <x v="1"/>
  </r>
  <r>
    <n v="1198"/>
    <s v="CNTR101197"/>
    <x v="2"/>
    <s v="ZIM Voyager"/>
    <x v="4"/>
    <s v="40RF"/>
    <d v="2026-07-13T00:00:00"/>
    <n v="4"/>
    <d v="2026-07-20T00:00:00"/>
    <d v="2026-07-17T00:00:00"/>
    <n v="150"/>
    <n v="3"/>
    <x v="0"/>
    <n v="450"/>
    <x v="1"/>
  </r>
  <r>
    <n v="1199"/>
    <s v="CNTR101198"/>
    <x v="2"/>
    <s v="MSC Elena"/>
    <x v="6"/>
    <s v="40RF"/>
    <d v="2026-07-11T00:00:00"/>
    <n v="4"/>
    <d v="2026-07-12T00:00:00"/>
    <d v="2026-07-15T00:00:00"/>
    <n v="150"/>
    <n v="0"/>
    <x v="1"/>
    <s v="NA"/>
    <x v="1"/>
  </r>
  <r>
    <n v="1200"/>
    <s v="CNTR101199"/>
    <x v="1"/>
    <s v="ZIM Voyager"/>
    <x v="1"/>
    <s v="40HC"/>
    <d v="2026-07-04T00:00:00"/>
    <n v="4"/>
    <d v="2026-07-05T00:00:00"/>
    <d v="2026-07-08T00:00:00"/>
    <n v="110"/>
    <n v="0"/>
    <x v="1"/>
    <s v="NA"/>
    <x v="1"/>
  </r>
  <r>
    <n v="1201"/>
    <s v="CNTR101200"/>
    <x v="1"/>
    <s v="OOCL Bergen"/>
    <x v="9"/>
    <s v="40GP"/>
    <d v="2026-07-28T00:00:00"/>
    <n v="7"/>
    <d v="2026-07-31T00:00:00"/>
    <d v="2026-08-04T00:00:00"/>
    <n v="110"/>
    <n v="0"/>
    <x v="1"/>
    <s v="NA"/>
    <x v="1"/>
  </r>
  <r>
    <n v="1202"/>
    <s v="CNTR101201"/>
    <x v="2"/>
    <s v="Hapag Lloyd Bern"/>
    <x v="4"/>
    <s v="40GP"/>
    <d v="2026-08-02T00:00:00"/>
    <n v="5"/>
    <d v="2026-08-06T00:00:00"/>
    <d v="2026-08-07T00:00:00"/>
    <n v="110"/>
    <n v="0"/>
    <x v="1"/>
    <s v="NA"/>
    <x v="1"/>
  </r>
  <r>
    <n v="1203"/>
    <s v="CNTR101202"/>
    <x v="0"/>
    <s v="Evergreen Ace"/>
    <x v="2"/>
    <s v="40GP"/>
    <d v="2026-07-08T00:00:00"/>
    <n v="6"/>
    <d v="2026-07-13T00:00:00"/>
    <d v="2026-07-14T00:00:00"/>
    <n v="75"/>
    <n v="0"/>
    <x v="1"/>
    <s v="NA"/>
    <x v="1"/>
  </r>
  <r>
    <n v="1204"/>
    <s v="CNTR101203"/>
    <x v="1"/>
    <s v="Evergreen Ace"/>
    <x v="7"/>
    <s v="20GP"/>
    <d v="2026-06-03T00:00:00"/>
    <n v="5"/>
    <d v="2026-06-06T00:00:00"/>
    <d v="2026-06-08T00:00:00"/>
    <n v="110"/>
    <n v="0"/>
    <x v="1"/>
    <s v="NA"/>
    <x v="1"/>
  </r>
  <r>
    <n v="1205"/>
    <s v="CNTR101204"/>
    <x v="2"/>
    <s v="Hapag Lloyd Bern"/>
    <x v="0"/>
    <s v="40RF"/>
    <d v="2026-07-24T00:00:00"/>
    <n v="4"/>
    <d v="2026-07-25T00:00:00"/>
    <d v="2026-07-28T00:00:00"/>
    <n v="120"/>
    <n v="0"/>
    <x v="1"/>
    <s v="NA"/>
    <x v="1"/>
  </r>
  <r>
    <n v="1206"/>
    <s v="CNTR101205"/>
    <x v="2"/>
    <s v="OOCL Bergen"/>
    <x v="7"/>
    <s v="40GP"/>
    <d v="2026-08-14T00:00:00"/>
    <n v="7"/>
    <d v="2026-08-25T00:00:00"/>
    <d v="2026-08-21T00:00:00"/>
    <n v="130"/>
    <n v="4"/>
    <x v="0"/>
    <n v="520"/>
    <x v="1"/>
  </r>
  <r>
    <n v="1207"/>
    <s v="CNTR101206"/>
    <x v="0"/>
    <s v="Maersk Kiel"/>
    <x v="0"/>
    <s v="40RF"/>
    <d v="2026-07-27T00:00:00"/>
    <n v="4"/>
    <m/>
    <d v="2026-07-31T00:00:00"/>
    <n v="180"/>
    <n v="25"/>
    <x v="2"/>
    <n v="4500"/>
    <x v="0"/>
  </r>
  <r>
    <n v="1208"/>
    <s v="CNTR101207"/>
    <x v="2"/>
    <s v="Maersk Kiel"/>
    <x v="7"/>
    <s v="40HC"/>
    <d v="2026-06-12T00:00:00"/>
    <n v="5"/>
    <m/>
    <d v="2026-06-17T00:00:00"/>
    <n v="130"/>
    <n v="69"/>
    <x v="2"/>
    <n v="8970"/>
    <x v="0"/>
  </r>
  <r>
    <n v="1209"/>
    <s v="CNTR101208"/>
    <x v="1"/>
    <s v="ONE Kestrel"/>
    <x v="8"/>
    <s v="40HC"/>
    <d v="2026-07-31T00:00:00"/>
    <n v="6"/>
    <m/>
    <d v="2026-08-06T00:00:00"/>
    <n v="130"/>
    <n v="19"/>
    <x v="2"/>
    <n v="2470"/>
    <x v="0"/>
  </r>
  <r>
    <n v="1210"/>
    <s v="CNTR101209"/>
    <x v="1"/>
    <s v="COSCO Harmony"/>
    <x v="2"/>
    <s v="40RF"/>
    <d v="2026-05-29T00:00:00"/>
    <n v="4"/>
    <d v="2026-05-30T00:00:00"/>
    <d v="2026-06-02T00:00:00"/>
    <n v="150"/>
    <n v="0"/>
    <x v="1"/>
    <s v="NA"/>
    <x v="1"/>
  </r>
  <r>
    <n v="1211"/>
    <s v="CNTR101210"/>
    <x v="2"/>
    <s v="ONE Kestrel"/>
    <x v="1"/>
    <s v="40RF"/>
    <d v="2026-06-09T00:00:00"/>
    <n v="3"/>
    <m/>
    <d v="2026-06-12T00:00:00"/>
    <n v="180"/>
    <n v="74"/>
    <x v="2"/>
    <n v="13320"/>
    <x v="0"/>
  </r>
  <r>
    <n v="1212"/>
    <s v="CNTR101211"/>
    <x v="3"/>
    <s v="Hapag Lloyd Bern"/>
    <x v="2"/>
    <s v="40GP"/>
    <d v="2026-06-24T00:00:00"/>
    <n v="5"/>
    <d v="2026-07-01T00:00:00"/>
    <d v="2026-06-29T00:00:00"/>
    <n v="90"/>
    <n v="2"/>
    <x v="0"/>
    <n v="180"/>
    <x v="1"/>
  </r>
  <r>
    <n v="1213"/>
    <s v="CNTR101212"/>
    <x v="1"/>
    <s v="MSC Elena"/>
    <x v="6"/>
    <s v="40HC"/>
    <d v="2026-07-21T00:00:00"/>
    <n v="5"/>
    <d v="2026-07-28T00:00:00"/>
    <d v="2026-07-26T00:00:00"/>
    <n v="90"/>
    <n v="2"/>
    <x v="0"/>
    <n v="180"/>
    <x v="1"/>
  </r>
  <r>
    <n v="1214"/>
    <s v="CNTR101213"/>
    <x v="1"/>
    <s v="ONE Kestrel"/>
    <x v="6"/>
    <s v="40HC"/>
    <d v="2026-07-10T00:00:00"/>
    <n v="7"/>
    <m/>
    <d v="2026-07-17T00:00:00"/>
    <n v="60"/>
    <n v="39"/>
    <x v="2"/>
    <n v="2340"/>
    <x v="0"/>
  </r>
  <r>
    <n v="1215"/>
    <s v="CNTR101214"/>
    <x v="2"/>
    <s v="ZIM Voyager"/>
    <x v="4"/>
    <s v="20GP"/>
    <d v="2026-08-07T00:00:00"/>
    <n v="4"/>
    <d v="2026-08-10T00:00:00"/>
    <d v="2026-08-11T00:00:00"/>
    <n v="90"/>
    <n v="0"/>
    <x v="1"/>
    <s v="NA"/>
    <x v="1"/>
  </r>
  <r>
    <n v="1216"/>
    <s v="CNTR101215"/>
    <x v="1"/>
    <s v="Evergreen Ace"/>
    <x v="3"/>
    <s v="20GP"/>
    <d v="2026-08-04T00:00:00"/>
    <n v="6"/>
    <d v="2026-08-11T00:00:00"/>
    <d v="2026-08-10T00:00:00"/>
    <n v="90"/>
    <n v="1"/>
    <x v="0"/>
    <n v="90"/>
    <x v="1"/>
  </r>
  <r>
    <n v="1217"/>
    <s v="CNTR101216"/>
    <x v="1"/>
    <s v="Yang Ming Peak"/>
    <x v="2"/>
    <s v="40HC"/>
    <d v="2026-06-20T00:00:00"/>
    <n v="7"/>
    <d v="2026-06-27T00:00:00"/>
    <d v="2026-06-27T00:00:00"/>
    <n v="110"/>
    <n v="0"/>
    <x v="1"/>
    <s v="NA"/>
    <x v="1"/>
  </r>
  <r>
    <n v="1218"/>
    <s v="CNTR101217"/>
    <x v="2"/>
    <s v="Evergreen Ace"/>
    <x v="0"/>
    <s v="40HC"/>
    <d v="2026-07-11T00:00:00"/>
    <n v="5"/>
    <d v="2026-07-13T00:00:00"/>
    <d v="2026-07-16T00:00:00"/>
    <n v="90"/>
    <n v="0"/>
    <x v="1"/>
    <s v="NA"/>
    <x v="1"/>
  </r>
  <r>
    <n v="1219"/>
    <s v="CNTR101218"/>
    <x v="3"/>
    <s v="Yang Ming Peak"/>
    <x v="1"/>
    <s v="40HC"/>
    <d v="2026-08-10T00:00:00"/>
    <n v="7"/>
    <d v="2026-08-18T00:00:00"/>
    <d v="2026-08-17T00:00:00"/>
    <n v="75"/>
    <n v="1"/>
    <x v="0"/>
    <n v="75"/>
    <x v="1"/>
  </r>
  <r>
    <n v="1220"/>
    <s v="CNTR101219"/>
    <x v="1"/>
    <s v="ZIM Voyager"/>
    <x v="4"/>
    <s v="40GP"/>
    <d v="2026-07-25T00:00:00"/>
    <n v="5"/>
    <d v="2026-07-26T00:00:00"/>
    <d v="2026-07-30T00:00:00"/>
    <n v="90"/>
    <n v="0"/>
    <x v="1"/>
    <s v="NA"/>
    <x v="1"/>
  </r>
  <r>
    <n v="1221"/>
    <s v="CNTR101220"/>
    <x v="2"/>
    <s v="Yang Ming Peak"/>
    <x v="1"/>
    <s v="40RF"/>
    <d v="2026-06-05T00:00:00"/>
    <n v="4"/>
    <m/>
    <d v="2026-06-09T00:00:00"/>
    <n v="150"/>
    <n v="77"/>
    <x v="2"/>
    <n v="11550"/>
    <x v="0"/>
  </r>
  <r>
    <n v="1222"/>
    <s v="CNTR101221"/>
    <x v="3"/>
    <s v="Evergreen Ace"/>
    <x v="9"/>
    <s v="40RF"/>
    <d v="2026-06-11T00:00:00"/>
    <n v="3"/>
    <m/>
    <d v="2026-06-14T00:00:00"/>
    <n v="180"/>
    <n v="72"/>
    <x v="2"/>
    <n v="12960"/>
    <x v="0"/>
  </r>
  <r>
    <n v="1223"/>
    <s v="CNTR101222"/>
    <x v="2"/>
    <s v="Yang Ming Peak"/>
    <x v="8"/>
    <s v="40RF"/>
    <d v="2026-07-23T00:00:00"/>
    <n v="4"/>
    <d v="2026-07-24T00:00:00"/>
    <d v="2026-07-27T00:00:00"/>
    <n v="120"/>
    <n v="0"/>
    <x v="1"/>
    <s v="NA"/>
    <x v="1"/>
  </r>
  <r>
    <n v="1224"/>
    <s v="CNTR101223"/>
    <x v="3"/>
    <s v="Yang Ming Peak"/>
    <x v="5"/>
    <s v="20GP"/>
    <d v="2026-06-15T00:00:00"/>
    <n v="4"/>
    <m/>
    <d v="2026-06-19T00:00:00"/>
    <n v="60"/>
    <n v="67"/>
    <x v="2"/>
    <n v="4020"/>
    <x v="0"/>
  </r>
  <r>
    <n v="1225"/>
    <s v="CNTR101224"/>
    <x v="2"/>
    <s v="Yang Ming Peak"/>
    <x v="0"/>
    <s v="20GP"/>
    <d v="2026-06-07T00:00:00"/>
    <n v="5"/>
    <m/>
    <d v="2026-06-12T00:00:00"/>
    <n v="130"/>
    <n v="74"/>
    <x v="2"/>
    <n v="9620"/>
    <x v="0"/>
  </r>
  <r>
    <n v="1226"/>
    <s v="CNTR101225"/>
    <x v="1"/>
    <s v="Yang Ming Peak"/>
    <x v="6"/>
    <s v="40HC"/>
    <d v="2026-06-28T00:00:00"/>
    <n v="7"/>
    <m/>
    <d v="2026-07-05T00:00:00"/>
    <n v="130"/>
    <n v="51"/>
    <x v="2"/>
    <n v="6630"/>
    <x v="0"/>
  </r>
  <r>
    <n v="1227"/>
    <s v="CNTR101226"/>
    <x v="1"/>
    <s v="OOCL Bergen"/>
    <x v="1"/>
    <s v="40RF"/>
    <d v="2026-08-04T00:00:00"/>
    <n v="3"/>
    <d v="2026-08-05T00:00:00"/>
    <d v="2026-08-07T00:00:00"/>
    <n v="180"/>
    <n v="0"/>
    <x v="1"/>
    <s v="NA"/>
    <x v="1"/>
  </r>
  <r>
    <n v="1228"/>
    <s v="CNTR101227"/>
    <x v="3"/>
    <s v="ZIM Voyager"/>
    <x v="2"/>
    <s v="20GP"/>
    <d v="2026-08-15T00:00:00"/>
    <n v="5"/>
    <d v="2026-08-17T00:00:00"/>
    <d v="2026-08-20T00:00:00"/>
    <n v="110"/>
    <n v="0"/>
    <x v="1"/>
    <s v="NA"/>
    <x v="1"/>
  </r>
  <r>
    <n v="1229"/>
    <s v="CNTR101228"/>
    <x v="3"/>
    <s v="MSC Elena"/>
    <x v="6"/>
    <s v="40GP"/>
    <d v="2026-08-02T00:00:00"/>
    <n v="7"/>
    <d v="2026-08-06T00:00:00"/>
    <d v="2026-08-09T00:00:00"/>
    <n v="130"/>
    <n v="0"/>
    <x v="1"/>
    <s v="NA"/>
    <x v="1"/>
  </r>
  <r>
    <n v="1230"/>
    <s v="CNTR101229"/>
    <x v="0"/>
    <s v="ONE Kestrel"/>
    <x v="6"/>
    <s v="20GP"/>
    <d v="2026-08-24T00:00:00"/>
    <n v="5"/>
    <d v="2026-08-25T00:00:00"/>
    <d v="2026-08-29T00:00:00"/>
    <n v="75"/>
    <n v="0"/>
    <x v="1"/>
    <s v="NA"/>
    <x v="1"/>
  </r>
  <r>
    <n v="1231"/>
    <s v="CNTR101230"/>
    <x v="2"/>
    <s v="Maersk Kiel"/>
    <x v="6"/>
    <s v="40HC"/>
    <d v="2026-06-06T00:00:00"/>
    <n v="4"/>
    <d v="2026-06-12T00:00:00"/>
    <d v="2026-06-10T00:00:00"/>
    <n v="110"/>
    <n v="2"/>
    <x v="0"/>
    <n v="220"/>
    <x v="1"/>
  </r>
  <r>
    <n v="1232"/>
    <s v="CNTR101231"/>
    <x v="3"/>
    <s v="ZIM Voyager"/>
    <x v="9"/>
    <s v="20GP"/>
    <d v="2026-07-13T00:00:00"/>
    <n v="6"/>
    <m/>
    <d v="2026-07-19T00:00:00"/>
    <n v="110"/>
    <n v="37"/>
    <x v="2"/>
    <n v="4070"/>
    <x v="0"/>
  </r>
  <r>
    <n v="1233"/>
    <s v="CNTR101232"/>
    <x v="3"/>
    <s v="Hapag Lloyd Bern"/>
    <x v="7"/>
    <s v="40HC"/>
    <d v="2026-08-12T00:00:00"/>
    <n v="4"/>
    <m/>
    <d v="2026-08-16T00:00:00"/>
    <n v="130"/>
    <n v="9"/>
    <x v="0"/>
    <n v="1170"/>
    <x v="0"/>
  </r>
  <r>
    <n v="1234"/>
    <s v="CNTR101233"/>
    <x v="3"/>
    <s v="Maersk Kiel"/>
    <x v="8"/>
    <s v="40GP"/>
    <d v="2026-07-10T00:00:00"/>
    <n v="5"/>
    <d v="2026-07-14T00:00:00"/>
    <d v="2026-07-15T00:00:00"/>
    <n v="110"/>
    <n v="0"/>
    <x v="1"/>
    <s v="NA"/>
    <x v="1"/>
  </r>
  <r>
    <n v="1235"/>
    <s v="CNTR101234"/>
    <x v="1"/>
    <s v="ONE Kestrel"/>
    <x v="8"/>
    <s v="40HC"/>
    <d v="2026-08-06T00:00:00"/>
    <n v="6"/>
    <d v="2026-08-07T00:00:00"/>
    <d v="2026-08-12T00:00:00"/>
    <n v="90"/>
    <n v="0"/>
    <x v="1"/>
    <s v="NA"/>
    <x v="1"/>
  </r>
  <r>
    <n v="1236"/>
    <s v="CNTR101235"/>
    <x v="1"/>
    <s v="Maersk Kiel"/>
    <x v="2"/>
    <s v="20GP"/>
    <d v="2026-07-19T00:00:00"/>
    <n v="5"/>
    <d v="2026-07-23T00:00:00"/>
    <d v="2026-07-24T00:00:00"/>
    <n v="110"/>
    <n v="0"/>
    <x v="1"/>
    <s v="NA"/>
    <x v="1"/>
  </r>
  <r>
    <n v="1237"/>
    <s v="CNTR101236"/>
    <x v="1"/>
    <s v="ONE Kestrel"/>
    <x v="9"/>
    <s v="40HC"/>
    <d v="2026-08-11T00:00:00"/>
    <n v="6"/>
    <d v="2026-08-20T00:00:00"/>
    <d v="2026-08-17T00:00:00"/>
    <n v="60"/>
    <n v="3"/>
    <x v="0"/>
    <n v="180"/>
    <x v="1"/>
  </r>
  <r>
    <n v="1238"/>
    <s v="CNTR101237"/>
    <x v="2"/>
    <s v="Maersk Kiel"/>
    <x v="1"/>
    <s v="20GP"/>
    <d v="2026-07-05T00:00:00"/>
    <n v="4"/>
    <d v="2026-07-11T00:00:00"/>
    <d v="2026-07-09T00:00:00"/>
    <n v="60"/>
    <n v="2"/>
    <x v="0"/>
    <n v="120"/>
    <x v="1"/>
  </r>
  <r>
    <n v="1239"/>
    <s v="CNTR101238"/>
    <x v="0"/>
    <s v="Hapag Lloyd Bern"/>
    <x v="0"/>
    <s v="40GP"/>
    <d v="2026-07-01T00:00:00"/>
    <n v="4"/>
    <m/>
    <d v="2026-07-05T00:00:00"/>
    <n v="110"/>
    <n v="51"/>
    <x v="2"/>
    <n v="5610"/>
    <x v="0"/>
  </r>
  <r>
    <n v="1240"/>
    <s v="CNTR101239"/>
    <x v="0"/>
    <s v="ZIM Voyager"/>
    <x v="5"/>
    <s v="20GP"/>
    <d v="2026-08-22T00:00:00"/>
    <n v="5"/>
    <d v="2026-08-23T00:00:00"/>
    <d v="2026-08-27T00:00:00"/>
    <n v="75"/>
    <n v="0"/>
    <x v="1"/>
    <s v="NA"/>
    <x v="1"/>
  </r>
  <r>
    <n v="1241"/>
    <s v="CNTR101240"/>
    <x v="0"/>
    <s v="Maersk Kiel"/>
    <x v="9"/>
    <s v="20GP"/>
    <d v="2026-07-15T00:00:00"/>
    <n v="5"/>
    <d v="2026-07-16T00:00:00"/>
    <d v="2026-07-20T00:00:00"/>
    <n v="60"/>
    <n v="0"/>
    <x v="1"/>
    <s v="NA"/>
    <x v="1"/>
  </r>
  <r>
    <n v="1242"/>
    <s v="CNTR101241"/>
    <x v="0"/>
    <s v="ZIM Voyager"/>
    <x v="8"/>
    <s v="40RF"/>
    <d v="2026-06-23T00:00:00"/>
    <n v="4"/>
    <d v="2026-06-30T00:00:00"/>
    <d v="2026-06-27T00:00:00"/>
    <n v="180"/>
    <n v="3"/>
    <x v="0"/>
    <n v="540"/>
    <x v="1"/>
  </r>
  <r>
    <n v="1243"/>
    <s v="CNTR101242"/>
    <x v="2"/>
    <s v="ZIM Voyager"/>
    <x v="8"/>
    <s v="40GP"/>
    <d v="2026-06-16T00:00:00"/>
    <n v="7"/>
    <d v="2026-06-21T00:00:00"/>
    <d v="2026-06-23T00:00:00"/>
    <n v="75"/>
    <n v="0"/>
    <x v="1"/>
    <s v="NA"/>
    <x v="1"/>
  </r>
  <r>
    <n v="1244"/>
    <s v="CNTR101243"/>
    <x v="1"/>
    <s v="Hapag Lloyd Bern"/>
    <x v="6"/>
    <s v="40GP"/>
    <d v="2026-06-03T00:00:00"/>
    <n v="5"/>
    <m/>
    <d v="2026-06-08T00:00:00"/>
    <n v="60"/>
    <n v="78"/>
    <x v="2"/>
    <n v="4680"/>
    <x v="0"/>
  </r>
  <r>
    <n v="1245"/>
    <s v="CNTR101244"/>
    <x v="2"/>
    <s v="CMA CGM Rhone"/>
    <x v="4"/>
    <s v="20GP"/>
    <d v="2026-05-29T00:00:00"/>
    <n v="7"/>
    <d v="2026-05-30T00:00:00"/>
    <d v="2026-06-05T00:00:00"/>
    <n v="60"/>
    <n v="0"/>
    <x v="1"/>
    <s v="NA"/>
    <x v="1"/>
  </r>
  <r>
    <n v="1246"/>
    <s v="CNTR101245"/>
    <x v="0"/>
    <s v="OOCL Bergen"/>
    <x v="4"/>
    <s v="20GP"/>
    <d v="2026-08-03T00:00:00"/>
    <n v="5"/>
    <d v="2026-08-05T00:00:00"/>
    <d v="2026-08-08T00:00:00"/>
    <n v="90"/>
    <n v="0"/>
    <x v="1"/>
    <s v="NA"/>
    <x v="1"/>
  </r>
  <r>
    <n v="1247"/>
    <s v="CNTR101246"/>
    <x v="2"/>
    <s v="COSCO Harmony"/>
    <x v="0"/>
    <s v="20GP"/>
    <d v="2026-06-21T00:00:00"/>
    <n v="5"/>
    <d v="2026-06-27T00:00:00"/>
    <d v="2026-06-26T00:00:00"/>
    <n v="110"/>
    <n v="1"/>
    <x v="0"/>
    <n v="110"/>
    <x v="1"/>
  </r>
  <r>
    <n v="1248"/>
    <s v="CNTR101247"/>
    <x v="3"/>
    <s v="COSCO Harmony"/>
    <x v="4"/>
    <s v="20GP"/>
    <d v="2026-07-13T00:00:00"/>
    <n v="4"/>
    <m/>
    <d v="2026-07-17T00:00:00"/>
    <n v="60"/>
    <n v="39"/>
    <x v="2"/>
    <n v="2340"/>
    <x v="0"/>
  </r>
  <r>
    <n v="1249"/>
    <s v="CNTR101248"/>
    <x v="3"/>
    <s v="COSCO Harmony"/>
    <x v="1"/>
    <s v="40GP"/>
    <d v="2026-06-05T00:00:00"/>
    <n v="7"/>
    <d v="2026-06-13T00:00:00"/>
    <d v="2026-06-12T00:00:00"/>
    <n v="130"/>
    <n v="1"/>
    <x v="0"/>
    <n v="130"/>
    <x v="1"/>
  </r>
  <r>
    <n v="1250"/>
    <s v="CNTR101249"/>
    <x v="3"/>
    <s v="ZIM Voyager"/>
    <x v="4"/>
    <s v="40RF"/>
    <d v="2026-06-06T00:00:00"/>
    <n v="4"/>
    <m/>
    <d v="2026-06-10T00:00:00"/>
    <n v="150"/>
    <n v="76"/>
    <x v="2"/>
    <n v="11400"/>
    <x v="0"/>
  </r>
  <r>
    <n v="1251"/>
    <s v="CNTR101250"/>
    <x v="2"/>
    <s v="MSC Elena"/>
    <x v="2"/>
    <s v="40RF"/>
    <d v="2026-06-18T00:00:00"/>
    <n v="4"/>
    <d v="2026-07-01T00:00:00"/>
    <d v="2026-06-22T00:00:00"/>
    <n v="180"/>
    <n v="9"/>
    <x v="0"/>
    <n v="1620"/>
    <x v="1"/>
  </r>
  <r>
    <n v="1252"/>
    <s v="CNTR101251"/>
    <x v="2"/>
    <s v="Evergreen Ace"/>
    <x v="0"/>
    <s v="40RF"/>
    <d v="2026-06-22T00:00:00"/>
    <n v="3"/>
    <d v="2026-06-24T00:00:00"/>
    <d v="2026-06-25T00:00:00"/>
    <n v="150"/>
    <n v="0"/>
    <x v="1"/>
    <s v="NA"/>
    <x v="1"/>
  </r>
  <r>
    <n v="1253"/>
    <s v="CNTR101252"/>
    <x v="0"/>
    <s v="OOCL Bergen"/>
    <x v="5"/>
    <s v="40GP"/>
    <d v="2026-08-15T00:00:00"/>
    <n v="5"/>
    <d v="2026-08-16T00:00:00"/>
    <d v="2026-08-20T00:00:00"/>
    <n v="130"/>
    <n v="0"/>
    <x v="1"/>
    <s v="NA"/>
    <x v="1"/>
  </r>
  <r>
    <n v="1254"/>
    <s v="CNTR101253"/>
    <x v="3"/>
    <s v="ONE Kestrel"/>
    <x v="2"/>
    <s v="20GP"/>
    <d v="2026-06-10T00:00:00"/>
    <n v="5"/>
    <d v="2026-06-14T00:00:00"/>
    <d v="2026-06-15T00:00:00"/>
    <n v="110"/>
    <n v="0"/>
    <x v="1"/>
    <s v="NA"/>
    <x v="1"/>
  </r>
  <r>
    <n v="1255"/>
    <s v="CNTR101254"/>
    <x v="3"/>
    <s v="Hapag Lloyd Bern"/>
    <x v="7"/>
    <s v="20GP"/>
    <d v="2026-07-20T00:00:00"/>
    <n v="6"/>
    <m/>
    <d v="2026-07-26T00:00:00"/>
    <n v="130"/>
    <n v="30"/>
    <x v="2"/>
    <n v="3900"/>
    <x v="0"/>
  </r>
  <r>
    <n v="1256"/>
    <s v="CNTR101255"/>
    <x v="0"/>
    <s v="CMA CGM Rhone"/>
    <x v="7"/>
    <s v="40HC"/>
    <d v="2026-08-15T00:00:00"/>
    <n v="5"/>
    <d v="2026-08-18T00:00:00"/>
    <d v="2026-08-20T00:00:00"/>
    <n v="60"/>
    <n v="0"/>
    <x v="1"/>
    <s v="NA"/>
    <x v="1"/>
  </r>
  <r>
    <n v="1257"/>
    <s v="CNTR101256"/>
    <x v="3"/>
    <s v="Yang Ming Peak"/>
    <x v="8"/>
    <s v="40GP"/>
    <d v="2026-08-06T00:00:00"/>
    <n v="5"/>
    <d v="2026-08-14T00:00:00"/>
    <d v="2026-08-11T00:00:00"/>
    <n v="60"/>
    <n v="3"/>
    <x v="0"/>
    <n v="180"/>
    <x v="1"/>
  </r>
  <r>
    <n v="1258"/>
    <s v="CNTR101257"/>
    <x v="0"/>
    <s v="ZIM Voyager"/>
    <x v="4"/>
    <s v="20GP"/>
    <d v="2026-06-18T00:00:00"/>
    <n v="4"/>
    <d v="2026-06-19T00:00:00"/>
    <d v="2026-06-22T00:00:00"/>
    <n v="130"/>
    <n v="0"/>
    <x v="1"/>
    <s v="NA"/>
    <x v="1"/>
  </r>
  <r>
    <n v="1259"/>
    <s v="CNTR101258"/>
    <x v="2"/>
    <s v="Hapag Lloyd Bern"/>
    <x v="3"/>
    <s v="40GP"/>
    <d v="2026-06-08T00:00:00"/>
    <n v="4"/>
    <m/>
    <d v="2026-06-12T00:00:00"/>
    <n v="75"/>
    <n v="74"/>
    <x v="2"/>
    <n v="5550"/>
    <x v="0"/>
  </r>
  <r>
    <n v="1260"/>
    <s v="CNTR101259"/>
    <x v="0"/>
    <s v="ONE Kestrel"/>
    <x v="2"/>
    <s v="20GP"/>
    <d v="2026-06-03T00:00:00"/>
    <n v="5"/>
    <m/>
    <d v="2026-06-08T00:00:00"/>
    <n v="90"/>
    <n v="78"/>
    <x v="2"/>
    <n v="7020"/>
    <x v="0"/>
  </r>
  <r>
    <n v="1261"/>
    <s v="CNTR101260"/>
    <x v="0"/>
    <s v="Hapag Lloyd Bern"/>
    <x v="3"/>
    <s v="40GP"/>
    <d v="2026-07-28T00:00:00"/>
    <n v="6"/>
    <d v="2026-08-04T00:00:00"/>
    <d v="2026-08-03T00:00:00"/>
    <n v="75"/>
    <n v="1"/>
    <x v="0"/>
    <n v="75"/>
    <x v="1"/>
  </r>
  <r>
    <n v="1262"/>
    <s v="CNTR101261"/>
    <x v="3"/>
    <s v="Maersk Kiel"/>
    <x v="8"/>
    <s v="20GP"/>
    <d v="2026-08-18T00:00:00"/>
    <n v="7"/>
    <d v="2026-08-19T00:00:00"/>
    <d v="2026-08-25T00:00:00"/>
    <n v="130"/>
    <n v="0"/>
    <x v="1"/>
    <s v="NA"/>
    <x v="1"/>
  </r>
  <r>
    <n v="1263"/>
    <s v="CNTR101262"/>
    <x v="1"/>
    <s v="Yang Ming Peak"/>
    <x v="5"/>
    <s v="20GP"/>
    <d v="2026-08-04T00:00:00"/>
    <n v="7"/>
    <d v="2026-08-11T00:00:00"/>
    <d v="2026-08-11T00:00:00"/>
    <n v="75"/>
    <n v="0"/>
    <x v="1"/>
    <s v="NA"/>
    <x v="1"/>
  </r>
  <r>
    <n v="1264"/>
    <s v="CNTR101263"/>
    <x v="1"/>
    <s v="ZIM Voyager"/>
    <x v="3"/>
    <s v="40RF"/>
    <d v="2026-07-11T00:00:00"/>
    <n v="4"/>
    <d v="2026-07-16T00:00:00"/>
    <d v="2026-07-15T00:00:00"/>
    <n v="180"/>
    <n v="1"/>
    <x v="0"/>
    <n v="180"/>
    <x v="1"/>
  </r>
  <r>
    <n v="1265"/>
    <s v="CNTR101264"/>
    <x v="3"/>
    <s v="Hapag Lloyd Bern"/>
    <x v="5"/>
    <s v="40RF"/>
    <d v="2026-07-07T00:00:00"/>
    <n v="4"/>
    <d v="2026-07-09T00:00:00"/>
    <d v="2026-07-11T00:00:00"/>
    <n v="180"/>
    <n v="0"/>
    <x v="1"/>
    <s v="NA"/>
    <x v="1"/>
  </r>
  <r>
    <n v="1266"/>
    <s v="CNTR101265"/>
    <x v="0"/>
    <s v="CMA CGM Rhone"/>
    <x v="8"/>
    <s v="20GP"/>
    <d v="2026-06-10T00:00:00"/>
    <n v="4"/>
    <d v="2026-06-11T00:00:00"/>
    <d v="2026-06-14T00:00:00"/>
    <n v="110"/>
    <n v="0"/>
    <x v="1"/>
    <s v="NA"/>
    <x v="1"/>
  </r>
  <r>
    <n v="1267"/>
    <s v="CNTR101266"/>
    <x v="2"/>
    <s v="CMA CGM Rhone"/>
    <x v="2"/>
    <s v="20GP"/>
    <d v="2026-08-22T00:00:00"/>
    <n v="5"/>
    <d v="2026-08-25T00:00:00"/>
    <d v="2026-08-27T00:00:00"/>
    <n v="75"/>
    <n v="0"/>
    <x v="1"/>
    <s v="NA"/>
    <x v="1"/>
  </r>
  <r>
    <n v="1268"/>
    <s v="CNTR101267"/>
    <x v="3"/>
    <s v="CMA CGM Rhone"/>
    <x v="0"/>
    <s v="20GP"/>
    <d v="2026-07-27T00:00:00"/>
    <n v="4"/>
    <m/>
    <d v="2026-07-31T00:00:00"/>
    <n v="75"/>
    <n v="25"/>
    <x v="2"/>
    <n v="1875"/>
    <x v="0"/>
  </r>
  <r>
    <n v="1269"/>
    <s v="CNTR101268"/>
    <x v="1"/>
    <s v="Maersk Kiel"/>
    <x v="7"/>
    <s v="40HC"/>
    <d v="2026-07-28T00:00:00"/>
    <n v="5"/>
    <d v="2026-08-04T00:00:00"/>
    <d v="2026-08-02T00:00:00"/>
    <n v="75"/>
    <n v="2"/>
    <x v="0"/>
    <n v="150"/>
    <x v="1"/>
  </r>
  <r>
    <n v="1270"/>
    <s v="CNTR101269"/>
    <x v="0"/>
    <s v="ONE Kestrel"/>
    <x v="4"/>
    <s v="40GP"/>
    <d v="2026-07-01T00:00:00"/>
    <n v="5"/>
    <d v="2026-07-10T00:00:00"/>
    <d v="2026-07-06T00:00:00"/>
    <n v="130"/>
    <n v="4"/>
    <x v="0"/>
    <n v="520"/>
    <x v="1"/>
  </r>
  <r>
    <n v="1271"/>
    <s v="CNTR101270"/>
    <x v="3"/>
    <s v="MSC Elena"/>
    <x v="3"/>
    <s v="40HC"/>
    <d v="2026-06-13T00:00:00"/>
    <n v="4"/>
    <m/>
    <d v="2026-06-17T00:00:00"/>
    <n v="110"/>
    <n v="69"/>
    <x v="2"/>
    <n v="7590"/>
    <x v="0"/>
  </r>
  <r>
    <n v="1272"/>
    <s v="CNTR101271"/>
    <x v="2"/>
    <s v="COSCO Harmony"/>
    <x v="7"/>
    <s v="40HC"/>
    <d v="2026-08-09T00:00:00"/>
    <n v="5"/>
    <d v="2026-08-15T00:00:00"/>
    <d v="2026-08-14T00:00:00"/>
    <n v="75"/>
    <n v="1"/>
    <x v="0"/>
    <n v="75"/>
    <x v="1"/>
  </r>
  <r>
    <n v="1273"/>
    <s v="CNTR101272"/>
    <x v="1"/>
    <s v="COSCO Harmony"/>
    <x v="9"/>
    <s v="40GP"/>
    <d v="2026-07-03T00:00:00"/>
    <n v="5"/>
    <d v="2026-07-10T00:00:00"/>
    <d v="2026-07-08T00:00:00"/>
    <n v="90"/>
    <n v="2"/>
    <x v="0"/>
    <n v="180"/>
    <x v="1"/>
  </r>
  <r>
    <n v="1274"/>
    <s v="CNTR101273"/>
    <x v="1"/>
    <s v="ONE Kestrel"/>
    <x v="1"/>
    <s v="20GP"/>
    <d v="2026-06-09T00:00:00"/>
    <n v="5"/>
    <d v="2026-06-11T00:00:00"/>
    <d v="2026-06-14T00:00:00"/>
    <n v="130"/>
    <n v="0"/>
    <x v="1"/>
    <s v="NA"/>
    <x v="1"/>
  </r>
  <r>
    <n v="1275"/>
    <s v="CNTR101274"/>
    <x v="3"/>
    <s v="Evergreen Ace"/>
    <x v="3"/>
    <s v="40RF"/>
    <d v="2026-07-12T00:00:00"/>
    <n v="4"/>
    <d v="2026-07-21T00:00:00"/>
    <d v="2026-07-16T00:00:00"/>
    <n v="180"/>
    <n v="5"/>
    <x v="0"/>
    <n v="900"/>
    <x v="1"/>
  </r>
  <r>
    <n v="1276"/>
    <s v="CNTR101275"/>
    <x v="2"/>
    <s v="COSCO Harmony"/>
    <x v="4"/>
    <s v="20GP"/>
    <d v="2026-06-04T00:00:00"/>
    <n v="5"/>
    <d v="2026-06-13T00:00:00"/>
    <d v="2026-06-09T00:00:00"/>
    <n v="110"/>
    <n v="4"/>
    <x v="0"/>
    <n v="440"/>
    <x v="1"/>
  </r>
  <r>
    <n v="1277"/>
    <s v="CNTR101276"/>
    <x v="0"/>
    <s v="COSCO Harmony"/>
    <x v="0"/>
    <s v="40RF"/>
    <d v="2026-07-01T00:00:00"/>
    <n v="4"/>
    <d v="2026-07-06T00:00:00"/>
    <d v="2026-07-05T00:00:00"/>
    <n v="150"/>
    <n v="1"/>
    <x v="0"/>
    <n v="150"/>
    <x v="1"/>
  </r>
  <r>
    <n v="1278"/>
    <s v="CNTR101277"/>
    <x v="3"/>
    <s v="Evergreen Ace"/>
    <x v="4"/>
    <s v="40RF"/>
    <d v="2026-06-29T00:00:00"/>
    <n v="4"/>
    <d v="2026-07-03T00:00:00"/>
    <d v="2026-07-03T00:00:00"/>
    <n v="150"/>
    <n v="0"/>
    <x v="1"/>
    <s v="NA"/>
    <x v="1"/>
  </r>
  <r>
    <n v="1279"/>
    <s v="CNTR101278"/>
    <x v="2"/>
    <s v="Evergreen Ace"/>
    <x v="9"/>
    <s v="20GP"/>
    <d v="2026-07-16T00:00:00"/>
    <n v="6"/>
    <d v="2026-07-21T00:00:00"/>
    <d v="2026-07-22T00:00:00"/>
    <n v="110"/>
    <n v="0"/>
    <x v="1"/>
    <s v="NA"/>
    <x v="1"/>
  </r>
  <r>
    <n v="1280"/>
    <s v="CNTR101279"/>
    <x v="1"/>
    <s v="MSC Elena"/>
    <x v="3"/>
    <s v="40GP"/>
    <d v="2026-08-11T00:00:00"/>
    <n v="7"/>
    <d v="2026-08-12T00:00:00"/>
    <d v="2026-08-18T00:00:00"/>
    <n v="90"/>
    <n v="0"/>
    <x v="1"/>
    <s v="NA"/>
    <x v="1"/>
  </r>
  <r>
    <n v="1281"/>
    <s v="CNTR101280"/>
    <x v="2"/>
    <s v="Maersk Kiel"/>
    <x v="4"/>
    <s v="20GP"/>
    <d v="2026-08-23T00:00:00"/>
    <n v="6"/>
    <m/>
    <d v="2026-08-29T00:00:00"/>
    <n v="75"/>
    <n v="0"/>
    <x v="1"/>
    <s v="NA"/>
    <x v="0"/>
  </r>
  <r>
    <n v="1282"/>
    <s v="CNTR101281"/>
    <x v="1"/>
    <s v="Evergreen Ace"/>
    <x v="7"/>
    <s v="40HC"/>
    <d v="2026-06-23T00:00:00"/>
    <n v="5"/>
    <m/>
    <d v="2026-06-28T00:00:00"/>
    <n v="130"/>
    <n v="58"/>
    <x v="2"/>
    <n v="7540"/>
    <x v="0"/>
  </r>
  <r>
    <n v="1283"/>
    <s v="CNTR101282"/>
    <x v="1"/>
    <s v="ZIM Voyager"/>
    <x v="8"/>
    <s v="40HC"/>
    <d v="2026-08-16T00:00:00"/>
    <n v="6"/>
    <d v="2026-08-21T00:00:00"/>
    <d v="2026-08-22T00:00:00"/>
    <n v="60"/>
    <n v="0"/>
    <x v="1"/>
    <s v="NA"/>
    <x v="1"/>
  </r>
  <r>
    <n v="1284"/>
    <s v="CNTR101283"/>
    <x v="2"/>
    <s v="Evergreen Ace"/>
    <x v="6"/>
    <s v="40GP"/>
    <d v="2026-07-10T00:00:00"/>
    <n v="5"/>
    <d v="2026-07-11T00:00:00"/>
    <d v="2026-07-15T00:00:00"/>
    <n v="60"/>
    <n v="0"/>
    <x v="1"/>
    <s v="NA"/>
    <x v="1"/>
  </r>
  <r>
    <n v="1285"/>
    <s v="CNTR101284"/>
    <x v="1"/>
    <s v="Maersk Kiel"/>
    <x v="6"/>
    <s v="40GP"/>
    <d v="2026-07-02T00:00:00"/>
    <n v="5"/>
    <m/>
    <d v="2026-07-07T00:00:00"/>
    <n v="130"/>
    <n v="49"/>
    <x v="2"/>
    <n v="6370"/>
    <x v="0"/>
  </r>
  <r>
    <n v="1286"/>
    <s v="CNTR101285"/>
    <x v="0"/>
    <s v="ONE Kestrel"/>
    <x v="9"/>
    <s v="40RF"/>
    <d v="2026-07-05T00:00:00"/>
    <n v="4"/>
    <d v="2026-07-10T00:00:00"/>
    <d v="2026-07-09T00:00:00"/>
    <n v="180"/>
    <n v="1"/>
    <x v="0"/>
    <n v="180"/>
    <x v="1"/>
  </r>
  <r>
    <n v="1287"/>
    <s v="CNTR101286"/>
    <x v="2"/>
    <s v="ONE Kestrel"/>
    <x v="3"/>
    <s v="40RF"/>
    <d v="2026-06-21T00:00:00"/>
    <n v="4"/>
    <d v="2026-06-24T00:00:00"/>
    <d v="2026-06-25T00:00:00"/>
    <n v="180"/>
    <n v="0"/>
    <x v="1"/>
    <s v="NA"/>
    <x v="1"/>
  </r>
  <r>
    <n v="1288"/>
    <s v="CNTR101287"/>
    <x v="3"/>
    <s v="Hapag Lloyd Bern"/>
    <x v="9"/>
    <s v="40RF"/>
    <d v="2026-07-21T00:00:00"/>
    <n v="4"/>
    <d v="2026-07-22T00:00:00"/>
    <d v="2026-07-25T00:00:00"/>
    <n v="120"/>
    <n v="0"/>
    <x v="1"/>
    <s v="NA"/>
    <x v="1"/>
  </r>
  <r>
    <n v="1289"/>
    <s v="CNTR101288"/>
    <x v="2"/>
    <s v="ONE Kestrel"/>
    <x v="1"/>
    <s v="20GP"/>
    <d v="2026-05-28T00:00:00"/>
    <n v="5"/>
    <d v="2026-05-29T00:00:00"/>
    <d v="2026-06-02T00:00:00"/>
    <n v="75"/>
    <n v="0"/>
    <x v="1"/>
    <s v="NA"/>
    <x v="1"/>
  </r>
  <r>
    <n v="1290"/>
    <s v="CNTR101289"/>
    <x v="1"/>
    <s v="MSC Elena"/>
    <x v="8"/>
    <s v="40RF"/>
    <d v="2026-07-26T00:00:00"/>
    <n v="4"/>
    <d v="2026-07-27T00:00:00"/>
    <d v="2026-07-30T00:00:00"/>
    <n v="150"/>
    <n v="0"/>
    <x v="1"/>
    <s v="NA"/>
    <x v="1"/>
  </r>
  <r>
    <n v="1291"/>
    <s v="CNTR101290"/>
    <x v="1"/>
    <s v="MSC Elena"/>
    <x v="0"/>
    <s v="40HC"/>
    <d v="2026-08-23T00:00:00"/>
    <n v="6"/>
    <d v="2026-08-24T00:00:00"/>
    <d v="2026-08-29T00:00:00"/>
    <n v="60"/>
    <n v="0"/>
    <x v="1"/>
    <s v="NA"/>
    <x v="1"/>
  </r>
  <r>
    <n v="1292"/>
    <s v="CNTR101291"/>
    <x v="0"/>
    <s v="OOCL Bergen"/>
    <x v="5"/>
    <s v="40RF"/>
    <d v="2026-07-01T00:00:00"/>
    <n v="3"/>
    <m/>
    <d v="2026-07-04T00:00:00"/>
    <n v="150"/>
    <n v="52"/>
    <x v="2"/>
    <n v="7800"/>
    <x v="0"/>
  </r>
  <r>
    <n v="1293"/>
    <s v="CNTR101292"/>
    <x v="0"/>
    <s v="Hapag Lloyd Bern"/>
    <x v="2"/>
    <s v="40HC"/>
    <d v="2026-07-18T00:00:00"/>
    <n v="7"/>
    <d v="2026-07-26T00:00:00"/>
    <d v="2026-07-25T00:00:00"/>
    <n v="110"/>
    <n v="1"/>
    <x v="0"/>
    <n v="110"/>
    <x v="1"/>
  </r>
  <r>
    <n v="1294"/>
    <s v="CNTR101293"/>
    <x v="2"/>
    <s v="MSC Elena"/>
    <x v="6"/>
    <s v="40GP"/>
    <d v="2026-08-23T00:00:00"/>
    <n v="6"/>
    <d v="2026-08-24T00:00:00"/>
    <d v="2026-08-29T00:00:00"/>
    <n v="60"/>
    <n v="0"/>
    <x v="1"/>
    <s v="NA"/>
    <x v="1"/>
  </r>
  <r>
    <n v="1295"/>
    <s v="CNTR101294"/>
    <x v="1"/>
    <s v="MSC Elena"/>
    <x v="4"/>
    <s v="20GP"/>
    <d v="2026-06-23T00:00:00"/>
    <n v="5"/>
    <d v="2026-06-28T00:00:00"/>
    <d v="2026-06-28T00:00:00"/>
    <n v="60"/>
    <n v="0"/>
    <x v="1"/>
    <s v="NA"/>
    <x v="1"/>
  </r>
  <r>
    <n v="1296"/>
    <s v="CNTR101295"/>
    <x v="3"/>
    <s v="Evergreen Ace"/>
    <x v="1"/>
    <s v="40RF"/>
    <d v="2026-08-13T00:00:00"/>
    <n v="4"/>
    <d v="2026-08-14T00:00:00"/>
    <d v="2026-08-17T00:00:00"/>
    <n v="120"/>
    <n v="0"/>
    <x v="1"/>
    <s v="NA"/>
    <x v="1"/>
  </r>
  <r>
    <n v="1297"/>
    <s v="CNTR101296"/>
    <x v="0"/>
    <s v="Evergreen Ace"/>
    <x v="4"/>
    <s v="40GP"/>
    <d v="2026-08-21T00:00:00"/>
    <n v="7"/>
    <m/>
    <d v="2026-08-28T00:00:00"/>
    <n v="110"/>
    <n v="0"/>
    <x v="1"/>
    <s v="NA"/>
    <x v="0"/>
  </r>
  <r>
    <n v="1298"/>
    <s v="CNTR101297"/>
    <x v="2"/>
    <s v="CMA CGM Rhone"/>
    <x v="6"/>
    <s v="20GP"/>
    <d v="2026-07-10T00:00:00"/>
    <n v="5"/>
    <d v="2026-07-16T00:00:00"/>
    <d v="2026-07-15T00:00:00"/>
    <n v="110"/>
    <n v="1"/>
    <x v="0"/>
    <n v="110"/>
    <x v="1"/>
  </r>
  <r>
    <n v="1299"/>
    <s v="CNTR101298"/>
    <x v="3"/>
    <s v="CMA CGM Rhone"/>
    <x v="4"/>
    <s v="20GP"/>
    <d v="2026-08-23T00:00:00"/>
    <n v="5"/>
    <d v="2026-08-25T00:00:00"/>
    <d v="2026-08-28T00:00:00"/>
    <n v="130"/>
    <n v="0"/>
    <x v="1"/>
    <s v="NA"/>
    <x v="1"/>
  </r>
  <r>
    <n v="1300"/>
    <s v="CNTR101299"/>
    <x v="2"/>
    <s v="COSCO Harmony"/>
    <x v="0"/>
    <s v="40HC"/>
    <d v="2026-08-05T00:00:00"/>
    <n v="4"/>
    <d v="2026-08-06T00:00:00"/>
    <d v="2026-08-09T00:00:00"/>
    <n v="75"/>
    <n v="0"/>
    <x v="1"/>
    <s v="NA"/>
    <x v="1"/>
  </r>
  <r>
    <n v="1301"/>
    <s v="CNTR101300"/>
    <x v="3"/>
    <s v="ZIM Voyager"/>
    <x v="7"/>
    <s v="40HC"/>
    <d v="2026-06-05T00:00:00"/>
    <n v="4"/>
    <d v="2026-06-12T00:00:00"/>
    <d v="2026-06-09T00:00:00"/>
    <n v="75"/>
    <n v="3"/>
    <x v="0"/>
    <n v="225"/>
    <x v="1"/>
  </r>
  <r>
    <n v="1302"/>
    <s v="CNTR101301"/>
    <x v="2"/>
    <s v="Maersk Kiel"/>
    <x v="6"/>
    <s v="40GP"/>
    <d v="2026-07-03T00:00:00"/>
    <n v="6"/>
    <m/>
    <d v="2026-07-09T00:00:00"/>
    <n v="60"/>
    <n v="47"/>
    <x v="2"/>
    <n v="2820"/>
    <x v="0"/>
  </r>
  <r>
    <n v="1303"/>
    <s v="CNTR101302"/>
    <x v="3"/>
    <s v="ONE Kestrel"/>
    <x v="5"/>
    <s v="40GP"/>
    <d v="2026-08-06T00:00:00"/>
    <n v="5"/>
    <m/>
    <d v="2026-08-11T00:00:00"/>
    <n v="130"/>
    <n v="14"/>
    <x v="2"/>
    <n v="1820"/>
    <x v="0"/>
  </r>
  <r>
    <n v="1304"/>
    <s v="CNTR101303"/>
    <x v="2"/>
    <s v="OOCL Bergen"/>
    <x v="1"/>
    <s v="40RF"/>
    <d v="2026-08-10T00:00:00"/>
    <n v="3"/>
    <d v="2026-08-13T00:00:00"/>
    <d v="2026-08-13T00:00:00"/>
    <n v="180"/>
    <n v="0"/>
    <x v="1"/>
    <s v="NA"/>
    <x v="1"/>
  </r>
  <r>
    <n v="1305"/>
    <s v="CNTR101304"/>
    <x v="1"/>
    <s v="Maersk Kiel"/>
    <x v="1"/>
    <s v="20GP"/>
    <d v="2026-08-09T00:00:00"/>
    <n v="7"/>
    <d v="2026-08-18T00:00:00"/>
    <d v="2026-08-16T00:00:00"/>
    <n v="110"/>
    <n v="2"/>
    <x v="0"/>
    <n v="220"/>
    <x v="1"/>
  </r>
  <r>
    <n v="1306"/>
    <s v="CNTR101305"/>
    <x v="1"/>
    <s v="Hapag Lloyd Bern"/>
    <x v="9"/>
    <s v="40GP"/>
    <d v="2026-07-18T00:00:00"/>
    <n v="7"/>
    <m/>
    <d v="2026-07-25T00:00:00"/>
    <n v="130"/>
    <n v="31"/>
    <x v="2"/>
    <n v="4030"/>
    <x v="0"/>
  </r>
  <r>
    <n v="1307"/>
    <s v="CNTR101306"/>
    <x v="1"/>
    <s v="Yang Ming Peak"/>
    <x v="5"/>
    <s v="40RF"/>
    <d v="2026-08-19T00:00:00"/>
    <n v="3"/>
    <d v="2026-08-24T00:00:00"/>
    <d v="2026-08-22T00:00:00"/>
    <n v="180"/>
    <n v="2"/>
    <x v="0"/>
    <n v="360"/>
    <x v="1"/>
  </r>
  <r>
    <n v="1308"/>
    <s v="CNTR101307"/>
    <x v="0"/>
    <s v="COSCO Harmony"/>
    <x v="0"/>
    <s v="40GP"/>
    <d v="2026-06-03T00:00:00"/>
    <n v="6"/>
    <m/>
    <d v="2026-06-09T00:00:00"/>
    <n v="110"/>
    <n v="77"/>
    <x v="2"/>
    <n v="8470"/>
    <x v="0"/>
  </r>
  <r>
    <n v="1309"/>
    <s v="CNTR101308"/>
    <x v="0"/>
    <s v="Evergreen Ace"/>
    <x v="0"/>
    <s v="40GP"/>
    <d v="2026-07-29T00:00:00"/>
    <n v="5"/>
    <d v="2026-07-31T00:00:00"/>
    <d v="2026-08-03T00:00:00"/>
    <n v="90"/>
    <n v="0"/>
    <x v="1"/>
    <s v="NA"/>
    <x v="1"/>
  </r>
  <r>
    <n v="1310"/>
    <s v="CNTR101309"/>
    <x v="2"/>
    <s v="ONE Kestrel"/>
    <x v="4"/>
    <s v="40GP"/>
    <d v="2026-07-14T00:00:00"/>
    <n v="5"/>
    <d v="2026-07-16T00:00:00"/>
    <d v="2026-07-19T00:00:00"/>
    <n v="75"/>
    <n v="0"/>
    <x v="1"/>
    <s v="NA"/>
    <x v="1"/>
  </r>
  <r>
    <n v="1311"/>
    <s v="CNTR101310"/>
    <x v="2"/>
    <s v="MSC Elena"/>
    <x v="4"/>
    <s v="40GP"/>
    <d v="2026-05-29T00:00:00"/>
    <n v="5"/>
    <d v="2026-06-03T00:00:00"/>
    <d v="2026-06-03T00:00:00"/>
    <n v="110"/>
    <n v="0"/>
    <x v="1"/>
    <s v="NA"/>
    <x v="1"/>
  </r>
  <r>
    <n v="1312"/>
    <s v="CNTR101311"/>
    <x v="0"/>
    <s v="ONE Kestrel"/>
    <x v="3"/>
    <s v="40RF"/>
    <d v="2026-06-03T00:00:00"/>
    <n v="3"/>
    <d v="2026-06-15T00:00:00"/>
    <d v="2026-06-06T00:00:00"/>
    <n v="150"/>
    <n v="9"/>
    <x v="0"/>
    <n v="1350"/>
    <x v="1"/>
  </r>
  <r>
    <n v="1313"/>
    <s v="CNTR101312"/>
    <x v="3"/>
    <s v="Maersk Kiel"/>
    <x v="9"/>
    <s v="40RF"/>
    <d v="2026-06-19T00:00:00"/>
    <n v="4"/>
    <d v="2026-06-30T00:00:00"/>
    <d v="2026-06-23T00:00:00"/>
    <n v="120"/>
    <n v="7"/>
    <x v="0"/>
    <n v="840"/>
    <x v="1"/>
  </r>
  <r>
    <n v="1314"/>
    <s v="CNTR101313"/>
    <x v="0"/>
    <s v="COSCO Harmony"/>
    <x v="9"/>
    <s v="20GP"/>
    <d v="2026-06-03T00:00:00"/>
    <n v="5"/>
    <m/>
    <d v="2026-06-08T00:00:00"/>
    <n v="90"/>
    <n v="78"/>
    <x v="2"/>
    <n v="7020"/>
    <x v="0"/>
  </r>
  <r>
    <n v="1315"/>
    <s v="CNTR101314"/>
    <x v="2"/>
    <s v="ONE Kestrel"/>
    <x v="9"/>
    <s v="40RF"/>
    <d v="2026-06-12T00:00:00"/>
    <n v="4"/>
    <d v="2026-06-23T00:00:00"/>
    <d v="2026-06-16T00:00:00"/>
    <n v="150"/>
    <n v="7"/>
    <x v="0"/>
    <n v="1050"/>
    <x v="1"/>
  </r>
  <r>
    <n v="1316"/>
    <s v="CNTR101315"/>
    <x v="3"/>
    <s v="Maersk Kiel"/>
    <x v="5"/>
    <s v="40HC"/>
    <d v="2026-06-28T00:00:00"/>
    <n v="5"/>
    <d v="2026-06-29T00:00:00"/>
    <d v="2026-07-03T00:00:00"/>
    <n v="110"/>
    <n v="0"/>
    <x v="1"/>
    <s v="NA"/>
    <x v="1"/>
  </r>
  <r>
    <n v="1317"/>
    <s v="CNTR101316"/>
    <x v="3"/>
    <s v="MSC Elena"/>
    <x v="6"/>
    <s v="40GP"/>
    <d v="2026-06-13T00:00:00"/>
    <n v="7"/>
    <m/>
    <d v="2026-06-20T00:00:00"/>
    <n v="110"/>
    <n v="66"/>
    <x v="2"/>
    <n v="7260"/>
    <x v="0"/>
  </r>
  <r>
    <n v="1318"/>
    <s v="CNTR101317"/>
    <x v="2"/>
    <s v="ONE Kestrel"/>
    <x v="1"/>
    <s v="40RF"/>
    <d v="2026-07-02T00:00:00"/>
    <n v="4"/>
    <d v="2026-07-07T00:00:00"/>
    <d v="2026-07-06T00:00:00"/>
    <n v="150"/>
    <n v="1"/>
    <x v="0"/>
    <n v="150"/>
    <x v="1"/>
  </r>
  <r>
    <n v="1319"/>
    <s v="CNTR101318"/>
    <x v="3"/>
    <s v="Yang Ming Peak"/>
    <x v="9"/>
    <s v="20GP"/>
    <d v="2026-07-09T00:00:00"/>
    <n v="7"/>
    <d v="2026-07-10T00:00:00"/>
    <d v="2026-07-16T00:00:00"/>
    <n v="75"/>
    <n v="0"/>
    <x v="1"/>
    <s v="NA"/>
    <x v="1"/>
  </r>
  <r>
    <n v="1320"/>
    <s v="CNTR101319"/>
    <x v="2"/>
    <s v="Yang Ming Peak"/>
    <x v="2"/>
    <s v="20GP"/>
    <d v="2026-06-13T00:00:00"/>
    <n v="5"/>
    <d v="2026-06-15T00:00:00"/>
    <d v="2026-06-18T00:00:00"/>
    <n v="75"/>
    <n v="0"/>
    <x v="1"/>
    <s v="NA"/>
    <x v="1"/>
  </r>
  <r>
    <n v="1321"/>
    <s v="CNTR101320"/>
    <x v="0"/>
    <s v="Evergreen Ace"/>
    <x v="8"/>
    <s v="20GP"/>
    <d v="2026-08-22T00:00:00"/>
    <n v="5"/>
    <d v="2026-08-25T00:00:00"/>
    <d v="2026-08-27T00:00:00"/>
    <n v="130"/>
    <n v="0"/>
    <x v="1"/>
    <s v="NA"/>
    <x v="1"/>
  </r>
  <r>
    <n v="1322"/>
    <s v="CNTR101321"/>
    <x v="3"/>
    <s v="COSCO Harmony"/>
    <x v="3"/>
    <s v="40RF"/>
    <d v="2026-08-16T00:00:00"/>
    <n v="3"/>
    <m/>
    <d v="2026-08-19T00:00:00"/>
    <n v="180"/>
    <n v="6"/>
    <x v="0"/>
    <n v="1080"/>
    <x v="0"/>
  </r>
  <r>
    <n v="1323"/>
    <s v="CNTR101322"/>
    <x v="0"/>
    <s v="Hapag Lloyd Bern"/>
    <x v="6"/>
    <s v="40HC"/>
    <d v="2026-07-08T00:00:00"/>
    <n v="7"/>
    <m/>
    <d v="2026-07-15T00:00:00"/>
    <n v="110"/>
    <n v="41"/>
    <x v="2"/>
    <n v="4510"/>
    <x v="0"/>
  </r>
  <r>
    <n v="1324"/>
    <s v="CNTR101323"/>
    <x v="3"/>
    <s v="Evergreen Ace"/>
    <x v="1"/>
    <s v="40GP"/>
    <d v="2026-08-07T00:00:00"/>
    <n v="4"/>
    <d v="2026-08-14T00:00:00"/>
    <d v="2026-08-11T00:00:00"/>
    <n v="130"/>
    <n v="3"/>
    <x v="0"/>
    <n v="390"/>
    <x v="1"/>
  </r>
  <r>
    <n v="1325"/>
    <s v="CNTR101324"/>
    <x v="3"/>
    <s v="COSCO Harmony"/>
    <x v="4"/>
    <s v="40GP"/>
    <d v="2026-07-26T00:00:00"/>
    <n v="5"/>
    <d v="2026-07-27T00:00:00"/>
    <d v="2026-07-31T00:00:00"/>
    <n v="130"/>
    <n v="0"/>
    <x v="1"/>
    <s v="NA"/>
    <x v="1"/>
  </r>
  <r>
    <n v="1326"/>
    <s v="CNTR101325"/>
    <x v="3"/>
    <s v="ONE Kestrel"/>
    <x v="0"/>
    <s v="20GP"/>
    <d v="2026-07-26T00:00:00"/>
    <n v="7"/>
    <d v="2026-08-06T00:00:00"/>
    <d v="2026-08-02T00:00:00"/>
    <n v="75"/>
    <n v="4"/>
    <x v="0"/>
    <n v="300"/>
    <x v="1"/>
  </r>
  <r>
    <n v="1327"/>
    <s v="CNTR101326"/>
    <x v="3"/>
    <s v="Maersk Kiel"/>
    <x v="4"/>
    <s v="40RF"/>
    <d v="2026-08-06T00:00:00"/>
    <n v="4"/>
    <m/>
    <d v="2026-08-10T00:00:00"/>
    <n v="180"/>
    <n v="15"/>
    <x v="2"/>
    <n v="2700"/>
    <x v="0"/>
  </r>
  <r>
    <n v="1328"/>
    <s v="CNTR101327"/>
    <x v="1"/>
    <s v="Hapag Lloyd Bern"/>
    <x v="2"/>
    <s v="40GP"/>
    <d v="2026-07-03T00:00:00"/>
    <n v="6"/>
    <m/>
    <d v="2026-07-09T00:00:00"/>
    <n v="110"/>
    <n v="47"/>
    <x v="2"/>
    <n v="5170"/>
    <x v="0"/>
  </r>
  <r>
    <n v="1329"/>
    <s v="CNTR101328"/>
    <x v="2"/>
    <s v="OOCL Bergen"/>
    <x v="3"/>
    <s v="20GP"/>
    <d v="2026-08-11T00:00:00"/>
    <n v="5"/>
    <d v="2026-08-13T00:00:00"/>
    <d v="2026-08-16T00:00:00"/>
    <n v="90"/>
    <n v="0"/>
    <x v="1"/>
    <s v="NA"/>
    <x v="1"/>
  </r>
  <r>
    <n v="1330"/>
    <s v="CNTR101329"/>
    <x v="2"/>
    <s v="COSCO Harmony"/>
    <x v="1"/>
    <s v="40GP"/>
    <d v="2026-08-15T00:00:00"/>
    <n v="6"/>
    <d v="2026-08-25T00:00:00"/>
    <d v="2026-08-21T00:00:00"/>
    <n v="90"/>
    <n v="4"/>
    <x v="0"/>
    <n v="360"/>
    <x v="1"/>
  </r>
  <r>
    <n v="1331"/>
    <s v="CNTR101330"/>
    <x v="2"/>
    <s v="OOCL Bergen"/>
    <x v="1"/>
    <s v="20GP"/>
    <d v="2026-07-27T00:00:00"/>
    <n v="5"/>
    <d v="2026-07-31T00:00:00"/>
    <d v="2026-08-01T00:00:00"/>
    <n v="75"/>
    <n v="0"/>
    <x v="1"/>
    <s v="NA"/>
    <x v="1"/>
  </r>
  <r>
    <n v="1332"/>
    <s v="CNTR101331"/>
    <x v="1"/>
    <s v="OOCL Bergen"/>
    <x v="9"/>
    <s v="40RF"/>
    <d v="2026-07-02T00:00:00"/>
    <n v="3"/>
    <m/>
    <d v="2026-07-05T00:00:00"/>
    <n v="120"/>
    <n v="51"/>
    <x v="2"/>
    <n v="6120"/>
    <x v="0"/>
  </r>
  <r>
    <n v="1333"/>
    <s v="CNTR101332"/>
    <x v="3"/>
    <s v="Maersk Kiel"/>
    <x v="9"/>
    <s v="40RF"/>
    <d v="2026-06-27T00:00:00"/>
    <n v="3"/>
    <m/>
    <d v="2026-06-30T00:00:00"/>
    <n v="120"/>
    <n v="56"/>
    <x v="2"/>
    <n v="6720"/>
    <x v="0"/>
  </r>
  <r>
    <n v="1334"/>
    <s v="CNTR101333"/>
    <x v="0"/>
    <s v="Yang Ming Peak"/>
    <x v="5"/>
    <s v="20GP"/>
    <d v="2026-06-13T00:00:00"/>
    <n v="4"/>
    <d v="2026-06-14T00:00:00"/>
    <d v="2026-06-17T00:00:00"/>
    <n v="90"/>
    <n v="0"/>
    <x v="1"/>
    <s v="NA"/>
    <x v="1"/>
  </r>
  <r>
    <n v="1335"/>
    <s v="CNTR101334"/>
    <x v="2"/>
    <s v="Maersk Kiel"/>
    <x v="6"/>
    <s v="40RF"/>
    <d v="2026-06-30T00:00:00"/>
    <n v="4"/>
    <m/>
    <d v="2026-07-04T00:00:00"/>
    <n v="120"/>
    <n v="52"/>
    <x v="2"/>
    <n v="6240"/>
    <x v="0"/>
  </r>
  <r>
    <n v="1336"/>
    <s v="CNTR101335"/>
    <x v="0"/>
    <s v="OOCL Bergen"/>
    <x v="1"/>
    <s v="40GP"/>
    <d v="2026-06-14T00:00:00"/>
    <n v="6"/>
    <d v="2026-06-28T00:00:00"/>
    <d v="2026-06-20T00:00:00"/>
    <n v="130"/>
    <n v="8"/>
    <x v="0"/>
    <n v="1040"/>
    <x v="1"/>
  </r>
  <r>
    <n v="1337"/>
    <s v="CNTR101336"/>
    <x v="2"/>
    <s v="Hapag Lloyd Bern"/>
    <x v="0"/>
    <s v="40HC"/>
    <d v="2026-08-12T00:00:00"/>
    <n v="5"/>
    <m/>
    <d v="2026-08-17T00:00:00"/>
    <n v="75"/>
    <n v="8"/>
    <x v="0"/>
    <n v="600"/>
    <x v="0"/>
  </r>
  <r>
    <n v="1338"/>
    <s v="CNTR101337"/>
    <x v="0"/>
    <s v="Evergreen Ace"/>
    <x v="7"/>
    <s v="40GP"/>
    <d v="2026-07-01T00:00:00"/>
    <n v="5"/>
    <d v="2026-07-07T00:00:00"/>
    <d v="2026-07-06T00:00:00"/>
    <n v="90"/>
    <n v="1"/>
    <x v="0"/>
    <n v="90"/>
    <x v="1"/>
  </r>
  <r>
    <n v="1339"/>
    <s v="CNTR101338"/>
    <x v="0"/>
    <s v="OOCL Bergen"/>
    <x v="9"/>
    <s v="20GP"/>
    <d v="2026-06-20T00:00:00"/>
    <n v="7"/>
    <d v="2026-06-30T00:00:00"/>
    <d v="2026-06-27T00:00:00"/>
    <n v="90"/>
    <n v="3"/>
    <x v="0"/>
    <n v="270"/>
    <x v="1"/>
  </r>
  <r>
    <n v="1340"/>
    <s v="CNTR101339"/>
    <x v="3"/>
    <s v="MSC Elena"/>
    <x v="4"/>
    <s v="40HC"/>
    <d v="2026-07-02T00:00:00"/>
    <n v="5"/>
    <d v="2026-07-09T00:00:00"/>
    <d v="2026-07-07T00:00:00"/>
    <n v="90"/>
    <n v="2"/>
    <x v="0"/>
    <n v="180"/>
    <x v="1"/>
  </r>
  <r>
    <n v="1341"/>
    <s v="CNTR101340"/>
    <x v="1"/>
    <s v="CMA CGM Rhone"/>
    <x v="9"/>
    <s v="40RF"/>
    <d v="2026-07-21T00:00:00"/>
    <n v="4"/>
    <m/>
    <d v="2026-07-25T00:00:00"/>
    <n v="180"/>
    <n v="31"/>
    <x v="2"/>
    <n v="5580"/>
    <x v="0"/>
  </r>
  <r>
    <n v="1342"/>
    <s v="CNTR101341"/>
    <x v="2"/>
    <s v="CMA CGM Rhone"/>
    <x v="5"/>
    <s v="40GP"/>
    <d v="2026-06-26T00:00:00"/>
    <n v="7"/>
    <m/>
    <d v="2026-07-03T00:00:00"/>
    <n v="130"/>
    <n v="53"/>
    <x v="2"/>
    <n v="6890"/>
    <x v="0"/>
  </r>
  <r>
    <n v="1343"/>
    <s v="CNTR101342"/>
    <x v="1"/>
    <s v="COSCO Harmony"/>
    <x v="7"/>
    <s v="20GP"/>
    <d v="2026-07-07T00:00:00"/>
    <n v="6"/>
    <d v="2026-07-12T00:00:00"/>
    <d v="2026-07-13T00:00:00"/>
    <n v="90"/>
    <n v="0"/>
    <x v="1"/>
    <s v="NA"/>
    <x v="1"/>
  </r>
  <r>
    <n v="1344"/>
    <s v="CNTR101343"/>
    <x v="0"/>
    <s v="ZIM Voyager"/>
    <x v="0"/>
    <s v="20GP"/>
    <d v="2026-08-09T00:00:00"/>
    <n v="7"/>
    <d v="2026-08-11T00:00:00"/>
    <d v="2026-08-16T00:00:00"/>
    <n v="130"/>
    <n v="0"/>
    <x v="1"/>
    <s v="NA"/>
    <x v="1"/>
  </r>
  <r>
    <n v="1345"/>
    <s v="CNTR101344"/>
    <x v="2"/>
    <s v="Evergreen Ace"/>
    <x v="9"/>
    <s v="40HC"/>
    <d v="2026-06-30T00:00:00"/>
    <n v="5"/>
    <d v="2026-07-12T00:00:00"/>
    <d v="2026-07-05T00:00:00"/>
    <n v="110"/>
    <n v="7"/>
    <x v="0"/>
    <n v="770"/>
    <x v="1"/>
  </r>
  <r>
    <n v="1346"/>
    <s v="CNTR101345"/>
    <x v="0"/>
    <s v="ONE Kestrel"/>
    <x v="7"/>
    <s v="40RF"/>
    <d v="2026-06-06T00:00:00"/>
    <n v="4"/>
    <d v="2026-06-15T00:00:00"/>
    <d v="2026-06-10T00:00:00"/>
    <n v="120"/>
    <n v="5"/>
    <x v="0"/>
    <n v="600"/>
    <x v="1"/>
  </r>
  <r>
    <n v="1347"/>
    <s v="CNTR101346"/>
    <x v="1"/>
    <s v="Hapag Lloyd Bern"/>
    <x v="2"/>
    <s v="40GP"/>
    <d v="2026-05-29T00:00:00"/>
    <n v="5"/>
    <d v="2026-06-06T00:00:00"/>
    <d v="2026-06-03T00:00:00"/>
    <n v="75"/>
    <n v="3"/>
    <x v="0"/>
    <n v="225"/>
    <x v="1"/>
  </r>
  <r>
    <n v="1348"/>
    <s v="CNTR101347"/>
    <x v="2"/>
    <s v="MSC Elena"/>
    <x v="0"/>
    <s v="40GP"/>
    <d v="2026-07-24T00:00:00"/>
    <n v="7"/>
    <d v="2026-08-03T00:00:00"/>
    <d v="2026-07-31T00:00:00"/>
    <n v="110"/>
    <n v="3"/>
    <x v="0"/>
    <n v="330"/>
    <x v="1"/>
  </r>
  <r>
    <n v="1349"/>
    <s v="CNTR101348"/>
    <x v="3"/>
    <s v="OOCL Bergen"/>
    <x v="7"/>
    <s v="40HC"/>
    <d v="2026-06-17T00:00:00"/>
    <n v="5"/>
    <d v="2026-06-18T00:00:00"/>
    <d v="2026-06-22T00:00:00"/>
    <n v="90"/>
    <n v="0"/>
    <x v="1"/>
    <s v="NA"/>
    <x v="1"/>
  </r>
  <r>
    <n v="1350"/>
    <s v="CNTR101349"/>
    <x v="0"/>
    <s v="ZIM Voyager"/>
    <x v="2"/>
    <s v="40HC"/>
    <d v="2026-07-19T00:00:00"/>
    <n v="6"/>
    <m/>
    <d v="2026-07-25T00:00:00"/>
    <n v="90"/>
    <n v="31"/>
    <x v="2"/>
    <n v="2790"/>
    <x v="0"/>
  </r>
  <r>
    <n v="1351"/>
    <s v="CNTR101350"/>
    <x v="1"/>
    <s v="OOCL Bergen"/>
    <x v="4"/>
    <s v="20GP"/>
    <d v="2026-07-09T00:00:00"/>
    <n v="4"/>
    <m/>
    <d v="2026-07-13T00:00:00"/>
    <n v="130"/>
    <n v="43"/>
    <x v="2"/>
    <n v="5590"/>
    <x v="0"/>
  </r>
  <r>
    <n v="1352"/>
    <s v="CNTR101351"/>
    <x v="0"/>
    <s v="COSCO Harmony"/>
    <x v="7"/>
    <s v="20GP"/>
    <d v="2026-08-10T00:00:00"/>
    <n v="4"/>
    <d v="2026-08-11T00:00:00"/>
    <d v="2026-08-14T00:00:00"/>
    <n v="90"/>
    <n v="0"/>
    <x v="1"/>
    <s v="NA"/>
    <x v="1"/>
  </r>
  <r>
    <n v="1353"/>
    <s v="CNTR101352"/>
    <x v="1"/>
    <s v="OOCL Bergen"/>
    <x v="0"/>
    <s v="40RF"/>
    <d v="2026-08-16T00:00:00"/>
    <n v="4"/>
    <d v="2026-08-17T00:00:00"/>
    <d v="2026-08-20T00:00:00"/>
    <n v="120"/>
    <n v="0"/>
    <x v="1"/>
    <s v="NA"/>
    <x v="1"/>
  </r>
  <r>
    <n v="1354"/>
    <s v="CNTR101353"/>
    <x v="1"/>
    <s v="ZIM Voyager"/>
    <x v="4"/>
    <s v="40HC"/>
    <d v="2026-07-11T00:00:00"/>
    <n v="5"/>
    <d v="2026-07-17T00:00:00"/>
    <d v="2026-07-16T00:00:00"/>
    <n v="60"/>
    <n v="1"/>
    <x v="0"/>
    <n v="60"/>
    <x v="1"/>
  </r>
  <r>
    <n v="1355"/>
    <s v="CNTR101354"/>
    <x v="0"/>
    <s v="Maersk Kiel"/>
    <x v="2"/>
    <s v="40GP"/>
    <d v="2026-07-05T00:00:00"/>
    <n v="6"/>
    <d v="2026-07-06T00:00:00"/>
    <d v="2026-07-11T00:00:00"/>
    <n v="110"/>
    <n v="0"/>
    <x v="1"/>
    <s v="NA"/>
    <x v="1"/>
  </r>
  <r>
    <n v="1356"/>
    <s v="CNTR101355"/>
    <x v="0"/>
    <s v="Yang Ming Peak"/>
    <x v="8"/>
    <s v="40GP"/>
    <d v="2026-07-08T00:00:00"/>
    <n v="5"/>
    <d v="2026-07-09T00:00:00"/>
    <d v="2026-07-13T00:00:00"/>
    <n v="90"/>
    <n v="0"/>
    <x v="1"/>
    <s v="NA"/>
    <x v="1"/>
  </r>
  <r>
    <n v="1357"/>
    <s v="CNTR101356"/>
    <x v="0"/>
    <s v="Maersk Kiel"/>
    <x v="6"/>
    <s v="40RF"/>
    <d v="2026-07-17T00:00:00"/>
    <n v="4"/>
    <m/>
    <d v="2026-07-21T00:00:00"/>
    <n v="120"/>
    <n v="35"/>
    <x v="2"/>
    <n v="4200"/>
    <x v="0"/>
  </r>
  <r>
    <n v="1358"/>
    <s v="CNTR101357"/>
    <x v="2"/>
    <s v="Evergreen Ace"/>
    <x v="7"/>
    <s v="40HC"/>
    <d v="2026-06-11T00:00:00"/>
    <n v="6"/>
    <d v="2026-06-15T00:00:00"/>
    <d v="2026-06-17T00:00:00"/>
    <n v="90"/>
    <n v="0"/>
    <x v="1"/>
    <s v="NA"/>
    <x v="1"/>
  </r>
  <r>
    <n v="1359"/>
    <s v="CNTR101358"/>
    <x v="0"/>
    <s v="CMA CGM Rhone"/>
    <x v="5"/>
    <s v="40GP"/>
    <d v="2026-08-11T00:00:00"/>
    <n v="5"/>
    <d v="2026-08-13T00:00:00"/>
    <d v="2026-08-16T00:00:00"/>
    <n v="130"/>
    <n v="0"/>
    <x v="1"/>
    <s v="NA"/>
    <x v="1"/>
  </r>
  <r>
    <n v="1360"/>
    <s v="CNTR101359"/>
    <x v="2"/>
    <s v="ONE Kestrel"/>
    <x v="1"/>
    <s v="40HC"/>
    <d v="2026-06-16T00:00:00"/>
    <n v="4"/>
    <d v="2026-06-17T00:00:00"/>
    <d v="2026-06-20T00:00:00"/>
    <n v="75"/>
    <n v="0"/>
    <x v="1"/>
    <s v="NA"/>
    <x v="1"/>
  </r>
  <r>
    <n v="1361"/>
    <s v="CNTR101360"/>
    <x v="2"/>
    <s v="MSC Elena"/>
    <x v="1"/>
    <s v="40RF"/>
    <d v="2026-07-14T00:00:00"/>
    <n v="4"/>
    <m/>
    <d v="2026-07-18T00:00:00"/>
    <n v="150"/>
    <n v="38"/>
    <x v="2"/>
    <n v="5700"/>
    <x v="0"/>
  </r>
  <r>
    <n v="1362"/>
    <s v="CNTR101361"/>
    <x v="3"/>
    <s v="Yang Ming Peak"/>
    <x v="4"/>
    <s v="40GP"/>
    <d v="2026-08-19T00:00:00"/>
    <n v="6"/>
    <d v="2026-08-20T00:00:00"/>
    <d v="2026-08-25T00:00:00"/>
    <n v="130"/>
    <n v="0"/>
    <x v="1"/>
    <s v="NA"/>
    <x v="1"/>
  </r>
  <r>
    <n v="1363"/>
    <s v="CNTR101362"/>
    <x v="3"/>
    <s v="Hapag Lloyd Bern"/>
    <x v="6"/>
    <s v="40GP"/>
    <d v="2026-05-29T00:00:00"/>
    <n v="5"/>
    <d v="2026-06-05T00:00:00"/>
    <d v="2026-06-03T00:00:00"/>
    <n v="90"/>
    <n v="2"/>
    <x v="0"/>
    <n v="180"/>
    <x v="1"/>
  </r>
  <r>
    <n v="1364"/>
    <s v="CNTR101363"/>
    <x v="0"/>
    <s v="MSC Elena"/>
    <x v="0"/>
    <s v="20GP"/>
    <d v="2026-06-19T00:00:00"/>
    <n v="5"/>
    <d v="2026-06-22T00:00:00"/>
    <d v="2026-06-24T00:00:00"/>
    <n v="90"/>
    <n v="0"/>
    <x v="1"/>
    <s v="NA"/>
    <x v="1"/>
  </r>
  <r>
    <n v="1365"/>
    <s v="CNTR101364"/>
    <x v="0"/>
    <s v="COSCO Harmony"/>
    <x v="2"/>
    <s v="40RF"/>
    <d v="2026-08-06T00:00:00"/>
    <n v="4"/>
    <d v="2026-08-11T00:00:00"/>
    <d v="2026-08-10T00:00:00"/>
    <n v="150"/>
    <n v="1"/>
    <x v="0"/>
    <n v="150"/>
    <x v="1"/>
  </r>
  <r>
    <n v="1366"/>
    <s v="CNTR101365"/>
    <x v="2"/>
    <s v="OOCL Bergen"/>
    <x v="0"/>
    <s v="20GP"/>
    <d v="2026-07-01T00:00:00"/>
    <n v="5"/>
    <d v="2026-07-02T00:00:00"/>
    <d v="2026-07-06T00:00:00"/>
    <n v="130"/>
    <n v="0"/>
    <x v="1"/>
    <s v="NA"/>
    <x v="1"/>
  </r>
  <r>
    <n v="1367"/>
    <s v="CNTR101366"/>
    <x v="1"/>
    <s v="CMA CGM Rhone"/>
    <x v="9"/>
    <s v="20GP"/>
    <d v="2026-08-03T00:00:00"/>
    <n v="5"/>
    <m/>
    <d v="2026-08-08T00:00:00"/>
    <n v="90"/>
    <n v="17"/>
    <x v="2"/>
    <n v="1530"/>
    <x v="0"/>
  </r>
  <r>
    <n v="1368"/>
    <s v="CNTR101367"/>
    <x v="1"/>
    <s v="ONE Kestrel"/>
    <x v="9"/>
    <s v="40RF"/>
    <d v="2026-06-22T00:00:00"/>
    <n v="4"/>
    <d v="2026-06-25T00:00:00"/>
    <d v="2026-06-26T00:00:00"/>
    <n v="150"/>
    <n v="0"/>
    <x v="1"/>
    <s v="NA"/>
    <x v="1"/>
  </r>
  <r>
    <n v="1369"/>
    <s v="CNTR101368"/>
    <x v="0"/>
    <s v="CMA CGM Rhone"/>
    <x v="3"/>
    <s v="40GP"/>
    <d v="2026-08-08T00:00:00"/>
    <n v="4"/>
    <m/>
    <d v="2026-08-12T00:00:00"/>
    <n v="60"/>
    <n v="13"/>
    <x v="2"/>
    <n v="780"/>
    <x v="0"/>
  </r>
  <r>
    <n v="1370"/>
    <s v="CNTR101369"/>
    <x v="1"/>
    <s v="COSCO Harmony"/>
    <x v="0"/>
    <s v="20GP"/>
    <d v="2026-06-12T00:00:00"/>
    <n v="4"/>
    <m/>
    <d v="2026-06-16T00:00:00"/>
    <n v="130"/>
    <n v="70"/>
    <x v="2"/>
    <n v="9100"/>
    <x v="0"/>
  </r>
  <r>
    <n v="1371"/>
    <s v="CNTR101370"/>
    <x v="2"/>
    <s v="Evergreen Ace"/>
    <x v="2"/>
    <s v="20GP"/>
    <d v="2026-06-30T00:00:00"/>
    <n v="5"/>
    <d v="2026-07-04T00:00:00"/>
    <d v="2026-07-05T00:00:00"/>
    <n v="60"/>
    <n v="0"/>
    <x v="1"/>
    <s v="NA"/>
    <x v="1"/>
  </r>
  <r>
    <n v="1372"/>
    <s v="CNTR101371"/>
    <x v="0"/>
    <s v="Maersk Kiel"/>
    <x v="0"/>
    <s v="40HC"/>
    <d v="2026-07-27T00:00:00"/>
    <n v="5"/>
    <m/>
    <d v="2026-08-01T00:00:00"/>
    <n v="110"/>
    <n v="24"/>
    <x v="2"/>
    <n v="2640"/>
    <x v="0"/>
  </r>
  <r>
    <n v="1373"/>
    <s v="CNTR101372"/>
    <x v="1"/>
    <s v="Evergreen Ace"/>
    <x v="0"/>
    <s v="20GP"/>
    <d v="2026-07-03T00:00:00"/>
    <n v="5"/>
    <d v="2026-07-05T00:00:00"/>
    <d v="2026-07-08T00:00:00"/>
    <n v="110"/>
    <n v="0"/>
    <x v="1"/>
    <s v="NA"/>
    <x v="1"/>
  </r>
  <r>
    <n v="1374"/>
    <s v="CNTR101373"/>
    <x v="0"/>
    <s v="CMA CGM Rhone"/>
    <x v="1"/>
    <s v="40GP"/>
    <d v="2026-07-14T00:00:00"/>
    <n v="4"/>
    <d v="2026-07-15T00:00:00"/>
    <d v="2026-07-18T00:00:00"/>
    <n v="130"/>
    <n v="0"/>
    <x v="1"/>
    <s v="NA"/>
    <x v="1"/>
  </r>
  <r>
    <n v="1375"/>
    <s v="CNTR101374"/>
    <x v="3"/>
    <s v="Maersk Kiel"/>
    <x v="6"/>
    <s v="40GP"/>
    <d v="2026-07-21T00:00:00"/>
    <n v="5"/>
    <d v="2026-07-22T00:00:00"/>
    <d v="2026-07-26T00:00:00"/>
    <n v="60"/>
    <n v="0"/>
    <x v="1"/>
    <s v="NA"/>
    <x v="1"/>
  </r>
  <r>
    <n v="1376"/>
    <s v="CNTR101375"/>
    <x v="3"/>
    <s v="MSC Elena"/>
    <x v="1"/>
    <s v="20GP"/>
    <d v="2026-06-21T00:00:00"/>
    <n v="7"/>
    <d v="2026-06-25T00:00:00"/>
    <d v="2026-06-28T00:00:00"/>
    <n v="60"/>
    <n v="0"/>
    <x v="1"/>
    <s v="NA"/>
    <x v="1"/>
  </r>
  <r>
    <n v="1377"/>
    <s v="CNTR101376"/>
    <x v="0"/>
    <s v="Evergreen Ace"/>
    <x v="7"/>
    <s v="40RF"/>
    <d v="2026-06-10T00:00:00"/>
    <n v="4"/>
    <d v="2026-06-14T00:00:00"/>
    <d v="2026-06-14T00:00:00"/>
    <n v="120"/>
    <n v="0"/>
    <x v="1"/>
    <s v="NA"/>
    <x v="1"/>
  </r>
  <r>
    <n v="1378"/>
    <s v="CNTR101377"/>
    <x v="0"/>
    <s v="CMA CGM Rhone"/>
    <x v="8"/>
    <s v="40RF"/>
    <d v="2026-06-04T00:00:00"/>
    <n v="4"/>
    <d v="2026-06-05T00:00:00"/>
    <d v="2026-06-08T00:00:00"/>
    <n v="180"/>
    <n v="0"/>
    <x v="1"/>
    <s v="NA"/>
    <x v="1"/>
  </r>
  <r>
    <n v="1379"/>
    <s v="CNTR101378"/>
    <x v="2"/>
    <s v="ONE Kestrel"/>
    <x v="4"/>
    <s v="40RF"/>
    <d v="2026-06-01T00:00:00"/>
    <n v="4"/>
    <m/>
    <d v="2026-06-05T00:00:00"/>
    <n v="150"/>
    <n v="81"/>
    <x v="2"/>
    <n v="12150"/>
    <x v="0"/>
  </r>
  <r>
    <n v="1380"/>
    <s v="CNTR101379"/>
    <x v="0"/>
    <s v="Yang Ming Peak"/>
    <x v="1"/>
    <s v="40HC"/>
    <d v="2026-07-18T00:00:00"/>
    <n v="5"/>
    <d v="2026-07-25T00:00:00"/>
    <d v="2026-07-23T00:00:00"/>
    <n v="75"/>
    <n v="2"/>
    <x v="0"/>
    <n v="150"/>
    <x v="1"/>
  </r>
  <r>
    <n v="1381"/>
    <s v="CNTR101380"/>
    <x v="0"/>
    <s v="Yang Ming Peak"/>
    <x v="9"/>
    <s v="20GP"/>
    <d v="2026-08-11T00:00:00"/>
    <n v="5"/>
    <d v="2026-08-14T00:00:00"/>
    <d v="2026-08-16T00:00:00"/>
    <n v="60"/>
    <n v="0"/>
    <x v="1"/>
    <s v="NA"/>
    <x v="1"/>
  </r>
  <r>
    <n v="1382"/>
    <s v="CNTR101381"/>
    <x v="1"/>
    <s v="Maersk Kiel"/>
    <x v="4"/>
    <s v="20GP"/>
    <d v="2026-05-30T00:00:00"/>
    <n v="7"/>
    <d v="2026-06-01T00:00:00"/>
    <d v="2026-06-06T00:00:00"/>
    <n v="60"/>
    <n v="0"/>
    <x v="1"/>
    <s v="NA"/>
    <x v="1"/>
  </r>
  <r>
    <n v="1383"/>
    <s v="CNTR101382"/>
    <x v="3"/>
    <s v="MSC Elena"/>
    <x v="9"/>
    <s v="40HC"/>
    <d v="2026-06-12T00:00:00"/>
    <n v="6"/>
    <d v="2026-06-15T00:00:00"/>
    <d v="2026-06-18T00:00:00"/>
    <n v="90"/>
    <n v="0"/>
    <x v="1"/>
    <s v="NA"/>
    <x v="1"/>
  </r>
  <r>
    <n v="1384"/>
    <s v="CNTR101383"/>
    <x v="3"/>
    <s v="COSCO Harmony"/>
    <x v="2"/>
    <s v="40RF"/>
    <d v="2026-07-13T00:00:00"/>
    <n v="3"/>
    <d v="2026-07-16T00:00:00"/>
    <d v="2026-07-16T00:00:00"/>
    <n v="120"/>
    <n v="0"/>
    <x v="1"/>
    <s v="NA"/>
    <x v="1"/>
  </r>
  <r>
    <n v="1385"/>
    <s v="CNTR101384"/>
    <x v="2"/>
    <s v="OOCL Bergen"/>
    <x v="8"/>
    <s v="40RF"/>
    <d v="2026-08-03T00:00:00"/>
    <n v="3"/>
    <m/>
    <d v="2026-08-06T00:00:00"/>
    <n v="150"/>
    <n v="19"/>
    <x v="2"/>
    <n v="2850"/>
    <x v="0"/>
  </r>
  <r>
    <n v="1386"/>
    <s v="CNTR101385"/>
    <x v="3"/>
    <s v="CMA CGM Rhone"/>
    <x v="0"/>
    <s v="40HC"/>
    <d v="2026-07-05T00:00:00"/>
    <n v="6"/>
    <d v="2026-07-15T00:00:00"/>
    <d v="2026-07-11T00:00:00"/>
    <n v="60"/>
    <n v="4"/>
    <x v="0"/>
    <n v="240"/>
    <x v="1"/>
  </r>
  <r>
    <n v="1387"/>
    <s v="CNTR101386"/>
    <x v="3"/>
    <s v="COSCO Harmony"/>
    <x v="0"/>
    <s v="40HC"/>
    <d v="2026-08-01T00:00:00"/>
    <n v="4"/>
    <m/>
    <d v="2026-08-05T00:00:00"/>
    <n v="130"/>
    <n v="20"/>
    <x v="2"/>
    <n v="2600"/>
    <x v="0"/>
  </r>
  <r>
    <n v="1388"/>
    <s v="CNTR101387"/>
    <x v="1"/>
    <s v="Maersk Kiel"/>
    <x v="8"/>
    <s v="40GP"/>
    <d v="2026-06-11T00:00:00"/>
    <n v="6"/>
    <d v="2026-06-15T00:00:00"/>
    <d v="2026-06-17T00:00:00"/>
    <n v="90"/>
    <n v="0"/>
    <x v="1"/>
    <s v="NA"/>
    <x v="1"/>
  </r>
  <r>
    <n v="1389"/>
    <s v="CNTR101388"/>
    <x v="0"/>
    <s v="Evergreen Ace"/>
    <x v="4"/>
    <s v="40GP"/>
    <d v="2026-08-23T00:00:00"/>
    <n v="4"/>
    <m/>
    <d v="2026-08-27T00:00:00"/>
    <n v="60"/>
    <n v="0"/>
    <x v="1"/>
    <s v="NA"/>
    <x v="0"/>
  </r>
  <r>
    <n v="1390"/>
    <s v="CNTR101389"/>
    <x v="0"/>
    <s v="Hapag Lloyd Bern"/>
    <x v="9"/>
    <s v="40GP"/>
    <d v="2026-07-14T00:00:00"/>
    <n v="6"/>
    <d v="2026-07-21T00:00:00"/>
    <d v="2026-07-20T00:00:00"/>
    <n v="110"/>
    <n v="1"/>
    <x v="0"/>
    <n v="110"/>
    <x v="1"/>
  </r>
  <r>
    <n v="1391"/>
    <s v="CNTR101390"/>
    <x v="2"/>
    <s v="COSCO Harmony"/>
    <x v="9"/>
    <s v="40RF"/>
    <d v="2026-08-09T00:00:00"/>
    <n v="4"/>
    <d v="2026-08-12T00:00:00"/>
    <d v="2026-08-13T00:00:00"/>
    <n v="180"/>
    <n v="0"/>
    <x v="1"/>
    <s v="NA"/>
    <x v="1"/>
  </r>
  <r>
    <n v="1392"/>
    <s v="CNTR101391"/>
    <x v="3"/>
    <s v="OOCL Bergen"/>
    <x v="8"/>
    <s v="40GP"/>
    <d v="2026-08-16T00:00:00"/>
    <n v="4"/>
    <d v="2026-08-23T00:00:00"/>
    <d v="2026-08-20T00:00:00"/>
    <n v="90"/>
    <n v="3"/>
    <x v="0"/>
    <n v="270"/>
    <x v="1"/>
  </r>
  <r>
    <n v="1393"/>
    <s v="CNTR101392"/>
    <x v="0"/>
    <s v="COSCO Harmony"/>
    <x v="3"/>
    <s v="40RF"/>
    <d v="2026-06-22T00:00:00"/>
    <n v="4"/>
    <d v="2026-06-23T00:00:00"/>
    <d v="2026-06-26T00:00:00"/>
    <n v="120"/>
    <n v="0"/>
    <x v="1"/>
    <s v="NA"/>
    <x v="1"/>
  </r>
  <r>
    <n v="1394"/>
    <s v="CNTR101393"/>
    <x v="0"/>
    <s v="Evergreen Ace"/>
    <x v="1"/>
    <s v="40GP"/>
    <d v="2026-07-25T00:00:00"/>
    <n v="6"/>
    <d v="2026-08-07T00:00:00"/>
    <d v="2026-07-31T00:00:00"/>
    <n v="60"/>
    <n v="7"/>
    <x v="0"/>
    <n v="420"/>
    <x v="1"/>
  </r>
  <r>
    <n v="1395"/>
    <s v="CNTR101394"/>
    <x v="3"/>
    <s v="COSCO Harmony"/>
    <x v="1"/>
    <s v="40GP"/>
    <d v="2026-06-23T00:00:00"/>
    <n v="4"/>
    <d v="2026-06-27T00:00:00"/>
    <d v="2026-06-27T00:00:00"/>
    <n v="130"/>
    <n v="0"/>
    <x v="1"/>
    <s v="NA"/>
    <x v="1"/>
  </r>
  <r>
    <n v="1396"/>
    <s v="CNTR101395"/>
    <x v="1"/>
    <s v="COSCO Harmony"/>
    <x v="1"/>
    <s v="40RF"/>
    <d v="2026-06-05T00:00:00"/>
    <n v="4"/>
    <d v="2026-06-13T00:00:00"/>
    <d v="2026-06-09T00:00:00"/>
    <n v="150"/>
    <n v="4"/>
    <x v="0"/>
    <n v="600"/>
    <x v="1"/>
  </r>
  <r>
    <n v="1397"/>
    <s v="CNTR101396"/>
    <x v="3"/>
    <s v="COSCO Harmony"/>
    <x v="5"/>
    <s v="40GP"/>
    <d v="2026-08-14T00:00:00"/>
    <n v="4"/>
    <d v="2026-08-18T00:00:00"/>
    <d v="2026-08-18T00:00:00"/>
    <n v="75"/>
    <n v="0"/>
    <x v="1"/>
    <s v="NA"/>
    <x v="1"/>
  </r>
  <r>
    <n v="1398"/>
    <s v="CNTR101397"/>
    <x v="2"/>
    <s v="ONE Kestrel"/>
    <x v="1"/>
    <s v="20GP"/>
    <d v="2026-07-30T00:00:00"/>
    <n v="6"/>
    <d v="2026-07-31T00:00:00"/>
    <d v="2026-08-05T00:00:00"/>
    <n v="130"/>
    <n v="0"/>
    <x v="1"/>
    <s v="NA"/>
    <x v="1"/>
  </r>
  <r>
    <n v="1399"/>
    <s v="CNTR101398"/>
    <x v="1"/>
    <s v="ZIM Voyager"/>
    <x v="6"/>
    <s v="40HC"/>
    <d v="2026-07-12T00:00:00"/>
    <n v="5"/>
    <d v="2026-07-15T00:00:00"/>
    <d v="2026-07-17T00:00:00"/>
    <n v="90"/>
    <n v="0"/>
    <x v="1"/>
    <s v="NA"/>
    <x v="1"/>
  </r>
  <r>
    <n v="1400"/>
    <s v="CNTR101399"/>
    <x v="0"/>
    <s v="Hapag Lloyd Bern"/>
    <x v="3"/>
    <s v="20GP"/>
    <d v="2026-07-17T00:00:00"/>
    <n v="7"/>
    <m/>
    <d v="2026-07-24T00:00:00"/>
    <n v="110"/>
    <n v="32"/>
    <x v="2"/>
    <n v="3520"/>
    <x v="0"/>
  </r>
  <r>
    <n v="1401"/>
    <s v="CNTR101400"/>
    <x v="2"/>
    <s v="Yang Ming Peak"/>
    <x v="2"/>
    <s v="40HC"/>
    <d v="2026-08-07T00:00:00"/>
    <n v="5"/>
    <d v="2026-08-19T00:00:00"/>
    <d v="2026-08-12T00:00:00"/>
    <n v="130"/>
    <n v="7"/>
    <x v="0"/>
    <n v="910"/>
    <x v="1"/>
  </r>
  <r>
    <n v="1402"/>
    <s v="CNTR101401"/>
    <x v="1"/>
    <s v="Evergreen Ace"/>
    <x v="9"/>
    <s v="40RF"/>
    <d v="2026-07-05T00:00:00"/>
    <n v="4"/>
    <d v="2026-07-09T00:00:00"/>
    <d v="2026-07-09T00:00:00"/>
    <n v="150"/>
    <n v="0"/>
    <x v="1"/>
    <s v="NA"/>
    <x v="1"/>
  </r>
  <r>
    <n v="1403"/>
    <s v="CNTR101402"/>
    <x v="2"/>
    <s v="Evergreen Ace"/>
    <x v="7"/>
    <s v="40HC"/>
    <d v="2026-07-01T00:00:00"/>
    <n v="4"/>
    <d v="2026-07-05T00:00:00"/>
    <d v="2026-07-05T00:00:00"/>
    <n v="60"/>
    <n v="0"/>
    <x v="1"/>
    <s v="NA"/>
    <x v="1"/>
  </r>
  <r>
    <n v="1404"/>
    <s v="CNTR101403"/>
    <x v="2"/>
    <s v="MSC Elena"/>
    <x v="8"/>
    <s v="20GP"/>
    <d v="2026-07-15T00:00:00"/>
    <n v="6"/>
    <d v="2026-07-21T00:00:00"/>
    <d v="2026-07-21T00:00:00"/>
    <n v="130"/>
    <n v="0"/>
    <x v="1"/>
    <s v="NA"/>
    <x v="1"/>
  </r>
  <r>
    <n v="1405"/>
    <s v="CNTR101404"/>
    <x v="2"/>
    <s v="ONE Kestrel"/>
    <x v="1"/>
    <s v="20GP"/>
    <d v="2026-06-06T00:00:00"/>
    <n v="4"/>
    <d v="2026-06-15T00:00:00"/>
    <d v="2026-06-10T00:00:00"/>
    <n v="110"/>
    <n v="5"/>
    <x v="0"/>
    <n v="550"/>
    <x v="1"/>
  </r>
  <r>
    <n v="1406"/>
    <s v="CNTR101405"/>
    <x v="3"/>
    <s v="CMA CGM Rhone"/>
    <x v="1"/>
    <s v="40RF"/>
    <d v="2026-06-02T00:00:00"/>
    <n v="3"/>
    <d v="2026-06-09T00:00:00"/>
    <d v="2026-06-05T00:00:00"/>
    <n v="150"/>
    <n v="4"/>
    <x v="0"/>
    <n v="600"/>
    <x v="1"/>
  </r>
  <r>
    <n v="1407"/>
    <s v="CNTR101406"/>
    <x v="2"/>
    <s v="Hapag Lloyd Bern"/>
    <x v="2"/>
    <s v="40GP"/>
    <d v="2026-06-26T00:00:00"/>
    <n v="5"/>
    <m/>
    <d v="2026-07-01T00:00:00"/>
    <n v="75"/>
    <n v="55"/>
    <x v="2"/>
    <n v="4125"/>
    <x v="0"/>
  </r>
  <r>
    <n v="1408"/>
    <s v="CNTR101407"/>
    <x v="0"/>
    <s v="OOCL Bergen"/>
    <x v="6"/>
    <s v="40RF"/>
    <d v="2026-05-29T00:00:00"/>
    <n v="4"/>
    <m/>
    <d v="2026-06-02T00:00:00"/>
    <n v="150"/>
    <n v="84"/>
    <x v="2"/>
    <n v="12600"/>
    <x v="0"/>
  </r>
  <r>
    <n v="1409"/>
    <s v="CNTR101408"/>
    <x v="2"/>
    <s v="ZIM Voyager"/>
    <x v="0"/>
    <s v="40RF"/>
    <d v="2026-07-12T00:00:00"/>
    <n v="4"/>
    <d v="2026-07-13T00:00:00"/>
    <d v="2026-07-16T00:00:00"/>
    <n v="120"/>
    <n v="0"/>
    <x v="1"/>
    <s v="NA"/>
    <x v="1"/>
  </r>
  <r>
    <n v="1410"/>
    <s v="CNTR101409"/>
    <x v="3"/>
    <s v="Maersk Kiel"/>
    <x v="4"/>
    <s v="40RF"/>
    <d v="2026-07-27T00:00:00"/>
    <n v="4"/>
    <d v="2026-08-01T00:00:00"/>
    <d v="2026-07-31T00:00:00"/>
    <n v="180"/>
    <n v="1"/>
    <x v="0"/>
    <n v="180"/>
    <x v="1"/>
  </r>
  <r>
    <n v="1411"/>
    <s v="CNTR101410"/>
    <x v="0"/>
    <s v="Evergreen Ace"/>
    <x v="6"/>
    <s v="40RF"/>
    <d v="2026-07-13T00:00:00"/>
    <n v="4"/>
    <d v="2026-07-16T00:00:00"/>
    <d v="2026-07-17T00:00:00"/>
    <n v="150"/>
    <n v="0"/>
    <x v="1"/>
    <s v="NA"/>
    <x v="1"/>
  </r>
  <r>
    <n v="1412"/>
    <s v="CNTR101411"/>
    <x v="3"/>
    <s v="ZIM Voyager"/>
    <x v="5"/>
    <s v="40GP"/>
    <d v="2026-06-10T00:00:00"/>
    <n v="6"/>
    <d v="2026-06-12T00:00:00"/>
    <d v="2026-06-16T00:00:00"/>
    <n v="130"/>
    <n v="0"/>
    <x v="1"/>
    <s v="NA"/>
    <x v="1"/>
  </r>
  <r>
    <n v="1413"/>
    <s v="CNTR101412"/>
    <x v="0"/>
    <s v="ONE Kestrel"/>
    <x v="4"/>
    <s v="40RF"/>
    <d v="2026-06-07T00:00:00"/>
    <n v="4"/>
    <d v="2026-06-14T00:00:00"/>
    <d v="2026-06-11T00:00:00"/>
    <n v="150"/>
    <n v="3"/>
    <x v="0"/>
    <n v="450"/>
    <x v="1"/>
  </r>
  <r>
    <n v="1414"/>
    <s v="CNTR101413"/>
    <x v="1"/>
    <s v="MSC Elena"/>
    <x v="4"/>
    <s v="40RF"/>
    <d v="2026-07-18T00:00:00"/>
    <n v="4"/>
    <m/>
    <d v="2026-07-22T00:00:00"/>
    <n v="180"/>
    <n v="34"/>
    <x v="2"/>
    <n v="6120"/>
    <x v="0"/>
  </r>
  <r>
    <n v="1415"/>
    <s v="CNTR101414"/>
    <x v="2"/>
    <s v="Yang Ming Peak"/>
    <x v="2"/>
    <s v="40RF"/>
    <d v="2026-07-28T00:00:00"/>
    <n v="3"/>
    <m/>
    <d v="2026-07-31T00:00:00"/>
    <n v="180"/>
    <n v="25"/>
    <x v="2"/>
    <n v="4500"/>
    <x v="0"/>
  </r>
  <r>
    <n v="1416"/>
    <s v="CNTR101415"/>
    <x v="2"/>
    <s v="ONE Kestrel"/>
    <x v="0"/>
    <s v="40RF"/>
    <d v="2026-07-12T00:00:00"/>
    <n v="3"/>
    <m/>
    <d v="2026-07-15T00:00:00"/>
    <n v="150"/>
    <n v="41"/>
    <x v="2"/>
    <n v="6150"/>
    <x v="0"/>
  </r>
  <r>
    <n v="1417"/>
    <s v="CNTR101416"/>
    <x v="1"/>
    <s v="Evergreen Ace"/>
    <x v="0"/>
    <s v="40RF"/>
    <d v="2026-06-27T00:00:00"/>
    <n v="3"/>
    <m/>
    <d v="2026-06-30T00:00:00"/>
    <n v="180"/>
    <n v="56"/>
    <x v="2"/>
    <n v="10080"/>
    <x v="0"/>
  </r>
  <r>
    <n v="1418"/>
    <s v="CNTR101417"/>
    <x v="0"/>
    <s v="ONE Kestrel"/>
    <x v="0"/>
    <s v="40HC"/>
    <d v="2026-07-11T00:00:00"/>
    <n v="4"/>
    <d v="2026-07-21T00:00:00"/>
    <d v="2026-07-15T00:00:00"/>
    <n v="130"/>
    <n v="6"/>
    <x v="0"/>
    <n v="780"/>
    <x v="1"/>
  </r>
  <r>
    <n v="1419"/>
    <s v="CNTR101418"/>
    <x v="3"/>
    <s v="Hapag Lloyd Bern"/>
    <x v="8"/>
    <s v="20GP"/>
    <d v="2026-06-21T00:00:00"/>
    <n v="4"/>
    <m/>
    <d v="2026-06-25T00:00:00"/>
    <n v="90"/>
    <n v="61"/>
    <x v="2"/>
    <n v="5490"/>
    <x v="0"/>
  </r>
  <r>
    <n v="1420"/>
    <s v="CNTR101419"/>
    <x v="3"/>
    <s v="Yang Ming Peak"/>
    <x v="2"/>
    <s v="40GP"/>
    <d v="2026-08-07T00:00:00"/>
    <n v="4"/>
    <d v="2026-08-14T00:00:00"/>
    <d v="2026-08-11T00:00:00"/>
    <n v="110"/>
    <n v="3"/>
    <x v="0"/>
    <n v="330"/>
    <x v="1"/>
  </r>
  <r>
    <n v="1421"/>
    <s v="CNTR101420"/>
    <x v="0"/>
    <s v="OOCL Bergen"/>
    <x v="5"/>
    <s v="40HC"/>
    <d v="2026-07-11T00:00:00"/>
    <n v="5"/>
    <d v="2026-07-14T00:00:00"/>
    <d v="2026-07-16T00:00:00"/>
    <n v="130"/>
    <n v="0"/>
    <x v="1"/>
    <s v="NA"/>
    <x v="1"/>
  </r>
  <r>
    <n v="1422"/>
    <s v="CNTR101421"/>
    <x v="1"/>
    <s v="ZIM Voyager"/>
    <x v="3"/>
    <s v="40RF"/>
    <d v="2026-07-13T00:00:00"/>
    <n v="4"/>
    <d v="2026-07-20T00:00:00"/>
    <d v="2026-07-17T00:00:00"/>
    <n v="180"/>
    <n v="3"/>
    <x v="0"/>
    <n v="540"/>
    <x v="1"/>
  </r>
  <r>
    <n v="1423"/>
    <s v="CNTR101422"/>
    <x v="1"/>
    <s v="MSC Elena"/>
    <x v="0"/>
    <s v="40GP"/>
    <d v="2026-06-16T00:00:00"/>
    <n v="4"/>
    <d v="2026-06-23T00:00:00"/>
    <d v="2026-06-20T00:00:00"/>
    <n v="130"/>
    <n v="3"/>
    <x v="0"/>
    <n v="390"/>
    <x v="1"/>
  </r>
  <r>
    <n v="1424"/>
    <s v="CNTR101423"/>
    <x v="1"/>
    <s v="Maersk Kiel"/>
    <x v="6"/>
    <s v="20GP"/>
    <d v="2026-06-22T00:00:00"/>
    <n v="6"/>
    <d v="2026-06-27T00:00:00"/>
    <d v="2026-06-28T00:00:00"/>
    <n v="110"/>
    <n v="0"/>
    <x v="1"/>
    <s v="NA"/>
    <x v="1"/>
  </r>
  <r>
    <n v="1425"/>
    <s v="CNTR101424"/>
    <x v="2"/>
    <s v="OOCL Bergen"/>
    <x v="7"/>
    <s v="40GP"/>
    <d v="2026-06-12T00:00:00"/>
    <n v="7"/>
    <d v="2026-06-18T00:00:00"/>
    <d v="2026-06-19T00:00:00"/>
    <n v="90"/>
    <n v="0"/>
    <x v="1"/>
    <s v="NA"/>
    <x v="1"/>
  </r>
  <r>
    <n v="1426"/>
    <s v="CNTR101425"/>
    <x v="3"/>
    <s v="Evergreen Ace"/>
    <x v="8"/>
    <s v="40RF"/>
    <d v="2026-06-08T00:00:00"/>
    <n v="4"/>
    <d v="2026-06-09T00:00:00"/>
    <d v="2026-06-12T00:00:00"/>
    <n v="150"/>
    <n v="0"/>
    <x v="1"/>
    <s v="NA"/>
    <x v="1"/>
  </r>
  <r>
    <n v="1427"/>
    <s v="CNTR101426"/>
    <x v="0"/>
    <s v="COSCO Harmony"/>
    <x v="7"/>
    <s v="20GP"/>
    <d v="2026-07-08T00:00:00"/>
    <n v="6"/>
    <m/>
    <d v="2026-07-14T00:00:00"/>
    <n v="60"/>
    <n v="42"/>
    <x v="2"/>
    <n v="2520"/>
    <x v="0"/>
  </r>
  <r>
    <n v="1428"/>
    <s v="CNTR101427"/>
    <x v="3"/>
    <s v="Evergreen Ace"/>
    <x v="7"/>
    <s v="40GP"/>
    <d v="2026-08-14T00:00:00"/>
    <n v="5"/>
    <m/>
    <d v="2026-08-19T00:00:00"/>
    <n v="90"/>
    <n v="6"/>
    <x v="0"/>
    <n v="540"/>
    <x v="0"/>
  </r>
  <r>
    <n v="1429"/>
    <s v="CNTR101428"/>
    <x v="0"/>
    <s v="Evergreen Ace"/>
    <x v="8"/>
    <s v="40HC"/>
    <d v="2026-07-13T00:00:00"/>
    <n v="5"/>
    <d v="2026-07-22T00:00:00"/>
    <d v="2026-07-18T00:00:00"/>
    <n v="60"/>
    <n v="4"/>
    <x v="0"/>
    <n v="240"/>
    <x v="1"/>
  </r>
  <r>
    <n v="1430"/>
    <s v="CNTR101429"/>
    <x v="3"/>
    <s v="Hapag Lloyd Bern"/>
    <x v="9"/>
    <s v="40HC"/>
    <d v="2026-07-31T00:00:00"/>
    <n v="7"/>
    <d v="2026-08-10T00:00:00"/>
    <d v="2026-08-07T00:00:00"/>
    <n v="90"/>
    <n v="3"/>
    <x v="0"/>
    <n v="270"/>
    <x v="1"/>
  </r>
  <r>
    <n v="1431"/>
    <s v="CNTR101430"/>
    <x v="3"/>
    <s v="CMA CGM Rhone"/>
    <x v="2"/>
    <s v="20GP"/>
    <d v="2026-06-27T00:00:00"/>
    <n v="7"/>
    <d v="2026-06-28T00:00:00"/>
    <d v="2026-07-04T00:00:00"/>
    <n v="110"/>
    <n v="0"/>
    <x v="1"/>
    <s v="NA"/>
    <x v="1"/>
  </r>
  <r>
    <n v="1432"/>
    <s v="CNTR101431"/>
    <x v="1"/>
    <s v="COSCO Harmony"/>
    <x v="0"/>
    <s v="40HC"/>
    <d v="2026-08-08T00:00:00"/>
    <n v="7"/>
    <d v="2026-08-14T00:00:00"/>
    <d v="2026-08-15T00:00:00"/>
    <n v="60"/>
    <n v="0"/>
    <x v="1"/>
    <s v="NA"/>
    <x v="1"/>
  </r>
  <r>
    <n v="1433"/>
    <s v="CNTR101432"/>
    <x v="2"/>
    <s v="Evergreen Ace"/>
    <x v="1"/>
    <s v="40RF"/>
    <d v="2026-06-02T00:00:00"/>
    <n v="3"/>
    <d v="2026-06-07T00:00:00"/>
    <d v="2026-06-05T00:00:00"/>
    <n v="150"/>
    <n v="2"/>
    <x v="0"/>
    <n v="300"/>
    <x v="1"/>
  </r>
  <r>
    <n v="1434"/>
    <s v="CNTR101433"/>
    <x v="1"/>
    <s v="MSC Elena"/>
    <x v="2"/>
    <s v="40GP"/>
    <d v="2026-07-12T00:00:00"/>
    <n v="6"/>
    <d v="2026-07-19T00:00:00"/>
    <d v="2026-07-18T00:00:00"/>
    <n v="110"/>
    <n v="1"/>
    <x v="0"/>
    <n v="110"/>
    <x v="1"/>
  </r>
  <r>
    <n v="1435"/>
    <s v="CNTR101434"/>
    <x v="3"/>
    <s v="CMA CGM Rhone"/>
    <x v="9"/>
    <s v="40HC"/>
    <d v="2026-06-10T00:00:00"/>
    <n v="5"/>
    <m/>
    <d v="2026-06-15T00:00:00"/>
    <n v="75"/>
    <n v="71"/>
    <x v="2"/>
    <n v="5325"/>
    <x v="0"/>
  </r>
  <r>
    <n v="1436"/>
    <s v="CNTR101435"/>
    <x v="1"/>
    <s v="MSC Elena"/>
    <x v="6"/>
    <s v="20GP"/>
    <d v="2026-06-13T00:00:00"/>
    <n v="4"/>
    <m/>
    <d v="2026-06-17T00:00:00"/>
    <n v="75"/>
    <n v="69"/>
    <x v="2"/>
    <n v="5175"/>
    <x v="0"/>
  </r>
  <r>
    <n v="1437"/>
    <s v="CNTR101436"/>
    <x v="1"/>
    <s v="ZIM Voyager"/>
    <x v="2"/>
    <s v="40HC"/>
    <d v="2026-06-26T00:00:00"/>
    <n v="4"/>
    <d v="2026-07-03T00:00:00"/>
    <d v="2026-06-30T00:00:00"/>
    <n v="130"/>
    <n v="3"/>
    <x v="0"/>
    <n v="390"/>
    <x v="1"/>
  </r>
  <r>
    <n v="1438"/>
    <s v="CNTR101437"/>
    <x v="2"/>
    <s v="OOCL Bergen"/>
    <x v="8"/>
    <s v="40GP"/>
    <d v="2026-06-12T00:00:00"/>
    <n v="6"/>
    <d v="2026-06-20T00:00:00"/>
    <d v="2026-06-18T00:00:00"/>
    <n v="60"/>
    <n v="2"/>
    <x v="0"/>
    <n v="120"/>
    <x v="1"/>
  </r>
  <r>
    <n v="1439"/>
    <s v="CNTR101438"/>
    <x v="3"/>
    <s v="Yang Ming Peak"/>
    <x v="1"/>
    <s v="40GP"/>
    <d v="2026-07-23T00:00:00"/>
    <n v="5"/>
    <m/>
    <d v="2026-07-28T00:00:00"/>
    <n v="75"/>
    <n v="28"/>
    <x v="2"/>
    <n v="2100"/>
    <x v="0"/>
  </r>
  <r>
    <n v="1440"/>
    <s v="CNTR101439"/>
    <x v="0"/>
    <s v="MSC Elena"/>
    <x v="3"/>
    <s v="40GP"/>
    <d v="2026-07-12T00:00:00"/>
    <n v="5"/>
    <m/>
    <d v="2026-07-17T00:00:00"/>
    <n v="110"/>
    <n v="39"/>
    <x v="2"/>
    <n v="4290"/>
    <x v="0"/>
  </r>
  <r>
    <n v="1441"/>
    <s v="CNTR101440"/>
    <x v="3"/>
    <s v="OOCL Bergen"/>
    <x v="1"/>
    <s v="40RF"/>
    <d v="2026-07-25T00:00:00"/>
    <n v="3"/>
    <d v="2026-07-26T00:00:00"/>
    <d v="2026-07-28T00:00:00"/>
    <n v="120"/>
    <n v="0"/>
    <x v="1"/>
    <s v="NA"/>
    <x v="1"/>
  </r>
  <r>
    <n v="1442"/>
    <s v="CNTR101441"/>
    <x v="2"/>
    <s v="Maersk Kiel"/>
    <x v="5"/>
    <s v="40HC"/>
    <d v="2026-07-28T00:00:00"/>
    <n v="5"/>
    <d v="2026-07-29T00:00:00"/>
    <d v="2026-08-02T00:00:00"/>
    <n v="75"/>
    <n v="0"/>
    <x v="1"/>
    <s v="NA"/>
    <x v="1"/>
  </r>
  <r>
    <n v="1443"/>
    <s v="CNTR101442"/>
    <x v="1"/>
    <s v="ZIM Voyager"/>
    <x v="8"/>
    <s v="40HC"/>
    <d v="2026-06-24T00:00:00"/>
    <n v="5"/>
    <d v="2026-06-29T00:00:00"/>
    <d v="2026-06-29T00:00:00"/>
    <n v="60"/>
    <n v="0"/>
    <x v="1"/>
    <s v="NA"/>
    <x v="1"/>
  </r>
  <r>
    <n v="1444"/>
    <s v="CNTR101443"/>
    <x v="3"/>
    <s v="OOCL Bergen"/>
    <x v="2"/>
    <s v="40GP"/>
    <d v="2026-06-12T00:00:00"/>
    <n v="6"/>
    <d v="2026-06-17T00:00:00"/>
    <d v="2026-06-18T00:00:00"/>
    <n v="75"/>
    <n v="0"/>
    <x v="1"/>
    <s v="NA"/>
    <x v="1"/>
  </r>
  <r>
    <n v="1445"/>
    <s v="CNTR101444"/>
    <x v="1"/>
    <s v="ONE Kestrel"/>
    <x v="5"/>
    <s v="20GP"/>
    <d v="2026-08-14T00:00:00"/>
    <n v="5"/>
    <d v="2026-08-25T00:00:00"/>
    <d v="2026-08-19T00:00:00"/>
    <n v="130"/>
    <n v="6"/>
    <x v="0"/>
    <n v="780"/>
    <x v="1"/>
  </r>
  <r>
    <n v="1446"/>
    <s v="CNTR101445"/>
    <x v="3"/>
    <s v="Evergreen Ace"/>
    <x v="4"/>
    <s v="40RF"/>
    <d v="2026-06-17T00:00:00"/>
    <n v="4"/>
    <d v="2026-06-18T00:00:00"/>
    <d v="2026-06-21T00:00:00"/>
    <n v="120"/>
    <n v="0"/>
    <x v="1"/>
    <s v="NA"/>
    <x v="1"/>
  </r>
  <r>
    <n v="1447"/>
    <s v="CNTR101446"/>
    <x v="3"/>
    <s v="Yang Ming Peak"/>
    <x v="2"/>
    <s v="20GP"/>
    <d v="2026-07-12T00:00:00"/>
    <n v="6"/>
    <d v="2026-07-13T00:00:00"/>
    <d v="2026-07-18T00:00:00"/>
    <n v="130"/>
    <n v="0"/>
    <x v="1"/>
    <s v="NA"/>
    <x v="1"/>
  </r>
  <r>
    <n v="1448"/>
    <s v="CNTR101447"/>
    <x v="3"/>
    <s v="Yang Ming Peak"/>
    <x v="7"/>
    <s v="20GP"/>
    <d v="2026-07-02T00:00:00"/>
    <n v="6"/>
    <m/>
    <d v="2026-07-08T00:00:00"/>
    <n v="110"/>
    <n v="48"/>
    <x v="2"/>
    <n v="5280"/>
    <x v="0"/>
  </r>
  <r>
    <n v="1449"/>
    <s v="CNTR101448"/>
    <x v="3"/>
    <s v="Maersk Kiel"/>
    <x v="7"/>
    <s v="40GP"/>
    <d v="2026-06-30T00:00:00"/>
    <n v="5"/>
    <d v="2026-07-01T00:00:00"/>
    <d v="2026-07-05T00:00:00"/>
    <n v="90"/>
    <n v="0"/>
    <x v="1"/>
    <s v="NA"/>
    <x v="1"/>
  </r>
  <r>
    <n v="1450"/>
    <s v="CNTR101449"/>
    <x v="1"/>
    <s v="ONE Kestrel"/>
    <x v="2"/>
    <s v="40GP"/>
    <d v="2026-07-09T00:00:00"/>
    <n v="5"/>
    <d v="2026-07-12T00:00:00"/>
    <d v="2026-07-14T00:00:00"/>
    <n v="90"/>
    <n v="0"/>
    <x v="1"/>
    <s v="NA"/>
    <x v="1"/>
  </r>
  <r>
    <n v="1451"/>
    <s v="CNTR101450"/>
    <x v="3"/>
    <s v="Hapag Lloyd Bern"/>
    <x v="4"/>
    <s v="40GP"/>
    <d v="2026-06-21T00:00:00"/>
    <n v="4"/>
    <d v="2026-06-22T00:00:00"/>
    <d v="2026-06-25T00:00:00"/>
    <n v="75"/>
    <n v="0"/>
    <x v="1"/>
    <s v="NA"/>
    <x v="1"/>
  </r>
  <r>
    <n v="1452"/>
    <s v="CNTR101451"/>
    <x v="0"/>
    <s v="Yang Ming Peak"/>
    <x v="9"/>
    <s v="40HC"/>
    <d v="2026-08-11T00:00:00"/>
    <n v="5"/>
    <d v="2026-08-14T00:00:00"/>
    <d v="2026-08-16T00:00:00"/>
    <n v="130"/>
    <n v="0"/>
    <x v="1"/>
    <s v="NA"/>
    <x v="1"/>
  </r>
  <r>
    <n v="1453"/>
    <s v="CNTR101452"/>
    <x v="2"/>
    <s v="Hapag Lloyd Bern"/>
    <x v="2"/>
    <s v="40GP"/>
    <d v="2026-06-08T00:00:00"/>
    <n v="6"/>
    <m/>
    <d v="2026-06-14T00:00:00"/>
    <n v="75"/>
    <n v="72"/>
    <x v="2"/>
    <n v="5400"/>
    <x v="0"/>
  </r>
  <r>
    <n v="1454"/>
    <s v="CNTR101453"/>
    <x v="1"/>
    <s v="Evergreen Ace"/>
    <x v="9"/>
    <s v="40RF"/>
    <d v="2026-08-02T00:00:00"/>
    <n v="4"/>
    <m/>
    <d v="2026-08-06T00:00:00"/>
    <n v="120"/>
    <n v="19"/>
    <x v="2"/>
    <n v="2280"/>
    <x v="0"/>
  </r>
  <r>
    <n v="1455"/>
    <s v="CNTR101454"/>
    <x v="3"/>
    <s v="Maersk Kiel"/>
    <x v="1"/>
    <s v="40GP"/>
    <d v="2026-06-28T00:00:00"/>
    <n v="5"/>
    <d v="2026-07-02T00:00:00"/>
    <d v="2026-07-03T00:00:00"/>
    <n v="90"/>
    <n v="0"/>
    <x v="1"/>
    <s v="NA"/>
    <x v="1"/>
  </r>
  <r>
    <n v="1456"/>
    <s v="CNTR101455"/>
    <x v="1"/>
    <s v="ONE Kestrel"/>
    <x v="6"/>
    <s v="20GP"/>
    <d v="2026-06-01T00:00:00"/>
    <n v="5"/>
    <d v="2026-06-03T00:00:00"/>
    <d v="2026-06-06T00:00:00"/>
    <n v="130"/>
    <n v="0"/>
    <x v="1"/>
    <s v="NA"/>
    <x v="1"/>
  </r>
  <r>
    <n v="1457"/>
    <s v="CNTR101456"/>
    <x v="0"/>
    <s v="CMA CGM Rhone"/>
    <x v="7"/>
    <s v="20GP"/>
    <d v="2026-06-28T00:00:00"/>
    <n v="5"/>
    <d v="2026-07-08T00:00:00"/>
    <d v="2026-07-03T00:00:00"/>
    <n v="130"/>
    <n v="5"/>
    <x v="0"/>
    <n v="650"/>
    <x v="1"/>
  </r>
  <r>
    <n v="1458"/>
    <s v="CNTR101457"/>
    <x v="2"/>
    <s v="Maersk Kiel"/>
    <x v="1"/>
    <s v="20GP"/>
    <d v="2026-06-22T00:00:00"/>
    <n v="5"/>
    <m/>
    <d v="2026-06-27T00:00:00"/>
    <n v="130"/>
    <n v="59"/>
    <x v="2"/>
    <n v="7670"/>
    <x v="0"/>
  </r>
  <r>
    <n v="1459"/>
    <s v="CNTR101458"/>
    <x v="0"/>
    <s v="Maersk Kiel"/>
    <x v="7"/>
    <s v="20GP"/>
    <d v="2026-06-16T00:00:00"/>
    <n v="6"/>
    <d v="2026-06-22T00:00:00"/>
    <d v="2026-06-22T00:00:00"/>
    <n v="75"/>
    <n v="0"/>
    <x v="1"/>
    <s v="NA"/>
    <x v="1"/>
  </r>
  <r>
    <n v="1460"/>
    <s v="CNTR101459"/>
    <x v="3"/>
    <s v="MSC Elena"/>
    <x v="2"/>
    <s v="20GP"/>
    <d v="2026-08-22T00:00:00"/>
    <n v="5"/>
    <d v="2026-08-23T00:00:00"/>
    <d v="2026-08-27T00:00:00"/>
    <n v="60"/>
    <n v="0"/>
    <x v="1"/>
    <s v="NA"/>
    <x v="1"/>
  </r>
  <r>
    <n v="1461"/>
    <s v="CNTR101460"/>
    <x v="1"/>
    <s v="MSC Elena"/>
    <x v="7"/>
    <s v="20GP"/>
    <d v="2026-06-15T00:00:00"/>
    <n v="6"/>
    <m/>
    <d v="2026-06-21T00:00:00"/>
    <n v="110"/>
    <n v="65"/>
    <x v="2"/>
    <n v="7150"/>
    <x v="0"/>
  </r>
  <r>
    <n v="1462"/>
    <s v="CNTR101461"/>
    <x v="3"/>
    <s v="ONE Kestrel"/>
    <x v="8"/>
    <s v="40GP"/>
    <d v="2026-08-14T00:00:00"/>
    <n v="5"/>
    <d v="2026-08-15T00:00:00"/>
    <d v="2026-08-19T00:00:00"/>
    <n v="60"/>
    <n v="0"/>
    <x v="1"/>
    <s v="NA"/>
    <x v="1"/>
  </r>
  <r>
    <n v="1463"/>
    <s v="CNTR101462"/>
    <x v="2"/>
    <s v="ONE Kestrel"/>
    <x v="1"/>
    <s v="40RF"/>
    <d v="2026-06-30T00:00:00"/>
    <n v="3"/>
    <d v="2026-07-04T00:00:00"/>
    <d v="2026-07-03T00:00:00"/>
    <n v="180"/>
    <n v="1"/>
    <x v="0"/>
    <n v="180"/>
    <x v="1"/>
  </r>
  <r>
    <n v="1464"/>
    <s v="CNTR101463"/>
    <x v="1"/>
    <s v="COSCO Harmony"/>
    <x v="0"/>
    <s v="20GP"/>
    <d v="2026-07-07T00:00:00"/>
    <n v="6"/>
    <m/>
    <d v="2026-07-13T00:00:00"/>
    <n v="75"/>
    <n v="43"/>
    <x v="2"/>
    <n v="3225"/>
    <x v="0"/>
  </r>
  <r>
    <n v="1465"/>
    <s v="CNTR101464"/>
    <x v="0"/>
    <s v="Hapag Lloyd Bern"/>
    <x v="7"/>
    <s v="40GP"/>
    <d v="2026-06-19T00:00:00"/>
    <n v="5"/>
    <d v="2026-06-20T00:00:00"/>
    <d v="2026-06-24T00:00:00"/>
    <n v="130"/>
    <n v="0"/>
    <x v="1"/>
    <s v="NA"/>
    <x v="1"/>
  </r>
  <r>
    <n v="1466"/>
    <s v="CNTR101465"/>
    <x v="3"/>
    <s v="OOCL Bergen"/>
    <x v="4"/>
    <s v="40GP"/>
    <d v="2026-07-19T00:00:00"/>
    <n v="6"/>
    <d v="2026-07-24T00:00:00"/>
    <d v="2026-07-25T00:00:00"/>
    <n v="130"/>
    <n v="0"/>
    <x v="1"/>
    <s v="NA"/>
    <x v="1"/>
  </r>
  <r>
    <n v="1467"/>
    <s v="CNTR101466"/>
    <x v="0"/>
    <s v="OOCL Bergen"/>
    <x v="3"/>
    <s v="40RF"/>
    <d v="2026-06-01T00:00:00"/>
    <n v="4"/>
    <d v="2026-06-03T00:00:00"/>
    <d v="2026-06-05T00:00:00"/>
    <n v="150"/>
    <n v="0"/>
    <x v="1"/>
    <s v="NA"/>
    <x v="1"/>
  </r>
  <r>
    <n v="1468"/>
    <s v="CNTR101467"/>
    <x v="1"/>
    <s v="MSC Elena"/>
    <x v="9"/>
    <s v="40GP"/>
    <d v="2026-06-19T00:00:00"/>
    <n v="5"/>
    <d v="2026-06-29T00:00:00"/>
    <d v="2026-06-24T00:00:00"/>
    <n v="90"/>
    <n v="5"/>
    <x v="0"/>
    <n v="450"/>
    <x v="1"/>
  </r>
  <r>
    <n v="1469"/>
    <s v="CNTR101468"/>
    <x v="1"/>
    <s v="ONE Kestrel"/>
    <x v="8"/>
    <s v="20GP"/>
    <d v="2026-07-25T00:00:00"/>
    <n v="5"/>
    <d v="2026-07-26T00:00:00"/>
    <d v="2026-07-30T00:00:00"/>
    <n v="90"/>
    <n v="0"/>
    <x v="1"/>
    <s v="NA"/>
    <x v="1"/>
  </r>
  <r>
    <n v="1470"/>
    <s v="CNTR101469"/>
    <x v="3"/>
    <s v="ZIM Voyager"/>
    <x v="8"/>
    <s v="40GP"/>
    <d v="2026-06-30T00:00:00"/>
    <n v="4"/>
    <m/>
    <d v="2026-07-04T00:00:00"/>
    <n v="90"/>
    <n v="52"/>
    <x v="2"/>
    <n v="4680"/>
    <x v="0"/>
  </r>
  <r>
    <n v="1471"/>
    <s v="CNTR101470"/>
    <x v="0"/>
    <s v="COSCO Harmony"/>
    <x v="7"/>
    <s v="40GP"/>
    <d v="2026-06-13T00:00:00"/>
    <n v="5"/>
    <d v="2026-06-21T00:00:00"/>
    <d v="2026-06-18T00:00:00"/>
    <n v="60"/>
    <n v="3"/>
    <x v="0"/>
    <n v="180"/>
    <x v="1"/>
  </r>
  <r>
    <n v="1472"/>
    <s v="CNTR101471"/>
    <x v="2"/>
    <s v="Hapag Lloyd Bern"/>
    <x v="1"/>
    <s v="20GP"/>
    <d v="2026-06-01T00:00:00"/>
    <n v="4"/>
    <d v="2026-06-10T00:00:00"/>
    <d v="2026-06-05T00:00:00"/>
    <n v="60"/>
    <n v="5"/>
    <x v="0"/>
    <n v="300"/>
    <x v="1"/>
  </r>
  <r>
    <n v="1473"/>
    <s v="CNTR101472"/>
    <x v="3"/>
    <s v="Evergreen Ace"/>
    <x v="7"/>
    <s v="40GP"/>
    <d v="2026-08-07T00:00:00"/>
    <n v="7"/>
    <m/>
    <d v="2026-08-14T00:00:00"/>
    <n v="90"/>
    <n v="11"/>
    <x v="2"/>
    <n v="990"/>
    <x v="0"/>
  </r>
  <r>
    <n v="1474"/>
    <s v="CNTR101473"/>
    <x v="0"/>
    <s v="ONE Kestrel"/>
    <x v="3"/>
    <s v="40RF"/>
    <d v="2026-06-08T00:00:00"/>
    <n v="4"/>
    <m/>
    <d v="2026-06-12T00:00:00"/>
    <n v="180"/>
    <n v="74"/>
    <x v="2"/>
    <n v="13320"/>
    <x v="0"/>
  </r>
  <r>
    <n v="1475"/>
    <s v="CNTR101474"/>
    <x v="3"/>
    <s v="Evergreen Ace"/>
    <x v="6"/>
    <s v="40GP"/>
    <d v="2026-07-23T00:00:00"/>
    <n v="4"/>
    <d v="2026-07-29T00:00:00"/>
    <d v="2026-07-27T00:00:00"/>
    <n v="90"/>
    <n v="2"/>
    <x v="0"/>
    <n v="180"/>
    <x v="1"/>
  </r>
  <r>
    <n v="1476"/>
    <s v="CNTR101475"/>
    <x v="1"/>
    <s v="ONE Kestrel"/>
    <x v="8"/>
    <s v="40RF"/>
    <d v="2026-08-21T00:00:00"/>
    <n v="4"/>
    <d v="2026-08-25T00:00:00"/>
    <d v="2026-08-25T00:00:00"/>
    <n v="120"/>
    <n v="0"/>
    <x v="1"/>
    <s v="NA"/>
    <x v="1"/>
  </r>
  <r>
    <n v="1477"/>
    <s v="CNTR101476"/>
    <x v="2"/>
    <s v="CMA CGM Rhone"/>
    <x v="7"/>
    <s v="20GP"/>
    <d v="2026-05-27T00:00:00"/>
    <n v="7"/>
    <m/>
    <d v="2026-06-03T00:00:00"/>
    <n v="130"/>
    <n v="83"/>
    <x v="2"/>
    <n v="10790"/>
    <x v="0"/>
  </r>
  <r>
    <n v="1478"/>
    <s v="CNTR101477"/>
    <x v="1"/>
    <s v="MSC Elena"/>
    <x v="1"/>
    <s v="40RF"/>
    <d v="2026-06-22T00:00:00"/>
    <n v="3"/>
    <d v="2026-06-23T00:00:00"/>
    <d v="2026-06-25T00:00:00"/>
    <n v="180"/>
    <n v="0"/>
    <x v="1"/>
    <s v="NA"/>
    <x v="1"/>
  </r>
  <r>
    <n v="1479"/>
    <s v="CNTR101478"/>
    <x v="1"/>
    <s v="Maersk Kiel"/>
    <x v="2"/>
    <s v="40GP"/>
    <d v="2026-06-16T00:00:00"/>
    <n v="6"/>
    <m/>
    <d v="2026-06-22T00:00:00"/>
    <n v="130"/>
    <n v="64"/>
    <x v="2"/>
    <n v="8320"/>
    <x v="0"/>
  </r>
  <r>
    <n v="1480"/>
    <s v="CNTR101479"/>
    <x v="3"/>
    <s v="OOCL Bergen"/>
    <x v="5"/>
    <s v="40RF"/>
    <d v="2026-08-05T00:00:00"/>
    <n v="4"/>
    <d v="2026-08-14T00:00:00"/>
    <d v="2026-08-09T00:00:00"/>
    <n v="120"/>
    <n v="5"/>
    <x v="0"/>
    <n v="600"/>
    <x v="1"/>
  </r>
  <r>
    <n v="1481"/>
    <s v="CNTR101480"/>
    <x v="0"/>
    <s v="MSC Elena"/>
    <x v="3"/>
    <s v="40HC"/>
    <d v="2026-07-01T00:00:00"/>
    <n v="7"/>
    <d v="2026-07-10T00:00:00"/>
    <d v="2026-07-08T00:00:00"/>
    <n v="75"/>
    <n v="2"/>
    <x v="0"/>
    <n v="150"/>
    <x v="1"/>
  </r>
  <r>
    <n v="1482"/>
    <s v="CNTR101481"/>
    <x v="3"/>
    <s v="OOCL Bergen"/>
    <x v="2"/>
    <s v="20GP"/>
    <d v="2026-07-26T00:00:00"/>
    <n v="6"/>
    <d v="2026-07-31T00:00:00"/>
    <d v="2026-08-01T00:00:00"/>
    <n v="90"/>
    <n v="0"/>
    <x v="1"/>
    <s v="NA"/>
    <x v="1"/>
  </r>
  <r>
    <n v="1483"/>
    <s v="CNTR101482"/>
    <x v="0"/>
    <s v="OOCL Bergen"/>
    <x v="4"/>
    <s v="40RF"/>
    <d v="2026-07-17T00:00:00"/>
    <n v="4"/>
    <m/>
    <d v="2026-07-21T00:00:00"/>
    <n v="180"/>
    <n v="35"/>
    <x v="2"/>
    <n v="6300"/>
    <x v="0"/>
  </r>
  <r>
    <n v="1484"/>
    <s v="CNTR101483"/>
    <x v="2"/>
    <s v="MSC Elena"/>
    <x v="6"/>
    <s v="40GP"/>
    <d v="2026-06-02T00:00:00"/>
    <n v="4"/>
    <d v="2026-06-03T00:00:00"/>
    <d v="2026-06-06T00:00:00"/>
    <n v="60"/>
    <n v="0"/>
    <x v="1"/>
    <s v="NA"/>
    <x v="1"/>
  </r>
  <r>
    <n v="1485"/>
    <s v="CNTR101484"/>
    <x v="0"/>
    <s v="ZIM Voyager"/>
    <x v="2"/>
    <s v="40GP"/>
    <d v="2026-07-14T00:00:00"/>
    <n v="5"/>
    <d v="2026-07-15T00:00:00"/>
    <d v="2026-07-19T00:00:00"/>
    <n v="130"/>
    <n v="0"/>
    <x v="1"/>
    <s v="NA"/>
    <x v="1"/>
  </r>
  <r>
    <n v="1486"/>
    <s v="CNTR101485"/>
    <x v="0"/>
    <s v="ZIM Voyager"/>
    <x v="0"/>
    <s v="40HC"/>
    <d v="2026-07-21T00:00:00"/>
    <n v="5"/>
    <m/>
    <d v="2026-07-26T00:00:00"/>
    <n v="130"/>
    <n v="30"/>
    <x v="2"/>
    <n v="3900"/>
    <x v="0"/>
  </r>
  <r>
    <n v="1487"/>
    <s v="CNTR101486"/>
    <x v="1"/>
    <s v="OOCL Bergen"/>
    <x v="4"/>
    <s v="20GP"/>
    <d v="2026-07-20T00:00:00"/>
    <n v="5"/>
    <d v="2026-07-23T00:00:00"/>
    <d v="2026-07-25T00:00:00"/>
    <n v="60"/>
    <n v="0"/>
    <x v="1"/>
    <s v="NA"/>
    <x v="1"/>
  </r>
  <r>
    <n v="1488"/>
    <s v="CNTR101487"/>
    <x v="2"/>
    <s v="MSC Elena"/>
    <x v="2"/>
    <s v="40HC"/>
    <d v="2026-06-05T00:00:00"/>
    <n v="4"/>
    <m/>
    <d v="2026-06-09T00:00:00"/>
    <n v="60"/>
    <n v="77"/>
    <x v="2"/>
    <n v="4620"/>
    <x v="0"/>
  </r>
  <r>
    <n v="1489"/>
    <s v="CNTR101488"/>
    <x v="3"/>
    <s v="ONE Kestrel"/>
    <x v="5"/>
    <s v="20GP"/>
    <d v="2026-05-27T00:00:00"/>
    <n v="5"/>
    <d v="2026-05-30T00:00:00"/>
    <d v="2026-06-01T00:00:00"/>
    <n v="60"/>
    <n v="0"/>
    <x v="1"/>
    <s v="NA"/>
    <x v="1"/>
  </r>
  <r>
    <n v="1490"/>
    <s v="CNTR101489"/>
    <x v="3"/>
    <s v="MSC Elena"/>
    <x v="3"/>
    <s v="40GP"/>
    <d v="2026-06-06T00:00:00"/>
    <n v="7"/>
    <d v="2026-06-15T00:00:00"/>
    <d v="2026-06-13T00:00:00"/>
    <n v="60"/>
    <n v="2"/>
    <x v="0"/>
    <n v="120"/>
    <x v="1"/>
  </r>
  <r>
    <n v="1491"/>
    <s v="CNTR101490"/>
    <x v="2"/>
    <s v="ONE Kestrel"/>
    <x v="9"/>
    <s v="40RF"/>
    <d v="2026-07-22T00:00:00"/>
    <n v="4"/>
    <m/>
    <d v="2026-07-26T00:00:00"/>
    <n v="150"/>
    <n v="30"/>
    <x v="2"/>
    <n v="4500"/>
    <x v="0"/>
  </r>
  <r>
    <n v="1492"/>
    <s v="CNTR101491"/>
    <x v="3"/>
    <s v="Maersk Kiel"/>
    <x v="9"/>
    <s v="40HC"/>
    <d v="2026-08-19T00:00:00"/>
    <n v="5"/>
    <d v="2026-08-25T00:00:00"/>
    <d v="2026-08-24T00:00:00"/>
    <n v="110"/>
    <n v="1"/>
    <x v="0"/>
    <n v="110"/>
    <x v="1"/>
  </r>
  <r>
    <n v="1493"/>
    <s v="CNTR101492"/>
    <x v="2"/>
    <s v="COSCO Harmony"/>
    <x v="5"/>
    <s v="40GP"/>
    <d v="2026-06-21T00:00:00"/>
    <n v="5"/>
    <d v="2026-06-25T00:00:00"/>
    <d v="2026-06-26T00:00:00"/>
    <n v="110"/>
    <n v="0"/>
    <x v="1"/>
    <s v="NA"/>
    <x v="1"/>
  </r>
  <r>
    <n v="1494"/>
    <s v="CNTR101493"/>
    <x v="3"/>
    <s v="OOCL Bergen"/>
    <x v="6"/>
    <s v="40RF"/>
    <d v="2026-06-14T00:00:00"/>
    <n v="4"/>
    <d v="2026-06-15T00:00:00"/>
    <d v="2026-06-18T00:00:00"/>
    <n v="120"/>
    <n v="0"/>
    <x v="1"/>
    <s v="NA"/>
    <x v="1"/>
  </r>
  <r>
    <n v="1495"/>
    <s v="CNTR101494"/>
    <x v="1"/>
    <s v="Hapag Lloyd Bern"/>
    <x v="9"/>
    <s v="40RF"/>
    <d v="2026-08-06T00:00:00"/>
    <n v="4"/>
    <d v="2026-08-11T00:00:00"/>
    <d v="2026-08-10T00:00:00"/>
    <n v="120"/>
    <n v="1"/>
    <x v="0"/>
    <n v="120"/>
    <x v="1"/>
  </r>
  <r>
    <n v="1496"/>
    <s v="CNTR101495"/>
    <x v="2"/>
    <s v="Hapag Lloyd Bern"/>
    <x v="2"/>
    <s v="40RF"/>
    <d v="2026-07-30T00:00:00"/>
    <n v="4"/>
    <d v="2026-08-01T00:00:00"/>
    <d v="2026-08-03T00:00:00"/>
    <n v="180"/>
    <n v="0"/>
    <x v="1"/>
    <s v="NA"/>
    <x v="1"/>
  </r>
  <r>
    <n v="1497"/>
    <s v="CNTR101496"/>
    <x v="0"/>
    <s v="OOCL Bergen"/>
    <x v="8"/>
    <s v="20GP"/>
    <d v="2026-08-10T00:00:00"/>
    <n v="5"/>
    <d v="2026-08-17T00:00:00"/>
    <d v="2026-08-15T00:00:00"/>
    <n v="60"/>
    <n v="2"/>
    <x v="0"/>
    <n v="120"/>
    <x v="1"/>
  </r>
  <r>
    <n v="1498"/>
    <s v="CNTR101497"/>
    <x v="3"/>
    <s v="OOCL Bergen"/>
    <x v="9"/>
    <s v="20GP"/>
    <d v="2026-07-13T00:00:00"/>
    <n v="7"/>
    <d v="2026-07-24T00:00:00"/>
    <d v="2026-07-20T00:00:00"/>
    <n v="75"/>
    <n v="4"/>
    <x v="0"/>
    <n v="300"/>
    <x v="1"/>
  </r>
  <r>
    <n v="1499"/>
    <s v="CNTR101498"/>
    <x v="1"/>
    <s v="Evergreen Ace"/>
    <x v="8"/>
    <s v="40GP"/>
    <d v="2026-07-04T00:00:00"/>
    <n v="5"/>
    <d v="2026-07-08T00:00:00"/>
    <d v="2026-07-09T00:00:00"/>
    <n v="60"/>
    <n v="0"/>
    <x v="1"/>
    <s v="NA"/>
    <x v="1"/>
  </r>
  <r>
    <n v="1500"/>
    <s v="CNTR101499"/>
    <x v="0"/>
    <s v="ONE Kestrel"/>
    <x v="1"/>
    <s v="20GP"/>
    <d v="2026-07-04T00:00:00"/>
    <n v="5"/>
    <m/>
    <d v="2026-07-09T00:00:00"/>
    <n v="60"/>
    <n v="47"/>
    <x v="2"/>
    <n v="282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E72797-EB51-47F3-8758-8FE133D113A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isk Level">
  <location ref="E18:J23" firstHeaderRow="1" firstDataRow="2" firstDataCol="1"/>
  <pivotFields count="15">
    <pivotField showAll="0"/>
    <pivotField dataField="1" showAll="0"/>
    <pivotField axis="axisCol" showAll="0">
      <items count="5">
        <item x="1"/>
        <item x="3"/>
        <item x="0"/>
        <item x="2"/>
        <item t="default"/>
      </items>
    </pivotField>
    <pivotField showAll="0"/>
    <pivotField showAll="0"/>
    <pivotField showAll="0"/>
    <pivotField numFmtId="164" showAll="0"/>
    <pivotField showAll="0"/>
    <pivotField showAll="0"/>
    <pivotField numFmtId="164" showAll="0"/>
    <pivotField numFmtId="165" showAll="0"/>
    <pivotField showAll="0"/>
    <pivotField axis="axisRow" showAll="0">
      <items count="4">
        <item x="2"/>
        <item x="1"/>
        <item x="0"/>
        <item t="default"/>
      </items>
    </pivotField>
    <pivotField showAll="0"/>
    <pivotField showAll="0">
      <items count="3">
        <item x="1"/>
        <item x="0"/>
        <item t="default"/>
      </items>
    </pivotField>
  </pivotFields>
  <rowFields count="1">
    <field x="12"/>
  </rowFields>
  <rowItems count="4">
    <i>
      <x/>
    </i>
    <i>
      <x v="1"/>
    </i>
    <i>
      <x v="2"/>
    </i>
    <i t="grand">
      <x/>
    </i>
  </rowItems>
  <colFields count="1">
    <field x="2"/>
  </colFields>
  <colItems count="5">
    <i>
      <x/>
    </i>
    <i>
      <x v="1"/>
    </i>
    <i>
      <x v="2"/>
    </i>
    <i>
      <x v="3"/>
    </i>
    <i t="grand">
      <x/>
    </i>
  </colItems>
  <dataFields count="1">
    <dataField name="Count of Container ID" fld="1" subtotal="count" baseField="0" baseItem="0"/>
  </dataFields>
  <formats count="5">
    <format dxfId="6">
      <pivotArea field="2" type="button" dataOnly="0" labelOnly="1" outline="0" axis="axisCol" fieldPosition="0"/>
    </format>
    <format dxfId="5">
      <pivotArea dataOnly="0" labelOnly="1" outline="0" axis="axisValues" fieldPosition="0"/>
    </format>
    <format dxfId="4">
      <pivotArea field="12" type="button" dataOnly="0" labelOnly="1" outline="0" axis="axisRow" fieldPosition="0"/>
    </format>
    <format dxfId="3">
      <pivotArea dataOnly="0" labelOnly="1" fieldPosition="0">
        <references count="1">
          <reference field="2" count="0"/>
        </references>
      </pivotArea>
    </format>
    <format dxfId="2">
      <pivotArea dataOnly="0" labelOnly="1" grandCol="1" outline="0" fieldPosition="0"/>
    </format>
  </formats>
  <chartFormats count="16">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2">
          <reference field="4294967294" count="1" selected="0">
            <x v="0"/>
          </reference>
          <reference field="2" count="1" selected="0">
            <x v="2"/>
          </reference>
        </references>
      </pivotArea>
    </chartFormat>
    <chartFormat chart="3" format="7" series="1">
      <pivotArea type="data" outline="0" fieldPosition="0">
        <references count="2">
          <reference field="4294967294" count="1" selected="0">
            <x v="0"/>
          </reference>
          <reference field="2" count="1" selected="0">
            <x v="3"/>
          </reference>
        </references>
      </pivotArea>
    </chartFormat>
    <chartFormat chart="4" format="8" series="1">
      <pivotArea type="data" outline="0" fieldPosition="0">
        <references count="2">
          <reference field="4294967294" count="1" selected="0">
            <x v="0"/>
          </reference>
          <reference field="2" count="1" selected="0">
            <x v="0"/>
          </reference>
        </references>
      </pivotArea>
    </chartFormat>
    <chartFormat chart="4" format="9" series="1">
      <pivotArea type="data" outline="0" fieldPosition="0">
        <references count="2">
          <reference field="4294967294" count="1" selected="0">
            <x v="0"/>
          </reference>
          <reference field="2" count="1" selected="0">
            <x v="1"/>
          </reference>
        </references>
      </pivotArea>
    </chartFormat>
    <chartFormat chart="4" format="10" series="1">
      <pivotArea type="data" outline="0" fieldPosition="0">
        <references count="2">
          <reference field="4294967294" count="1" selected="0">
            <x v="0"/>
          </reference>
          <reference field="2" count="1" selected="0">
            <x v="2"/>
          </reference>
        </references>
      </pivotArea>
    </chartFormat>
    <chartFormat chart="4" format="11" series="1">
      <pivotArea type="data" outline="0" fieldPosition="0">
        <references count="2">
          <reference field="4294967294" count="1" selected="0">
            <x v="0"/>
          </reference>
          <reference field="2" count="1" selected="0">
            <x v="3"/>
          </reference>
        </references>
      </pivotArea>
    </chartFormat>
    <chartFormat chart="5" format="8" series="1">
      <pivotArea type="data" outline="0" fieldPosition="0">
        <references count="2">
          <reference field="4294967294" count="1" selected="0">
            <x v="0"/>
          </reference>
          <reference field="2" count="1" selected="0">
            <x v="0"/>
          </reference>
        </references>
      </pivotArea>
    </chartFormat>
    <chartFormat chart="5" format="9" series="1">
      <pivotArea type="data" outline="0" fieldPosition="0">
        <references count="2">
          <reference field="4294967294" count="1" selected="0">
            <x v="0"/>
          </reference>
          <reference field="2" count="1" selected="0">
            <x v="1"/>
          </reference>
        </references>
      </pivotArea>
    </chartFormat>
    <chartFormat chart="5" format="10" series="1">
      <pivotArea type="data" outline="0" fieldPosition="0">
        <references count="2">
          <reference field="4294967294" count="1" selected="0">
            <x v="0"/>
          </reference>
          <reference field="2" count="1" selected="0">
            <x v="2"/>
          </reference>
        </references>
      </pivotArea>
    </chartFormat>
    <chartFormat chart="5"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DC5308-113C-4E19-AC00-B8D9C659F93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omers">
  <location ref="A18:B29" firstHeaderRow="1" firstDataRow="1" firstDataCol="1"/>
  <pivotFields count="15">
    <pivotField showAll="0"/>
    <pivotField showAll="0"/>
    <pivotField showAll="0">
      <items count="5">
        <item x="1"/>
        <item x="3"/>
        <item x="0"/>
        <item x="2"/>
        <item t="default"/>
      </items>
    </pivotField>
    <pivotField showAll="0"/>
    <pivotField axis="axisRow" showAll="0">
      <items count="11">
        <item x="1"/>
        <item x="3"/>
        <item x="5"/>
        <item x="2"/>
        <item x="6"/>
        <item x="7"/>
        <item x="4"/>
        <item x="0"/>
        <item x="8"/>
        <item x="9"/>
        <item t="default"/>
      </items>
    </pivotField>
    <pivotField showAll="0"/>
    <pivotField numFmtId="164" showAll="0"/>
    <pivotField showAll="0"/>
    <pivotField showAll="0"/>
    <pivotField numFmtId="164" showAll="0"/>
    <pivotField numFmtId="165" showAll="0"/>
    <pivotField showAll="0"/>
    <pivotField showAll="0">
      <items count="4">
        <item x="2"/>
        <item x="1"/>
        <item x="0"/>
        <item t="default"/>
      </items>
    </pivotField>
    <pivotField dataField="1" showAll="0"/>
    <pivotField showAll="0">
      <items count="3">
        <item x="1"/>
        <item x="0"/>
        <item t="default"/>
      </items>
    </pivotField>
  </pivotFields>
  <rowFields count="1">
    <field x="4"/>
  </rowFields>
  <rowItems count="11">
    <i>
      <x/>
    </i>
    <i>
      <x v="1"/>
    </i>
    <i>
      <x v="2"/>
    </i>
    <i>
      <x v="3"/>
    </i>
    <i>
      <x v="4"/>
    </i>
    <i>
      <x v="5"/>
    </i>
    <i>
      <x v="6"/>
    </i>
    <i>
      <x v="7"/>
    </i>
    <i>
      <x v="8"/>
    </i>
    <i>
      <x v="9"/>
    </i>
    <i t="grand">
      <x/>
    </i>
  </rowItems>
  <colItems count="1">
    <i/>
  </colItems>
  <dataFields count="1">
    <dataField name="Sum of Demurrage Calculation$" fld="13" baseField="4" baseItem="0"/>
  </dataFields>
  <formats count="2">
    <format dxfId="8">
      <pivotArea field="2" type="button" dataOnly="0" labelOnly="1" outline="0"/>
    </format>
    <format dxfId="7">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3B98B7-E41D-4AC6-82D7-D1ED8D39D9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erminals">
  <location ref="K3:L7" firstHeaderRow="1" firstDataRow="1" firstDataCol="1"/>
  <pivotFields count="15">
    <pivotField showAll="0"/>
    <pivotField dataField="1" showAll="0"/>
    <pivotField showAll="0">
      <items count="5">
        <item x="1"/>
        <item x="3"/>
        <item x="0"/>
        <item x="2"/>
        <item t="default"/>
      </items>
    </pivotField>
    <pivotField showAll="0"/>
    <pivotField showAll="0"/>
    <pivotField showAll="0"/>
    <pivotField numFmtId="164" showAll="0"/>
    <pivotField showAll="0"/>
    <pivotField showAll="0"/>
    <pivotField numFmtId="164" showAll="0"/>
    <pivotField numFmtId="165" showAll="0"/>
    <pivotField showAll="0"/>
    <pivotField axis="axisRow" showAll="0">
      <items count="4">
        <item x="2"/>
        <item x="1"/>
        <item x="0"/>
        <item t="default"/>
      </items>
    </pivotField>
    <pivotField showAll="0"/>
    <pivotField showAll="0">
      <items count="3">
        <item x="1"/>
        <item x="0"/>
        <item t="default"/>
      </items>
    </pivotField>
  </pivotFields>
  <rowFields count="1">
    <field x="12"/>
  </rowFields>
  <rowItems count="4">
    <i>
      <x/>
    </i>
    <i>
      <x v="1"/>
    </i>
    <i>
      <x v="2"/>
    </i>
    <i t="grand">
      <x/>
    </i>
  </rowItems>
  <colItems count="1">
    <i/>
  </colItems>
  <dataFields count="1">
    <dataField name="Count of Container ID" fld="1" subtotal="count" baseField="0" baseItem="0"/>
  </dataFields>
  <formats count="2">
    <format dxfId="10">
      <pivotArea field="2" type="button" dataOnly="0" labelOnly="1" outline="0"/>
    </format>
    <format dxfId="9">
      <pivotArea dataOnly="0" labelOnly="1" outline="0" axis="axisValues" fieldPosition="0"/>
    </format>
  </formats>
  <chartFormats count="5">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222BEB-1F81-4522-A41E-0EC8E61A54C6}"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Terminals">
  <location ref="H3:I8" firstHeaderRow="1" firstDataRow="1" firstDataCol="1"/>
  <pivotFields count="15">
    <pivotField showAll="0"/>
    <pivotField showAll="0"/>
    <pivotField axis="axisRow" showAll="0">
      <items count="5">
        <item x="1"/>
        <item x="3"/>
        <item x="0"/>
        <item x="2"/>
        <item t="default"/>
      </items>
    </pivotField>
    <pivotField showAll="0"/>
    <pivotField showAll="0"/>
    <pivotField showAll="0"/>
    <pivotField numFmtId="164" showAll="0"/>
    <pivotField showAll="0"/>
    <pivotField showAll="0"/>
    <pivotField numFmtId="164" showAll="0"/>
    <pivotField numFmtId="165" showAll="0"/>
    <pivotField showAll="0"/>
    <pivotField showAll="0">
      <items count="4">
        <item x="2"/>
        <item x="1"/>
        <item x="0"/>
        <item t="default"/>
      </items>
    </pivotField>
    <pivotField dataField="1" showAll="0"/>
    <pivotField showAll="0">
      <items count="3">
        <item x="1"/>
        <item x="0"/>
        <item t="default"/>
      </items>
    </pivotField>
  </pivotFields>
  <rowFields count="1">
    <field x="2"/>
  </rowFields>
  <rowItems count="5">
    <i>
      <x/>
    </i>
    <i>
      <x v="1"/>
    </i>
    <i>
      <x v="2"/>
    </i>
    <i>
      <x v="3"/>
    </i>
    <i t="grand">
      <x/>
    </i>
  </rowItems>
  <colItems count="1">
    <i/>
  </colItems>
  <dataFields count="1">
    <dataField name="Sum of Demurrage Calculation$" fld="13" baseField="2" baseItem="0"/>
  </dataFields>
  <formats count="2">
    <format dxfId="12">
      <pivotArea field="2" type="button" dataOnly="0" labelOnly="1" outline="0" axis="axisRow" fieldPosition="0"/>
    </format>
    <format dxfId="11">
      <pivotArea dataOnly="0" labelOnly="1" outline="0" axis="axisValues" fieldPosition="0"/>
    </format>
  </formats>
  <chartFormats count="6">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 chart="5" format="8">
      <pivotArea type="data" outline="0" fieldPosition="0">
        <references count="2">
          <reference field="4294967294" count="1" selected="0">
            <x v="0"/>
          </reference>
          <reference field="2" count="1" selected="0">
            <x v="1"/>
          </reference>
        </references>
      </pivotArea>
    </chartFormat>
    <chartFormat chart="5" format="9">
      <pivotArea type="data" outline="0" fieldPosition="0">
        <references count="2">
          <reference field="4294967294" count="1" selected="0">
            <x v="0"/>
          </reference>
          <reference field="2" count="1" selected="0">
            <x v="2"/>
          </reference>
        </references>
      </pivotArea>
    </chartFormat>
    <chartFormat chart="5"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D7EE53-5C1F-4CAB-9123-44BF1C288E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omers">
  <location ref="E3:F14" firstHeaderRow="1" firstDataRow="1" firstDataCol="1"/>
  <pivotFields count="15">
    <pivotField showAll="0"/>
    <pivotField showAll="0"/>
    <pivotField showAll="0">
      <items count="5">
        <item x="1"/>
        <item x="3"/>
        <item x="0"/>
        <item x="2"/>
        <item t="default"/>
      </items>
    </pivotField>
    <pivotField showAll="0"/>
    <pivotField axis="axisRow" showAll="0">
      <items count="11">
        <item x="1"/>
        <item x="3"/>
        <item x="5"/>
        <item x="2"/>
        <item x="6"/>
        <item x="7"/>
        <item x="4"/>
        <item x="0"/>
        <item x="8"/>
        <item x="9"/>
        <item t="default"/>
      </items>
    </pivotField>
    <pivotField showAll="0"/>
    <pivotField numFmtId="164" showAll="0"/>
    <pivotField showAll="0"/>
    <pivotField showAll="0"/>
    <pivotField numFmtId="164" showAll="0"/>
    <pivotField numFmtId="165" showAll="0"/>
    <pivotField dataField="1" showAll="0"/>
    <pivotField showAll="0">
      <items count="4">
        <item x="2"/>
        <item x="1"/>
        <item x="0"/>
        <item t="default"/>
      </items>
    </pivotField>
    <pivotField showAll="0"/>
    <pivotField showAll="0">
      <items count="3">
        <item x="1"/>
        <item x="0"/>
        <item t="default"/>
      </items>
    </pivotField>
  </pivotFields>
  <rowFields count="1">
    <field x="4"/>
  </rowFields>
  <rowItems count="11">
    <i>
      <x/>
    </i>
    <i>
      <x v="1"/>
    </i>
    <i>
      <x v="2"/>
    </i>
    <i>
      <x v="3"/>
    </i>
    <i>
      <x v="4"/>
    </i>
    <i>
      <x v="5"/>
    </i>
    <i>
      <x v="6"/>
    </i>
    <i>
      <x v="7"/>
    </i>
    <i>
      <x v="8"/>
    </i>
    <i>
      <x v="9"/>
    </i>
    <i t="grand">
      <x/>
    </i>
  </rowItems>
  <colItems count="1">
    <i/>
  </colItems>
  <dataFields count="1">
    <dataField name="Average of Dwell Time" fld="11" subtotal="average" baseField="2" baseItem="0"/>
  </dataFields>
  <formats count="2">
    <format dxfId="14">
      <pivotArea field="2" type="button" dataOnly="0" labelOnly="1" outline="0"/>
    </format>
    <format dxfId="13">
      <pivotArea dataOnly="0" labelOnly="1" outline="0" axis="axisValues" fieldPosition="0"/>
    </format>
  </formats>
  <chartFormats count="3">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311E03-0212-4F2A-8895-EEF5013DD17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erminals">
  <location ref="A3:B8" firstHeaderRow="1" firstDataRow="1" firstDataCol="1"/>
  <pivotFields count="15">
    <pivotField showAll="0"/>
    <pivotField showAll="0"/>
    <pivotField axis="axisRow" showAll="0">
      <items count="5">
        <item x="1"/>
        <item x="3"/>
        <item x="0"/>
        <item x="2"/>
        <item t="default"/>
      </items>
    </pivotField>
    <pivotField showAll="0"/>
    <pivotField showAll="0"/>
    <pivotField showAll="0"/>
    <pivotField numFmtId="164" showAll="0"/>
    <pivotField showAll="0"/>
    <pivotField showAll="0"/>
    <pivotField numFmtId="164" showAll="0"/>
    <pivotField numFmtId="165" showAll="0"/>
    <pivotField dataField="1" showAll="0"/>
    <pivotField showAll="0">
      <items count="4">
        <item x="2"/>
        <item x="1"/>
        <item x="0"/>
        <item t="default"/>
      </items>
    </pivotField>
    <pivotField showAll="0"/>
    <pivotField showAll="0">
      <items count="3">
        <item x="1"/>
        <item x="0"/>
        <item t="default"/>
      </items>
    </pivotField>
  </pivotFields>
  <rowFields count="1">
    <field x="2"/>
  </rowFields>
  <rowItems count="5">
    <i>
      <x/>
    </i>
    <i>
      <x v="1"/>
    </i>
    <i>
      <x v="2"/>
    </i>
    <i>
      <x v="3"/>
    </i>
    <i t="grand">
      <x/>
    </i>
  </rowItems>
  <colItems count="1">
    <i/>
  </colItems>
  <dataFields count="1">
    <dataField name="Average of Dwell Time" fld="11" subtotal="average" baseField="2" baseItem="0"/>
  </dataFields>
  <formats count="2">
    <format dxfId="16">
      <pivotArea field="2" type="button" dataOnly="0" labelOnly="1" outline="0" axis="axisRow" fieldPosition="0"/>
    </format>
    <format dxfId="15">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inal" xr10:uid="{0F309928-1113-4D0E-ADD7-BB39FC4D900A}" sourceName="Terminal">
  <pivotTables>
    <pivotTable tabId="6" name="PivotTable1"/>
    <pivotTable tabId="6" name="PivotTable14"/>
    <pivotTable tabId="6" name="PivotTable3"/>
    <pivotTable tabId="6" name="PivotTable4"/>
    <pivotTable tabId="6" name="PivotTable5"/>
    <pivotTable tabId="6" name="PivotTable6"/>
  </pivotTables>
  <data>
    <tabular pivotCacheId="2047174385">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27EA6197-6D2B-4F3E-BD50-1ED87B6BD279}" sourceName="Risk Level">
  <pivotTables>
    <pivotTable tabId="6" name="PivotTable1"/>
    <pivotTable tabId="6" name="PivotTable14"/>
    <pivotTable tabId="6" name="PivotTable3"/>
    <pivotTable tabId="6" name="PivotTable4"/>
    <pivotTable tabId="6" name="PivotTable5"/>
    <pivotTable tabId="6" name="PivotTable6"/>
  </pivotTables>
  <data>
    <tabular pivotCacheId="204717438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iners_still_in_Yard" xr10:uid="{7E6F295B-1894-45D8-ABEE-CD0952125432}" sourceName="Containers still in Yard">
  <pivotTables>
    <pivotTable tabId="6" name="PivotTable1"/>
    <pivotTable tabId="6" name="PivotTable14"/>
    <pivotTable tabId="6" name="PivotTable3"/>
    <pivotTable tabId="6" name="PivotTable4"/>
    <pivotTable tabId="6" name="PivotTable5"/>
    <pivotTable tabId="6" name="PivotTable6"/>
  </pivotTables>
  <data>
    <tabular pivotCacheId="204717438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minal" xr10:uid="{4393599D-FEA9-4B52-8656-29E1F0B4A767}" cache="Slicer_Terminal" caption="Terminal" style="SlicerStyleDark1" rowHeight="241300"/>
  <slicer name="Risk Level" xr10:uid="{14824BF1-94E8-405E-8EF7-6E671411BC5C}" cache="Slicer_Risk_Level" caption="Risk Level" style="SlicerStyleDark1" rowHeight="241300"/>
  <slicer name="Containers still in Yard" xr10:uid="{4EEF1B08-EC6F-4425-874E-354340362012}" cache="Slicer_Containers_still_in_Yard" caption="Containers still in Yard"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DFB393-4C9E-46B0-A026-CB55C3A11D55}" name="Table1" displayName="Table1" ref="A4:O1504" totalsRowShown="0" headerRowDxfId="36" dataDxfId="34" headerRowBorderDxfId="35" tableBorderDxfId="33" totalsRowBorderDxfId="32">
  <tableColumns count="15">
    <tableColumn id="1" xr3:uid="{D4BC047F-644B-45D3-AD8D-7ED803438144}" name="S.no" dataDxfId="31"/>
    <tableColumn id="2" xr3:uid="{F7A2CBE0-383D-493D-A7FE-A8D32A52F95A}" name="Container ID" dataDxfId="30"/>
    <tableColumn id="3" xr3:uid="{0E817600-A0C9-4392-92E8-384A285D1D7C}" name="Terminal" dataDxfId="29"/>
    <tableColumn id="4" xr3:uid="{5A1B4557-6ECF-49AE-ABBF-2FB16208BB55}" name="Vessel" dataDxfId="28"/>
    <tableColumn id="5" xr3:uid="{61BAF482-A987-414B-AED3-AE61CDE5B68F}" name="Customer" dataDxfId="27"/>
    <tableColumn id="6" xr3:uid="{3C1A7ABD-9F64-4BC5-9916-6CE43C198210}" name="Type" dataDxfId="26"/>
    <tableColumn id="7" xr3:uid="{B7ED30FF-DBC7-49BA-A045-31B4B11DAC02}" name="Discharge_x000a_Date" dataDxfId="25"/>
    <tableColumn id="8" xr3:uid="{B26E0361-DBD6-4346-96E2-6CCC702465BC}" name="Free Time_x000a_(days)" dataDxfId="24"/>
    <tableColumn id="9" xr3:uid="{2055B88E-EA9D-440C-A1B9-5F2AF0349A37}" name="Gate Out_x000a_Date" dataDxfId="23"/>
    <tableColumn id="10" xr3:uid="{28E5BCCA-B93B-43A2-86E9-73FFD07873CC}" name="Free Time Finish Day" dataDxfId="22">
      <calculatedColumnFormula>G5+H5</calculatedColumnFormula>
    </tableColumn>
    <tableColumn id="11" xr3:uid="{B2913B23-CD4B-4AA5-925E-B0CE049058D7}" name="Demurrage_x000a_Rate/day" dataDxfId="21"/>
    <tableColumn id="12" xr3:uid="{268B02C9-EB74-4C9F-920D-09D63002D19A}" name="Dwell Time" dataDxfId="20">
      <calculatedColumnFormula>MAX(0, IF(I5="", $C$2-J5, I5-J5))</calculatedColumnFormula>
    </tableColumn>
    <tableColumn id="13" xr3:uid="{A6EE6369-CC5C-45F2-8909-58717C832E0E}" name="Risk Level" dataDxfId="19">
      <calculatedColumnFormula array="1">_xlfn.IFS(L5&gt;=10,"HIGH",L5=0,"LOW",L5&lt;=9,"MEDIUM")</calculatedColumnFormula>
    </tableColumn>
    <tableColumn id="14" xr3:uid="{E162F292-299F-4060-A9FE-7FD65AF323B3}" name="Demurrage Calculation$" dataDxfId="18">
      <calculatedColumnFormula array="1">_xlfn.IFS(M5="HIGH",K5*L5,M5="MEDIUM",K5*L5,M5="LOW","NA")</calculatedColumnFormula>
    </tableColumn>
    <tableColumn id="15" xr3:uid="{5C3CCC61-D23C-48A7-A1CF-9341C3985A9C}" name="Containers still in Yard" dataDxfId="17">
      <calculatedColumnFormula>IF(I5="","still in yard","cleared")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1514"/>
  <sheetViews>
    <sheetView workbookViewId="0">
      <pane ySplit="4" topLeftCell="A5" activePane="bottomLeft" state="frozen"/>
      <selection pane="bottomLeft" activeCell="N5" sqref="N5"/>
    </sheetView>
  </sheetViews>
  <sheetFormatPr defaultRowHeight="15" x14ac:dyDescent="0.25"/>
  <cols>
    <col min="2" max="2" width="21.85546875" customWidth="1"/>
    <col min="3" max="3" width="12" customWidth="1"/>
    <col min="4" max="4" width="19" customWidth="1"/>
    <col min="5" max="5" width="18" customWidth="1"/>
    <col min="6" max="6" width="9" customWidth="1"/>
    <col min="7" max="7" width="13" customWidth="1"/>
    <col min="8" max="8" width="9" customWidth="1"/>
    <col min="9" max="9" width="13" customWidth="1"/>
    <col min="10" max="10" width="24.42578125" customWidth="1"/>
    <col min="11" max="11" width="12" customWidth="1"/>
    <col min="12" max="12" width="14.28515625" customWidth="1"/>
    <col min="13" max="13" width="13.85546875" customWidth="1"/>
    <col min="14" max="14" width="27.42578125" customWidth="1"/>
    <col min="15" max="15" width="26.140625" customWidth="1"/>
    <col min="18" max="18" width="14.7109375" bestFit="1" customWidth="1"/>
    <col min="19" max="20" width="18.5703125" bestFit="1" customWidth="1"/>
    <col min="21" max="22" width="28.85546875" bestFit="1" customWidth="1"/>
    <col min="23" max="23" width="20.28515625" bestFit="1" customWidth="1"/>
  </cols>
  <sheetData>
    <row r="1" spans="1:15" ht="18" x14ac:dyDescent="0.25">
      <c r="B1" s="29" t="s">
        <v>1550</v>
      </c>
      <c r="C1" s="30"/>
      <c r="D1" s="30"/>
      <c r="E1" s="30"/>
      <c r="F1" s="30"/>
      <c r="G1" s="30"/>
      <c r="H1" s="30"/>
      <c r="I1" s="30"/>
      <c r="J1" s="30"/>
      <c r="K1" s="30"/>
    </row>
    <row r="2" spans="1:15" x14ac:dyDescent="0.25">
      <c r="B2" s="1" t="s">
        <v>0</v>
      </c>
      <c r="C2" s="2">
        <v>46259</v>
      </c>
      <c r="D2" s="3"/>
    </row>
    <row r="4" spans="1:15" ht="45" x14ac:dyDescent="0.25">
      <c r="A4" s="19" t="s">
        <v>1568</v>
      </c>
      <c r="B4" s="20" t="s">
        <v>1</v>
      </c>
      <c r="C4" s="20" t="s">
        <v>2</v>
      </c>
      <c r="D4" s="20" t="s">
        <v>3</v>
      </c>
      <c r="E4" s="20" t="s">
        <v>4</v>
      </c>
      <c r="F4" s="20" t="s">
        <v>5</v>
      </c>
      <c r="G4" s="20" t="s">
        <v>6</v>
      </c>
      <c r="H4" s="20" t="s">
        <v>7</v>
      </c>
      <c r="I4" s="20" t="s">
        <v>8</v>
      </c>
      <c r="J4" s="20" t="s">
        <v>1566</v>
      </c>
      <c r="K4" s="20" t="s">
        <v>9</v>
      </c>
      <c r="L4" s="20" t="s">
        <v>1551</v>
      </c>
      <c r="M4" s="20" t="s">
        <v>1552</v>
      </c>
      <c r="N4" s="20" t="s">
        <v>1553</v>
      </c>
      <c r="O4" s="21" t="s">
        <v>1569</v>
      </c>
    </row>
    <row r="5" spans="1:15" x14ac:dyDescent="0.25">
      <c r="A5" s="17">
        <v>1</v>
      </c>
      <c r="B5" s="6" t="s">
        <v>10</v>
      </c>
      <c r="C5" s="6" t="s">
        <v>11</v>
      </c>
      <c r="D5" s="6" t="s">
        <v>12</v>
      </c>
      <c r="E5" s="6" t="s">
        <v>13</v>
      </c>
      <c r="F5" s="6" t="s">
        <v>14</v>
      </c>
      <c r="G5" s="7">
        <v>46249</v>
      </c>
      <c r="H5" s="6">
        <v>7</v>
      </c>
      <c r="I5" s="6"/>
      <c r="J5" s="7">
        <f>G5+H5</f>
        <v>46256</v>
      </c>
      <c r="K5" s="8">
        <v>130</v>
      </c>
      <c r="L5" s="9">
        <f t="shared" ref="L5:L68" si="0">MAX(0, IF(I5="", $C$2-J5, I5-J5))</f>
        <v>3</v>
      </c>
      <c r="M5" s="9" t="str" cm="1">
        <f t="array" ref="M5">_xlfn.IFS(L5&gt;=10,"HIGH",L5=0,"LOW",L5&lt;=9,"MEDIUM")</f>
        <v>MEDIUM</v>
      </c>
      <c r="N5" s="9" cm="1">
        <f t="array" ref="N5">_xlfn.IFS(M5="HIGH",K5*L5,M5="MEDIUM",K5*L5,M5="LOW","NA")</f>
        <v>390</v>
      </c>
      <c r="O5" s="18" t="str">
        <f>IF(I5="","still in yard","cleared")</f>
        <v>still in yard</v>
      </c>
    </row>
    <row r="6" spans="1:15" x14ac:dyDescent="0.25">
      <c r="A6" s="17">
        <v>2</v>
      </c>
      <c r="B6" s="6" t="s">
        <v>15</v>
      </c>
      <c r="C6" s="6" t="s">
        <v>16</v>
      </c>
      <c r="D6" s="6" t="s">
        <v>17</v>
      </c>
      <c r="E6" s="6" t="s">
        <v>18</v>
      </c>
      <c r="F6" s="6" t="s">
        <v>14</v>
      </c>
      <c r="G6" s="7">
        <v>46247</v>
      </c>
      <c r="H6" s="6">
        <v>6</v>
      </c>
      <c r="I6" s="7">
        <v>46253</v>
      </c>
      <c r="J6" s="7">
        <f t="shared" ref="J6:J69" si="1">G6+H6</f>
        <v>46253</v>
      </c>
      <c r="K6" s="8">
        <v>60</v>
      </c>
      <c r="L6" s="9">
        <f t="shared" si="0"/>
        <v>0</v>
      </c>
      <c r="M6" s="9" t="str" cm="1">
        <f t="array" ref="M6">_xlfn.IFS(L6&gt;=10,"HIGH",L6=0,"LOW",L6&lt;=9,"MEDIUM")</f>
        <v>LOW</v>
      </c>
      <c r="N6" s="9" t="str" cm="1">
        <f t="array" ref="N6">_xlfn.IFS(M6="HIGH",K6*L6,M6="MEDIUM",K6*L6,M6="LOW","NA")</f>
        <v>NA</v>
      </c>
      <c r="O6" s="18" t="str">
        <f t="shared" ref="O6:O69" si="2">IF(I6="","still in yard","cleared")</f>
        <v>cleared</v>
      </c>
    </row>
    <row r="7" spans="1:15" x14ac:dyDescent="0.25">
      <c r="A7" s="17">
        <v>3</v>
      </c>
      <c r="B7" s="6" t="s">
        <v>19</v>
      </c>
      <c r="C7" s="6" t="s">
        <v>16</v>
      </c>
      <c r="D7" s="6" t="s">
        <v>20</v>
      </c>
      <c r="E7" s="6" t="s">
        <v>21</v>
      </c>
      <c r="F7" s="6" t="s">
        <v>14</v>
      </c>
      <c r="G7" s="7">
        <v>46185</v>
      </c>
      <c r="H7" s="6">
        <v>7</v>
      </c>
      <c r="I7" s="7">
        <v>46197</v>
      </c>
      <c r="J7" s="7">
        <f t="shared" si="1"/>
        <v>46192</v>
      </c>
      <c r="K7" s="8">
        <v>75</v>
      </c>
      <c r="L7" s="9">
        <f t="shared" si="0"/>
        <v>5</v>
      </c>
      <c r="M7" s="9" t="str" cm="1">
        <f t="array" ref="M7">_xlfn.IFS(L7&gt;=10,"HIGH",L7=0,"LOW",L7&lt;=9,"MEDIUM")</f>
        <v>MEDIUM</v>
      </c>
      <c r="N7" s="9" cm="1">
        <f t="array" ref="N7">_xlfn.IFS(M7="HIGH",K7*L7,M7="MEDIUM",K7*L7,M7="LOW","NA")</f>
        <v>375</v>
      </c>
      <c r="O7" s="18" t="str">
        <f t="shared" si="2"/>
        <v>cleared</v>
      </c>
    </row>
    <row r="8" spans="1:15" x14ac:dyDescent="0.25">
      <c r="A8" s="17">
        <v>4</v>
      </c>
      <c r="B8" s="6" t="s">
        <v>22</v>
      </c>
      <c r="C8" s="6" t="s">
        <v>16</v>
      </c>
      <c r="D8" s="6" t="s">
        <v>17</v>
      </c>
      <c r="E8" s="6" t="s">
        <v>23</v>
      </c>
      <c r="F8" s="6" t="s">
        <v>24</v>
      </c>
      <c r="G8" s="7">
        <v>46205</v>
      </c>
      <c r="H8" s="6">
        <v>5</v>
      </c>
      <c r="I8" s="7">
        <v>46206</v>
      </c>
      <c r="J8" s="7">
        <f t="shared" si="1"/>
        <v>46210</v>
      </c>
      <c r="K8" s="8">
        <v>75</v>
      </c>
      <c r="L8" s="9">
        <f t="shared" si="0"/>
        <v>0</v>
      </c>
      <c r="M8" s="9" t="str" cm="1">
        <f t="array" ref="M8">_xlfn.IFS(L8&gt;=10,"HIGH",L8=0,"LOW",L8&lt;=9,"MEDIUM")</f>
        <v>LOW</v>
      </c>
      <c r="N8" s="9" t="str" cm="1">
        <f t="array" ref="N8">_xlfn.IFS(M8="HIGH",K8*L8,M8="MEDIUM",K8*L8,M8="LOW","NA")</f>
        <v>NA</v>
      </c>
      <c r="O8" s="18" t="str">
        <f t="shared" si="2"/>
        <v>cleared</v>
      </c>
    </row>
    <row r="9" spans="1:15" x14ac:dyDescent="0.25">
      <c r="A9" s="17">
        <v>5</v>
      </c>
      <c r="B9" s="6" t="s">
        <v>25</v>
      </c>
      <c r="C9" s="6" t="s">
        <v>16</v>
      </c>
      <c r="D9" s="6" t="s">
        <v>26</v>
      </c>
      <c r="E9" s="6" t="s">
        <v>21</v>
      </c>
      <c r="F9" s="6" t="s">
        <v>27</v>
      </c>
      <c r="G9" s="7">
        <v>46211</v>
      </c>
      <c r="H9" s="6">
        <v>4</v>
      </c>
      <c r="I9" s="7">
        <v>46212</v>
      </c>
      <c r="J9" s="7">
        <f t="shared" si="1"/>
        <v>46215</v>
      </c>
      <c r="K9" s="8">
        <v>60</v>
      </c>
      <c r="L9" s="9">
        <f t="shared" si="0"/>
        <v>0</v>
      </c>
      <c r="M9" s="9" t="str" cm="1">
        <f t="array" ref="M9">_xlfn.IFS(L9&gt;=10,"HIGH",L9=0,"LOW",L9&lt;=9,"MEDIUM")</f>
        <v>LOW</v>
      </c>
      <c r="N9" s="9" t="str" cm="1">
        <f t="array" ref="N9">_xlfn.IFS(M9="HIGH",K9*L9,M9="MEDIUM",K9*L9,M9="LOW","NA")</f>
        <v>NA</v>
      </c>
      <c r="O9" s="18" t="str">
        <f t="shared" si="2"/>
        <v>cleared</v>
      </c>
    </row>
    <row r="10" spans="1:15" x14ac:dyDescent="0.25">
      <c r="A10" s="17">
        <v>6</v>
      </c>
      <c r="B10" s="6" t="s">
        <v>28</v>
      </c>
      <c r="C10" s="6" t="s">
        <v>16</v>
      </c>
      <c r="D10" s="6" t="s">
        <v>26</v>
      </c>
      <c r="E10" s="6" t="s">
        <v>18</v>
      </c>
      <c r="F10" s="6" t="s">
        <v>29</v>
      </c>
      <c r="G10" s="7">
        <v>46171</v>
      </c>
      <c r="H10" s="6">
        <v>4</v>
      </c>
      <c r="I10" s="7">
        <v>46172</v>
      </c>
      <c r="J10" s="7">
        <f t="shared" si="1"/>
        <v>46175</v>
      </c>
      <c r="K10" s="8">
        <v>150</v>
      </c>
      <c r="L10" s="9">
        <f t="shared" si="0"/>
        <v>0</v>
      </c>
      <c r="M10" s="9" t="str" cm="1">
        <f t="array" ref="M10">_xlfn.IFS(L10&gt;=10,"HIGH",L10=0,"LOW",L10&lt;=9,"MEDIUM")</f>
        <v>LOW</v>
      </c>
      <c r="N10" s="9" t="str" cm="1">
        <f t="array" ref="N10">_xlfn.IFS(M10="HIGH",K10*L10,M10="MEDIUM",K10*L10,M10="LOW","NA")</f>
        <v>NA</v>
      </c>
      <c r="O10" s="18" t="str">
        <f t="shared" si="2"/>
        <v>cleared</v>
      </c>
    </row>
    <row r="11" spans="1:15" x14ac:dyDescent="0.25">
      <c r="A11" s="17">
        <v>7</v>
      </c>
      <c r="B11" s="6" t="s">
        <v>30</v>
      </c>
      <c r="C11" s="6" t="s">
        <v>11</v>
      </c>
      <c r="D11" s="6" t="s">
        <v>31</v>
      </c>
      <c r="E11" s="6" t="s">
        <v>18</v>
      </c>
      <c r="F11" s="6" t="s">
        <v>27</v>
      </c>
      <c r="G11" s="7">
        <v>46169</v>
      </c>
      <c r="H11" s="6">
        <v>5</v>
      </c>
      <c r="I11" s="6"/>
      <c r="J11" s="7">
        <f t="shared" si="1"/>
        <v>46174</v>
      </c>
      <c r="K11" s="8">
        <v>90</v>
      </c>
      <c r="L11" s="9">
        <f t="shared" si="0"/>
        <v>85</v>
      </c>
      <c r="M11" s="9" t="str" cm="1">
        <f t="array" ref="M11">_xlfn.IFS(L11&gt;=10,"HIGH",L11=0,"LOW",L11&lt;=9,"MEDIUM")</f>
        <v>HIGH</v>
      </c>
      <c r="N11" s="9" cm="1">
        <f t="array" ref="N11">_xlfn.IFS(M11="HIGH",K11*L11,M11="MEDIUM",K11*L11,M11="LOW","NA")</f>
        <v>7650</v>
      </c>
      <c r="O11" s="18" t="str">
        <f t="shared" si="2"/>
        <v>still in yard</v>
      </c>
    </row>
    <row r="12" spans="1:15" x14ac:dyDescent="0.25">
      <c r="A12" s="17">
        <v>8</v>
      </c>
      <c r="B12" s="6" t="s">
        <v>32</v>
      </c>
      <c r="C12" s="6" t="s">
        <v>33</v>
      </c>
      <c r="D12" s="6" t="s">
        <v>34</v>
      </c>
      <c r="E12" s="6" t="s">
        <v>35</v>
      </c>
      <c r="F12" s="6" t="s">
        <v>24</v>
      </c>
      <c r="G12" s="7">
        <v>46181</v>
      </c>
      <c r="H12" s="6">
        <v>4</v>
      </c>
      <c r="I12" s="6"/>
      <c r="J12" s="7">
        <f t="shared" si="1"/>
        <v>46185</v>
      </c>
      <c r="K12" s="8">
        <v>110</v>
      </c>
      <c r="L12" s="9">
        <f t="shared" si="0"/>
        <v>74</v>
      </c>
      <c r="M12" s="9" t="str" cm="1">
        <f t="array" ref="M12">_xlfn.IFS(L12&gt;=10,"HIGH",L12=0,"LOW",L12&lt;=9,"MEDIUM")</f>
        <v>HIGH</v>
      </c>
      <c r="N12" s="9" cm="1">
        <f t="array" ref="N12">_xlfn.IFS(M12="HIGH",K12*L12,M12="MEDIUM",K12*L12,M12="LOW","NA")</f>
        <v>8140</v>
      </c>
      <c r="O12" s="18" t="str">
        <f t="shared" si="2"/>
        <v>still in yard</v>
      </c>
    </row>
    <row r="13" spans="1:15" x14ac:dyDescent="0.25">
      <c r="A13" s="17">
        <v>9</v>
      </c>
      <c r="B13" s="6" t="s">
        <v>36</v>
      </c>
      <c r="C13" s="6" t="s">
        <v>37</v>
      </c>
      <c r="D13" s="6" t="s">
        <v>34</v>
      </c>
      <c r="E13" s="6" t="s">
        <v>23</v>
      </c>
      <c r="F13" s="6" t="s">
        <v>29</v>
      </c>
      <c r="G13" s="7">
        <v>46205</v>
      </c>
      <c r="H13" s="6">
        <v>3</v>
      </c>
      <c r="I13" s="7">
        <v>46212</v>
      </c>
      <c r="J13" s="7">
        <f t="shared" si="1"/>
        <v>46208</v>
      </c>
      <c r="K13" s="8">
        <v>120</v>
      </c>
      <c r="L13" s="9">
        <f t="shared" si="0"/>
        <v>4</v>
      </c>
      <c r="M13" s="9" t="str" cm="1">
        <f t="array" ref="M13">_xlfn.IFS(L13&gt;=10,"HIGH",L13=0,"LOW",L13&lt;=9,"MEDIUM")</f>
        <v>MEDIUM</v>
      </c>
      <c r="N13" s="9" cm="1">
        <f t="array" ref="N13">_xlfn.IFS(M13="HIGH",K13*L13,M13="MEDIUM",K13*L13,M13="LOW","NA")</f>
        <v>480</v>
      </c>
      <c r="O13" s="18" t="str">
        <f t="shared" si="2"/>
        <v>cleared</v>
      </c>
    </row>
    <row r="14" spans="1:15" x14ac:dyDescent="0.25">
      <c r="A14" s="17">
        <v>10</v>
      </c>
      <c r="B14" s="6" t="s">
        <v>38</v>
      </c>
      <c r="C14" s="6" t="s">
        <v>11</v>
      </c>
      <c r="D14" s="6" t="s">
        <v>34</v>
      </c>
      <c r="E14" s="6" t="s">
        <v>39</v>
      </c>
      <c r="F14" s="6" t="s">
        <v>29</v>
      </c>
      <c r="G14" s="7">
        <v>46184</v>
      </c>
      <c r="H14" s="6">
        <v>4</v>
      </c>
      <c r="I14" s="6"/>
      <c r="J14" s="7">
        <f t="shared" si="1"/>
        <v>46188</v>
      </c>
      <c r="K14" s="8">
        <v>120</v>
      </c>
      <c r="L14" s="9">
        <f t="shared" si="0"/>
        <v>71</v>
      </c>
      <c r="M14" s="9" t="str" cm="1">
        <f t="array" ref="M14">_xlfn.IFS(L14&gt;=10,"HIGH",L14=0,"LOW",L14&lt;=9,"MEDIUM")</f>
        <v>HIGH</v>
      </c>
      <c r="N14" s="9" cm="1">
        <f t="array" ref="N14">_xlfn.IFS(M14="HIGH",K14*L14,M14="MEDIUM",K14*L14,M14="LOW","NA")</f>
        <v>8520</v>
      </c>
      <c r="O14" s="18" t="str">
        <f t="shared" si="2"/>
        <v>still in yard</v>
      </c>
    </row>
    <row r="15" spans="1:15" x14ac:dyDescent="0.25">
      <c r="A15" s="17">
        <v>11</v>
      </c>
      <c r="B15" s="6" t="s">
        <v>40</v>
      </c>
      <c r="C15" s="6" t="s">
        <v>11</v>
      </c>
      <c r="D15" s="6" t="s">
        <v>41</v>
      </c>
      <c r="E15" s="6" t="s">
        <v>42</v>
      </c>
      <c r="F15" s="6" t="s">
        <v>14</v>
      </c>
      <c r="G15" s="7">
        <v>46169</v>
      </c>
      <c r="H15" s="6">
        <v>5</v>
      </c>
      <c r="I15" s="7">
        <v>46181</v>
      </c>
      <c r="J15" s="7">
        <f t="shared" si="1"/>
        <v>46174</v>
      </c>
      <c r="K15" s="8">
        <v>90</v>
      </c>
      <c r="L15" s="9">
        <f t="shared" si="0"/>
        <v>7</v>
      </c>
      <c r="M15" s="9" t="str" cm="1">
        <f t="array" ref="M15">_xlfn.IFS(L15&gt;=10,"HIGH",L15=0,"LOW",L15&lt;=9,"MEDIUM")</f>
        <v>MEDIUM</v>
      </c>
      <c r="N15" s="9" cm="1">
        <f t="array" ref="N15">_xlfn.IFS(M15="HIGH",K15*L15,M15="MEDIUM",K15*L15,M15="LOW","NA")</f>
        <v>630</v>
      </c>
      <c r="O15" s="18" t="str">
        <f t="shared" si="2"/>
        <v>cleared</v>
      </c>
    </row>
    <row r="16" spans="1:15" x14ac:dyDescent="0.25">
      <c r="A16" s="17">
        <v>12</v>
      </c>
      <c r="B16" s="6" t="s">
        <v>43</v>
      </c>
      <c r="C16" s="6" t="s">
        <v>33</v>
      </c>
      <c r="D16" s="6" t="s">
        <v>34</v>
      </c>
      <c r="E16" s="6" t="s">
        <v>44</v>
      </c>
      <c r="F16" s="6" t="s">
        <v>29</v>
      </c>
      <c r="G16" s="7">
        <v>46213</v>
      </c>
      <c r="H16" s="6">
        <v>3</v>
      </c>
      <c r="I16" s="7">
        <v>46215</v>
      </c>
      <c r="J16" s="7">
        <f t="shared" si="1"/>
        <v>46216</v>
      </c>
      <c r="K16" s="8">
        <v>150</v>
      </c>
      <c r="L16" s="9">
        <f t="shared" si="0"/>
        <v>0</v>
      </c>
      <c r="M16" s="9" t="str" cm="1">
        <f t="array" ref="M16">_xlfn.IFS(L16&gt;=10,"HIGH",L16=0,"LOW",L16&lt;=9,"MEDIUM")</f>
        <v>LOW</v>
      </c>
      <c r="N16" s="9" t="str" cm="1">
        <f t="array" ref="N16">_xlfn.IFS(M16="HIGH",K16*L16,M16="MEDIUM",K16*L16,M16="LOW","NA")</f>
        <v>NA</v>
      </c>
      <c r="O16" s="18" t="str">
        <f t="shared" si="2"/>
        <v>cleared</v>
      </c>
    </row>
    <row r="17" spans="1:15" x14ac:dyDescent="0.25">
      <c r="A17" s="17">
        <v>13</v>
      </c>
      <c r="B17" s="6" t="s">
        <v>45</v>
      </c>
      <c r="C17" s="6" t="s">
        <v>16</v>
      </c>
      <c r="D17" s="6" t="s">
        <v>20</v>
      </c>
      <c r="E17" s="6" t="s">
        <v>46</v>
      </c>
      <c r="F17" s="6" t="s">
        <v>27</v>
      </c>
      <c r="G17" s="7">
        <v>46227</v>
      </c>
      <c r="H17" s="6">
        <v>6</v>
      </c>
      <c r="I17" s="7">
        <v>46234</v>
      </c>
      <c r="J17" s="7">
        <f t="shared" si="1"/>
        <v>46233</v>
      </c>
      <c r="K17" s="8">
        <v>110</v>
      </c>
      <c r="L17" s="9">
        <f t="shared" si="0"/>
        <v>1</v>
      </c>
      <c r="M17" s="9" t="str" cm="1">
        <f t="array" ref="M17">_xlfn.IFS(L17&gt;=10,"HIGH",L17=0,"LOW",L17&lt;=9,"MEDIUM")</f>
        <v>MEDIUM</v>
      </c>
      <c r="N17" s="9" cm="1">
        <f t="array" ref="N17">_xlfn.IFS(M17="HIGH",K17*L17,M17="MEDIUM",K17*L17,M17="LOW","NA")</f>
        <v>110</v>
      </c>
      <c r="O17" s="18" t="str">
        <f t="shared" si="2"/>
        <v>cleared</v>
      </c>
    </row>
    <row r="18" spans="1:15" x14ac:dyDescent="0.25">
      <c r="A18" s="17">
        <v>14</v>
      </c>
      <c r="B18" s="6" t="s">
        <v>47</v>
      </c>
      <c r="C18" s="6" t="s">
        <v>33</v>
      </c>
      <c r="D18" s="6" t="s">
        <v>17</v>
      </c>
      <c r="E18" s="6" t="s">
        <v>46</v>
      </c>
      <c r="F18" s="6" t="s">
        <v>27</v>
      </c>
      <c r="G18" s="7">
        <v>46203</v>
      </c>
      <c r="H18" s="6">
        <v>7</v>
      </c>
      <c r="I18" s="6"/>
      <c r="J18" s="7">
        <f t="shared" si="1"/>
        <v>46210</v>
      </c>
      <c r="K18" s="8">
        <v>110</v>
      </c>
      <c r="L18" s="9">
        <f t="shared" si="0"/>
        <v>49</v>
      </c>
      <c r="M18" s="9" t="str" cm="1">
        <f t="array" ref="M18">_xlfn.IFS(L18&gt;=10,"HIGH",L18=0,"LOW",L18&lt;=9,"MEDIUM")</f>
        <v>HIGH</v>
      </c>
      <c r="N18" s="9" cm="1">
        <f t="array" ref="N18">_xlfn.IFS(M18="HIGH",K18*L18,M18="MEDIUM",K18*L18,M18="LOW","NA")</f>
        <v>5390</v>
      </c>
      <c r="O18" s="18" t="str">
        <f t="shared" si="2"/>
        <v>still in yard</v>
      </c>
    </row>
    <row r="19" spans="1:15" x14ac:dyDescent="0.25">
      <c r="A19" s="17">
        <v>15</v>
      </c>
      <c r="B19" s="6" t="s">
        <v>48</v>
      </c>
      <c r="C19" s="6" t="s">
        <v>11</v>
      </c>
      <c r="D19" s="6" t="s">
        <v>49</v>
      </c>
      <c r="E19" s="6" t="s">
        <v>18</v>
      </c>
      <c r="F19" s="6" t="s">
        <v>27</v>
      </c>
      <c r="G19" s="7">
        <v>46248</v>
      </c>
      <c r="H19" s="6">
        <v>5</v>
      </c>
      <c r="I19" s="6"/>
      <c r="J19" s="7">
        <f t="shared" si="1"/>
        <v>46253</v>
      </c>
      <c r="K19" s="8">
        <v>75</v>
      </c>
      <c r="L19" s="9">
        <f t="shared" si="0"/>
        <v>6</v>
      </c>
      <c r="M19" s="9" t="str" cm="1">
        <f t="array" ref="M19">_xlfn.IFS(L19&gt;=10,"HIGH",L19=0,"LOW",L19&lt;=9,"MEDIUM")</f>
        <v>MEDIUM</v>
      </c>
      <c r="N19" s="9" cm="1">
        <f t="array" ref="N19">_xlfn.IFS(M19="HIGH",K19*L19,M19="MEDIUM",K19*L19,M19="LOW","NA")</f>
        <v>450</v>
      </c>
      <c r="O19" s="18" t="str">
        <f t="shared" si="2"/>
        <v>still in yard</v>
      </c>
    </row>
    <row r="20" spans="1:15" x14ac:dyDescent="0.25">
      <c r="A20" s="17">
        <v>16</v>
      </c>
      <c r="B20" s="6" t="s">
        <v>50</v>
      </c>
      <c r="C20" s="6" t="s">
        <v>16</v>
      </c>
      <c r="D20" s="6" t="s">
        <v>41</v>
      </c>
      <c r="E20" s="6" t="s">
        <v>21</v>
      </c>
      <c r="F20" s="6" t="s">
        <v>27</v>
      </c>
      <c r="G20" s="7">
        <v>46225</v>
      </c>
      <c r="H20" s="6">
        <v>5</v>
      </c>
      <c r="I20" s="6"/>
      <c r="J20" s="7">
        <f t="shared" si="1"/>
        <v>46230</v>
      </c>
      <c r="K20" s="8">
        <v>110</v>
      </c>
      <c r="L20" s="9">
        <f t="shared" si="0"/>
        <v>29</v>
      </c>
      <c r="M20" s="9" t="str" cm="1">
        <f t="array" ref="M20">_xlfn.IFS(L20&gt;=10,"HIGH",L20=0,"LOW",L20&lt;=9,"MEDIUM")</f>
        <v>HIGH</v>
      </c>
      <c r="N20" s="9" cm="1">
        <f t="array" ref="N20">_xlfn.IFS(M20="HIGH",K20*L20,M20="MEDIUM",K20*L20,M20="LOW","NA")</f>
        <v>3190</v>
      </c>
      <c r="O20" s="18" t="str">
        <f t="shared" si="2"/>
        <v>still in yard</v>
      </c>
    </row>
    <row r="21" spans="1:15" x14ac:dyDescent="0.25">
      <c r="A21" s="17">
        <v>17</v>
      </c>
      <c r="B21" s="6" t="s">
        <v>51</v>
      </c>
      <c r="C21" s="6" t="s">
        <v>11</v>
      </c>
      <c r="D21" s="6" t="s">
        <v>26</v>
      </c>
      <c r="E21" s="6" t="s">
        <v>21</v>
      </c>
      <c r="F21" s="6" t="s">
        <v>24</v>
      </c>
      <c r="G21" s="7">
        <v>46242</v>
      </c>
      <c r="H21" s="6">
        <v>7</v>
      </c>
      <c r="I21" s="7">
        <v>46247</v>
      </c>
      <c r="J21" s="7">
        <f t="shared" si="1"/>
        <v>46249</v>
      </c>
      <c r="K21" s="8">
        <v>60</v>
      </c>
      <c r="L21" s="9">
        <f t="shared" si="0"/>
        <v>0</v>
      </c>
      <c r="M21" s="9" t="str" cm="1">
        <f t="array" ref="M21">_xlfn.IFS(L21&gt;=10,"HIGH",L21=0,"LOW",L21&lt;=9,"MEDIUM")</f>
        <v>LOW</v>
      </c>
      <c r="N21" s="9" t="str" cm="1">
        <f t="array" ref="N21">_xlfn.IFS(M21="HIGH",K21*L21,M21="MEDIUM",K21*L21,M21="LOW","NA")</f>
        <v>NA</v>
      </c>
      <c r="O21" s="18" t="str">
        <f t="shared" si="2"/>
        <v>cleared</v>
      </c>
    </row>
    <row r="22" spans="1:15" x14ac:dyDescent="0.25">
      <c r="A22" s="17">
        <v>18</v>
      </c>
      <c r="B22" s="6" t="s">
        <v>52</v>
      </c>
      <c r="C22" s="6" t="s">
        <v>33</v>
      </c>
      <c r="D22" s="6" t="s">
        <v>17</v>
      </c>
      <c r="E22" s="6" t="s">
        <v>13</v>
      </c>
      <c r="F22" s="6" t="s">
        <v>29</v>
      </c>
      <c r="G22" s="7">
        <v>46207</v>
      </c>
      <c r="H22" s="6">
        <v>4</v>
      </c>
      <c r="I22" s="6"/>
      <c r="J22" s="7">
        <f t="shared" si="1"/>
        <v>46211</v>
      </c>
      <c r="K22" s="8">
        <v>180</v>
      </c>
      <c r="L22" s="9">
        <f t="shared" si="0"/>
        <v>48</v>
      </c>
      <c r="M22" s="9" t="str" cm="1">
        <f t="array" ref="M22">_xlfn.IFS(L22&gt;=10,"HIGH",L22=0,"LOW",L22&lt;=9,"MEDIUM")</f>
        <v>HIGH</v>
      </c>
      <c r="N22" s="9" cm="1">
        <f t="array" ref="N22">_xlfn.IFS(M22="HIGH",K22*L22,M22="MEDIUM",K22*L22,M22="LOW","NA")</f>
        <v>8640</v>
      </c>
      <c r="O22" s="18" t="str">
        <f t="shared" si="2"/>
        <v>still in yard</v>
      </c>
    </row>
    <row r="23" spans="1:15" x14ac:dyDescent="0.25">
      <c r="A23" s="17">
        <v>19</v>
      </c>
      <c r="B23" s="6" t="s">
        <v>53</v>
      </c>
      <c r="C23" s="6" t="s">
        <v>33</v>
      </c>
      <c r="D23" s="6" t="s">
        <v>54</v>
      </c>
      <c r="E23" s="6" t="s">
        <v>18</v>
      </c>
      <c r="F23" s="6" t="s">
        <v>14</v>
      </c>
      <c r="G23" s="7">
        <v>46232</v>
      </c>
      <c r="H23" s="6">
        <v>6</v>
      </c>
      <c r="I23" s="6"/>
      <c r="J23" s="7">
        <f t="shared" si="1"/>
        <v>46238</v>
      </c>
      <c r="K23" s="8">
        <v>90</v>
      </c>
      <c r="L23" s="9">
        <f t="shared" si="0"/>
        <v>21</v>
      </c>
      <c r="M23" s="9" t="str" cm="1">
        <f t="array" ref="M23">_xlfn.IFS(L23&gt;=10,"HIGH",L23=0,"LOW",L23&lt;=9,"MEDIUM")</f>
        <v>HIGH</v>
      </c>
      <c r="N23" s="9" cm="1">
        <f t="array" ref="N23">_xlfn.IFS(M23="HIGH",K23*L23,M23="MEDIUM",K23*L23,M23="LOW","NA")</f>
        <v>1890</v>
      </c>
      <c r="O23" s="18" t="str">
        <f t="shared" si="2"/>
        <v>still in yard</v>
      </c>
    </row>
    <row r="24" spans="1:15" x14ac:dyDescent="0.25">
      <c r="A24" s="17">
        <v>20</v>
      </c>
      <c r="B24" s="6" t="s">
        <v>55</v>
      </c>
      <c r="C24" s="6" t="s">
        <v>16</v>
      </c>
      <c r="D24" s="6" t="s">
        <v>56</v>
      </c>
      <c r="E24" s="6" t="s">
        <v>44</v>
      </c>
      <c r="F24" s="6" t="s">
        <v>27</v>
      </c>
      <c r="G24" s="7">
        <v>46190</v>
      </c>
      <c r="H24" s="6">
        <v>4</v>
      </c>
      <c r="I24" s="7">
        <v>46192</v>
      </c>
      <c r="J24" s="7">
        <f t="shared" si="1"/>
        <v>46194</v>
      </c>
      <c r="K24" s="8">
        <v>75</v>
      </c>
      <c r="L24" s="9">
        <f t="shared" si="0"/>
        <v>0</v>
      </c>
      <c r="M24" s="9" t="str" cm="1">
        <f t="array" ref="M24">_xlfn.IFS(L24&gt;=10,"HIGH",L24=0,"LOW",L24&lt;=9,"MEDIUM")</f>
        <v>LOW</v>
      </c>
      <c r="N24" s="9" t="str" cm="1">
        <f t="array" ref="N24">_xlfn.IFS(M24="HIGH",K24*L24,M24="MEDIUM",K24*L24,M24="LOW","NA")</f>
        <v>NA</v>
      </c>
      <c r="O24" s="18" t="str">
        <f t="shared" si="2"/>
        <v>cleared</v>
      </c>
    </row>
    <row r="25" spans="1:15" x14ac:dyDescent="0.25">
      <c r="A25" s="17">
        <v>21</v>
      </c>
      <c r="B25" s="6" t="s">
        <v>57</v>
      </c>
      <c r="C25" s="6" t="s">
        <v>33</v>
      </c>
      <c r="D25" s="6" t="s">
        <v>12</v>
      </c>
      <c r="E25" s="6" t="s">
        <v>46</v>
      </c>
      <c r="F25" s="6" t="s">
        <v>24</v>
      </c>
      <c r="G25" s="7">
        <v>46181</v>
      </c>
      <c r="H25" s="6">
        <v>5</v>
      </c>
      <c r="I25" s="7">
        <v>46184</v>
      </c>
      <c r="J25" s="7">
        <f t="shared" si="1"/>
        <v>46186</v>
      </c>
      <c r="K25" s="8">
        <v>60</v>
      </c>
      <c r="L25" s="9">
        <f t="shared" si="0"/>
        <v>0</v>
      </c>
      <c r="M25" s="9" t="str" cm="1">
        <f t="array" ref="M25">_xlfn.IFS(L25&gt;=10,"HIGH",L25=0,"LOW",L25&lt;=9,"MEDIUM")</f>
        <v>LOW</v>
      </c>
      <c r="N25" s="9" t="str" cm="1">
        <f t="array" ref="N25">_xlfn.IFS(M25="HIGH",K25*L25,M25="MEDIUM",K25*L25,M25="LOW","NA")</f>
        <v>NA</v>
      </c>
      <c r="O25" s="18" t="str">
        <f t="shared" si="2"/>
        <v>cleared</v>
      </c>
    </row>
    <row r="26" spans="1:15" x14ac:dyDescent="0.25">
      <c r="A26" s="17">
        <v>22</v>
      </c>
      <c r="B26" s="6" t="s">
        <v>58</v>
      </c>
      <c r="C26" s="6" t="s">
        <v>33</v>
      </c>
      <c r="D26" s="6" t="s">
        <v>41</v>
      </c>
      <c r="E26" s="6" t="s">
        <v>35</v>
      </c>
      <c r="F26" s="6" t="s">
        <v>29</v>
      </c>
      <c r="G26" s="7">
        <v>46219</v>
      </c>
      <c r="H26" s="6">
        <v>3</v>
      </c>
      <c r="I26" s="6"/>
      <c r="J26" s="7">
        <f t="shared" si="1"/>
        <v>46222</v>
      </c>
      <c r="K26" s="8">
        <v>180</v>
      </c>
      <c r="L26" s="9">
        <f t="shared" si="0"/>
        <v>37</v>
      </c>
      <c r="M26" s="9" t="str" cm="1">
        <f t="array" ref="M26">_xlfn.IFS(L26&gt;=10,"HIGH",L26=0,"LOW",L26&lt;=9,"MEDIUM")</f>
        <v>HIGH</v>
      </c>
      <c r="N26" s="9" cm="1">
        <f t="array" ref="N26">_xlfn.IFS(M26="HIGH",K26*L26,M26="MEDIUM",K26*L26,M26="LOW","NA")</f>
        <v>6660</v>
      </c>
      <c r="O26" s="18" t="str">
        <f t="shared" si="2"/>
        <v>still in yard</v>
      </c>
    </row>
    <row r="27" spans="1:15" x14ac:dyDescent="0.25">
      <c r="A27" s="17">
        <v>23</v>
      </c>
      <c r="B27" s="6" t="s">
        <v>59</v>
      </c>
      <c r="C27" s="6" t="s">
        <v>11</v>
      </c>
      <c r="D27" s="6" t="s">
        <v>31</v>
      </c>
      <c r="E27" s="6" t="s">
        <v>35</v>
      </c>
      <c r="F27" s="6" t="s">
        <v>27</v>
      </c>
      <c r="G27" s="7">
        <v>46192</v>
      </c>
      <c r="H27" s="6">
        <v>4</v>
      </c>
      <c r="I27" s="6"/>
      <c r="J27" s="7">
        <f t="shared" si="1"/>
        <v>46196</v>
      </c>
      <c r="K27" s="8">
        <v>130</v>
      </c>
      <c r="L27" s="9">
        <f t="shared" si="0"/>
        <v>63</v>
      </c>
      <c r="M27" s="9" t="str" cm="1">
        <f t="array" ref="M27">_xlfn.IFS(L27&gt;=10,"HIGH",L27=0,"LOW",L27&lt;=9,"MEDIUM")</f>
        <v>HIGH</v>
      </c>
      <c r="N27" s="9" cm="1">
        <f t="array" ref="N27">_xlfn.IFS(M27="HIGH",K27*L27,M27="MEDIUM",K27*L27,M27="LOW","NA")</f>
        <v>8190</v>
      </c>
      <c r="O27" s="18" t="str">
        <f t="shared" si="2"/>
        <v>still in yard</v>
      </c>
    </row>
    <row r="28" spans="1:15" x14ac:dyDescent="0.25">
      <c r="A28" s="17">
        <v>24</v>
      </c>
      <c r="B28" s="6" t="s">
        <v>60</v>
      </c>
      <c r="C28" s="6" t="s">
        <v>11</v>
      </c>
      <c r="D28" s="6" t="s">
        <v>12</v>
      </c>
      <c r="E28" s="6" t="s">
        <v>61</v>
      </c>
      <c r="F28" s="6" t="s">
        <v>14</v>
      </c>
      <c r="G28" s="7">
        <v>46191</v>
      </c>
      <c r="H28" s="6">
        <v>5</v>
      </c>
      <c r="I28" s="7">
        <v>46200</v>
      </c>
      <c r="J28" s="7">
        <f t="shared" si="1"/>
        <v>46196</v>
      </c>
      <c r="K28" s="8">
        <v>90</v>
      </c>
      <c r="L28" s="9">
        <f t="shared" si="0"/>
        <v>4</v>
      </c>
      <c r="M28" s="9" t="str" cm="1">
        <f t="array" ref="M28">_xlfn.IFS(L28&gt;=10,"HIGH",L28=0,"LOW",L28&lt;=9,"MEDIUM")</f>
        <v>MEDIUM</v>
      </c>
      <c r="N28" s="9" cm="1">
        <f t="array" ref="N28">_xlfn.IFS(M28="HIGH",K28*L28,M28="MEDIUM",K28*L28,M28="LOW","NA")</f>
        <v>360</v>
      </c>
      <c r="O28" s="18" t="str">
        <f t="shared" si="2"/>
        <v>cleared</v>
      </c>
    </row>
    <row r="29" spans="1:15" x14ac:dyDescent="0.25">
      <c r="A29" s="17">
        <v>25</v>
      </c>
      <c r="B29" s="6" t="s">
        <v>62</v>
      </c>
      <c r="C29" s="6" t="s">
        <v>11</v>
      </c>
      <c r="D29" s="6" t="s">
        <v>12</v>
      </c>
      <c r="E29" s="6" t="s">
        <v>39</v>
      </c>
      <c r="F29" s="6" t="s">
        <v>27</v>
      </c>
      <c r="G29" s="7">
        <v>46190</v>
      </c>
      <c r="H29" s="6">
        <v>7</v>
      </c>
      <c r="I29" s="7">
        <v>46192</v>
      </c>
      <c r="J29" s="7">
        <f t="shared" si="1"/>
        <v>46197</v>
      </c>
      <c r="K29" s="8">
        <v>90</v>
      </c>
      <c r="L29" s="9">
        <f t="shared" si="0"/>
        <v>0</v>
      </c>
      <c r="M29" s="9" t="str" cm="1">
        <f t="array" ref="M29">_xlfn.IFS(L29&gt;=10,"HIGH",L29=0,"LOW",L29&lt;=9,"MEDIUM")</f>
        <v>LOW</v>
      </c>
      <c r="N29" s="9" t="str" cm="1">
        <f t="array" ref="N29">_xlfn.IFS(M29="HIGH",K29*L29,M29="MEDIUM",K29*L29,M29="LOW","NA")</f>
        <v>NA</v>
      </c>
      <c r="O29" s="18" t="str">
        <f t="shared" si="2"/>
        <v>cleared</v>
      </c>
    </row>
    <row r="30" spans="1:15" x14ac:dyDescent="0.25">
      <c r="A30" s="17">
        <v>26</v>
      </c>
      <c r="B30" s="6" t="s">
        <v>63</v>
      </c>
      <c r="C30" s="6" t="s">
        <v>37</v>
      </c>
      <c r="D30" s="6" t="s">
        <v>26</v>
      </c>
      <c r="E30" s="6" t="s">
        <v>18</v>
      </c>
      <c r="F30" s="6" t="s">
        <v>27</v>
      </c>
      <c r="G30" s="7">
        <v>46207</v>
      </c>
      <c r="H30" s="6">
        <v>5</v>
      </c>
      <c r="I30" s="6"/>
      <c r="J30" s="7">
        <f t="shared" si="1"/>
        <v>46212</v>
      </c>
      <c r="K30" s="8">
        <v>110</v>
      </c>
      <c r="L30" s="9">
        <f t="shared" si="0"/>
        <v>47</v>
      </c>
      <c r="M30" s="9" t="str" cm="1">
        <f t="array" ref="M30">_xlfn.IFS(L30&gt;=10,"HIGH",L30=0,"LOW",L30&lt;=9,"MEDIUM")</f>
        <v>HIGH</v>
      </c>
      <c r="N30" s="9" cm="1">
        <f t="array" ref="N30">_xlfn.IFS(M30="HIGH",K30*L30,M30="MEDIUM",K30*L30,M30="LOW","NA")</f>
        <v>5170</v>
      </c>
      <c r="O30" s="18" t="str">
        <f t="shared" si="2"/>
        <v>still in yard</v>
      </c>
    </row>
    <row r="31" spans="1:15" x14ac:dyDescent="0.25">
      <c r="A31" s="17">
        <v>27</v>
      </c>
      <c r="B31" s="6" t="s">
        <v>64</v>
      </c>
      <c r="C31" s="6" t="s">
        <v>11</v>
      </c>
      <c r="D31" s="6" t="s">
        <v>54</v>
      </c>
      <c r="E31" s="6" t="s">
        <v>44</v>
      </c>
      <c r="F31" s="6" t="s">
        <v>24</v>
      </c>
      <c r="G31" s="7">
        <v>46198</v>
      </c>
      <c r="H31" s="6">
        <v>5</v>
      </c>
      <c r="I31" s="6"/>
      <c r="J31" s="7">
        <f t="shared" si="1"/>
        <v>46203</v>
      </c>
      <c r="K31" s="8">
        <v>130</v>
      </c>
      <c r="L31" s="9">
        <f t="shared" si="0"/>
        <v>56</v>
      </c>
      <c r="M31" s="9" t="str" cm="1">
        <f t="array" ref="M31">_xlfn.IFS(L31&gt;=10,"HIGH",L31=0,"LOW",L31&lt;=9,"MEDIUM")</f>
        <v>HIGH</v>
      </c>
      <c r="N31" s="9" cm="1">
        <f t="array" ref="N31">_xlfn.IFS(M31="HIGH",K31*L31,M31="MEDIUM",K31*L31,M31="LOW","NA")</f>
        <v>7280</v>
      </c>
      <c r="O31" s="18" t="str">
        <f t="shared" si="2"/>
        <v>still in yard</v>
      </c>
    </row>
    <row r="32" spans="1:15" x14ac:dyDescent="0.25">
      <c r="A32" s="17">
        <v>28</v>
      </c>
      <c r="B32" s="6" t="s">
        <v>65</v>
      </c>
      <c r="C32" s="6" t="s">
        <v>11</v>
      </c>
      <c r="D32" s="6" t="s">
        <v>41</v>
      </c>
      <c r="E32" s="6" t="s">
        <v>39</v>
      </c>
      <c r="F32" s="6" t="s">
        <v>24</v>
      </c>
      <c r="G32" s="7">
        <v>46248</v>
      </c>
      <c r="H32" s="6">
        <v>5</v>
      </c>
      <c r="I32" s="6"/>
      <c r="J32" s="7">
        <f t="shared" si="1"/>
        <v>46253</v>
      </c>
      <c r="K32" s="8">
        <v>110</v>
      </c>
      <c r="L32" s="9">
        <f t="shared" si="0"/>
        <v>6</v>
      </c>
      <c r="M32" s="9" t="str" cm="1">
        <f t="array" ref="M32">_xlfn.IFS(L32&gt;=10,"HIGH",L32=0,"LOW",L32&lt;=9,"MEDIUM")</f>
        <v>MEDIUM</v>
      </c>
      <c r="N32" s="9" cm="1">
        <f t="array" ref="N32">_xlfn.IFS(M32="HIGH",K32*L32,M32="MEDIUM",K32*L32,M32="LOW","NA")</f>
        <v>660</v>
      </c>
      <c r="O32" s="18" t="str">
        <f t="shared" si="2"/>
        <v>still in yard</v>
      </c>
    </row>
    <row r="33" spans="1:15" x14ac:dyDescent="0.25">
      <c r="A33" s="17">
        <v>29</v>
      </c>
      <c r="B33" s="6" t="s">
        <v>66</v>
      </c>
      <c r="C33" s="6" t="s">
        <v>37</v>
      </c>
      <c r="D33" s="6" t="s">
        <v>34</v>
      </c>
      <c r="E33" s="6" t="s">
        <v>18</v>
      </c>
      <c r="F33" s="6" t="s">
        <v>29</v>
      </c>
      <c r="G33" s="7">
        <v>46179</v>
      </c>
      <c r="H33" s="6">
        <v>4</v>
      </c>
      <c r="I33" s="7">
        <v>46180</v>
      </c>
      <c r="J33" s="7">
        <f t="shared" si="1"/>
        <v>46183</v>
      </c>
      <c r="K33" s="8">
        <v>180</v>
      </c>
      <c r="L33" s="9">
        <f t="shared" si="0"/>
        <v>0</v>
      </c>
      <c r="M33" s="9" t="str" cm="1">
        <f t="array" ref="M33">_xlfn.IFS(L33&gt;=10,"HIGH",L33=0,"LOW",L33&lt;=9,"MEDIUM")</f>
        <v>LOW</v>
      </c>
      <c r="N33" s="9" t="str" cm="1">
        <f t="array" ref="N33">_xlfn.IFS(M33="HIGH",K33*L33,M33="MEDIUM",K33*L33,M33="LOW","NA")</f>
        <v>NA</v>
      </c>
      <c r="O33" s="18" t="str">
        <f t="shared" si="2"/>
        <v>cleared</v>
      </c>
    </row>
    <row r="34" spans="1:15" x14ac:dyDescent="0.25">
      <c r="A34" s="17">
        <v>30</v>
      </c>
      <c r="B34" s="6" t="s">
        <v>67</v>
      </c>
      <c r="C34" s="6" t="s">
        <v>16</v>
      </c>
      <c r="D34" s="6" t="s">
        <v>56</v>
      </c>
      <c r="E34" s="6" t="s">
        <v>13</v>
      </c>
      <c r="F34" s="6" t="s">
        <v>27</v>
      </c>
      <c r="G34" s="7">
        <v>46197</v>
      </c>
      <c r="H34" s="6">
        <v>5</v>
      </c>
      <c r="I34" s="7">
        <v>46202</v>
      </c>
      <c r="J34" s="7">
        <f t="shared" si="1"/>
        <v>46202</v>
      </c>
      <c r="K34" s="8">
        <v>90</v>
      </c>
      <c r="L34" s="9">
        <f t="shared" si="0"/>
        <v>0</v>
      </c>
      <c r="M34" s="9" t="str" cm="1">
        <f t="array" ref="M34">_xlfn.IFS(L34&gt;=10,"HIGH",L34=0,"LOW",L34&lt;=9,"MEDIUM")</f>
        <v>LOW</v>
      </c>
      <c r="N34" s="9" t="str" cm="1">
        <f t="array" ref="N34">_xlfn.IFS(M34="HIGH",K34*L34,M34="MEDIUM",K34*L34,M34="LOW","NA")</f>
        <v>NA</v>
      </c>
      <c r="O34" s="18" t="str">
        <f t="shared" si="2"/>
        <v>cleared</v>
      </c>
    </row>
    <row r="35" spans="1:15" x14ac:dyDescent="0.25">
      <c r="A35" s="17">
        <v>31</v>
      </c>
      <c r="B35" s="6" t="s">
        <v>68</v>
      </c>
      <c r="C35" s="6" t="s">
        <v>16</v>
      </c>
      <c r="D35" s="6" t="s">
        <v>49</v>
      </c>
      <c r="E35" s="6" t="s">
        <v>35</v>
      </c>
      <c r="F35" s="6" t="s">
        <v>29</v>
      </c>
      <c r="G35" s="7">
        <v>46248</v>
      </c>
      <c r="H35" s="6">
        <v>4</v>
      </c>
      <c r="I35" s="6"/>
      <c r="J35" s="7">
        <f t="shared" si="1"/>
        <v>46252</v>
      </c>
      <c r="K35" s="8">
        <v>120</v>
      </c>
      <c r="L35" s="9">
        <f t="shared" si="0"/>
        <v>7</v>
      </c>
      <c r="M35" s="9" t="str" cm="1">
        <f t="array" ref="M35">_xlfn.IFS(L35&gt;=10,"HIGH",L35=0,"LOW",L35&lt;=9,"MEDIUM")</f>
        <v>MEDIUM</v>
      </c>
      <c r="N35" s="9" cm="1">
        <f t="array" ref="N35">_xlfn.IFS(M35="HIGH",K35*L35,M35="MEDIUM",K35*L35,M35="LOW","NA")</f>
        <v>840</v>
      </c>
      <c r="O35" s="18" t="str">
        <f t="shared" si="2"/>
        <v>still in yard</v>
      </c>
    </row>
    <row r="36" spans="1:15" x14ac:dyDescent="0.25">
      <c r="A36" s="17">
        <v>32</v>
      </c>
      <c r="B36" s="6" t="s">
        <v>69</v>
      </c>
      <c r="C36" s="6" t="s">
        <v>16</v>
      </c>
      <c r="D36" s="6" t="s">
        <v>12</v>
      </c>
      <c r="E36" s="6" t="s">
        <v>21</v>
      </c>
      <c r="F36" s="6" t="s">
        <v>29</v>
      </c>
      <c r="G36" s="7">
        <v>46175</v>
      </c>
      <c r="H36" s="6">
        <v>3</v>
      </c>
      <c r="I36" s="7">
        <v>46176</v>
      </c>
      <c r="J36" s="7">
        <f t="shared" si="1"/>
        <v>46178</v>
      </c>
      <c r="K36" s="8">
        <v>150</v>
      </c>
      <c r="L36" s="9">
        <f t="shared" si="0"/>
        <v>0</v>
      </c>
      <c r="M36" s="9" t="str" cm="1">
        <f t="array" ref="M36">_xlfn.IFS(L36&gt;=10,"HIGH",L36=0,"LOW",L36&lt;=9,"MEDIUM")</f>
        <v>LOW</v>
      </c>
      <c r="N36" s="9" t="str" cm="1">
        <f t="array" ref="N36">_xlfn.IFS(M36="HIGH",K36*L36,M36="MEDIUM",K36*L36,M36="LOW","NA")</f>
        <v>NA</v>
      </c>
      <c r="O36" s="18" t="str">
        <f t="shared" si="2"/>
        <v>cleared</v>
      </c>
    </row>
    <row r="37" spans="1:15" x14ac:dyDescent="0.25">
      <c r="A37" s="17">
        <v>33</v>
      </c>
      <c r="B37" s="6" t="s">
        <v>70</v>
      </c>
      <c r="C37" s="6" t="s">
        <v>37</v>
      </c>
      <c r="D37" s="6" t="s">
        <v>17</v>
      </c>
      <c r="E37" s="6" t="s">
        <v>61</v>
      </c>
      <c r="F37" s="6" t="s">
        <v>27</v>
      </c>
      <c r="G37" s="7">
        <v>46256</v>
      </c>
      <c r="H37" s="6">
        <v>4</v>
      </c>
      <c r="I37" s="7">
        <v>46257</v>
      </c>
      <c r="J37" s="7">
        <f t="shared" si="1"/>
        <v>46260</v>
      </c>
      <c r="K37" s="8">
        <v>60</v>
      </c>
      <c r="L37" s="9">
        <f t="shared" si="0"/>
        <v>0</v>
      </c>
      <c r="M37" s="9" t="str" cm="1">
        <f t="array" ref="M37">_xlfn.IFS(L37&gt;=10,"HIGH",L37=0,"LOW",L37&lt;=9,"MEDIUM")</f>
        <v>LOW</v>
      </c>
      <c r="N37" s="9" t="str" cm="1">
        <f t="array" ref="N37">_xlfn.IFS(M37="HIGH",K37*L37,M37="MEDIUM",K37*L37,M37="LOW","NA")</f>
        <v>NA</v>
      </c>
      <c r="O37" s="18" t="str">
        <f t="shared" si="2"/>
        <v>cleared</v>
      </c>
    </row>
    <row r="38" spans="1:15" x14ac:dyDescent="0.25">
      <c r="A38" s="17">
        <v>34</v>
      </c>
      <c r="B38" s="6" t="s">
        <v>71</v>
      </c>
      <c r="C38" s="6" t="s">
        <v>37</v>
      </c>
      <c r="D38" s="6" t="s">
        <v>49</v>
      </c>
      <c r="E38" s="6" t="s">
        <v>18</v>
      </c>
      <c r="F38" s="6" t="s">
        <v>27</v>
      </c>
      <c r="G38" s="7">
        <v>46255</v>
      </c>
      <c r="H38" s="6">
        <v>5</v>
      </c>
      <c r="I38" s="6"/>
      <c r="J38" s="7">
        <f t="shared" si="1"/>
        <v>46260</v>
      </c>
      <c r="K38" s="8">
        <v>130</v>
      </c>
      <c r="L38" s="9">
        <f t="shared" si="0"/>
        <v>0</v>
      </c>
      <c r="M38" s="9" t="str" cm="1">
        <f t="array" ref="M38">_xlfn.IFS(L38&gt;=10,"HIGH",L38=0,"LOW",L38&lt;=9,"MEDIUM")</f>
        <v>LOW</v>
      </c>
      <c r="N38" s="9" t="str" cm="1">
        <f t="array" ref="N38">_xlfn.IFS(M38="HIGH",K38*L38,M38="MEDIUM",K38*L38,M38="LOW","NA")</f>
        <v>NA</v>
      </c>
      <c r="O38" s="18" t="str">
        <f t="shared" si="2"/>
        <v>still in yard</v>
      </c>
    </row>
    <row r="39" spans="1:15" x14ac:dyDescent="0.25">
      <c r="A39" s="17">
        <v>35</v>
      </c>
      <c r="B39" s="6" t="s">
        <v>72</v>
      </c>
      <c r="C39" s="6" t="s">
        <v>37</v>
      </c>
      <c r="D39" s="6" t="s">
        <v>26</v>
      </c>
      <c r="E39" s="6" t="s">
        <v>39</v>
      </c>
      <c r="F39" s="6" t="s">
        <v>24</v>
      </c>
      <c r="G39" s="7">
        <v>46189</v>
      </c>
      <c r="H39" s="6">
        <v>6</v>
      </c>
      <c r="I39" s="7">
        <v>46201</v>
      </c>
      <c r="J39" s="7">
        <f t="shared" si="1"/>
        <v>46195</v>
      </c>
      <c r="K39" s="8">
        <v>110</v>
      </c>
      <c r="L39" s="9">
        <f t="shared" si="0"/>
        <v>6</v>
      </c>
      <c r="M39" s="9" t="str" cm="1">
        <f t="array" ref="M39">_xlfn.IFS(L39&gt;=10,"HIGH",L39=0,"LOW",L39&lt;=9,"MEDIUM")</f>
        <v>MEDIUM</v>
      </c>
      <c r="N39" s="9" cm="1">
        <f t="array" ref="N39">_xlfn.IFS(M39="HIGH",K39*L39,M39="MEDIUM",K39*L39,M39="LOW","NA")</f>
        <v>660</v>
      </c>
      <c r="O39" s="18" t="str">
        <f t="shared" si="2"/>
        <v>cleared</v>
      </c>
    </row>
    <row r="40" spans="1:15" x14ac:dyDescent="0.25">
      <c r="A40" s="17">
        <v>36</v>
      </c>
      <c r="B40" s="6" t="s">
        <v>73</v>
      </c>
      <c r="C40" s="6" t="s">
        <v>33</v>
      </c>
      <c r="D40" s="6" t="s">
        <v>17</v>
      </c>
      <c r="E40" s="6" t="s">
        <v>23</v>
      </c>
      <c r="F40" s="6" t="s">
        <v>27</v>
      </c>
      <c r="G40" s="7">
        <v>46191</v>
      </c>
      <c r="H40" s="6">
        <v>7</v>
      </c>
      <c r="I40" s="6"/>
      <c r="J40" s="7">
        <f t="shared" si="1"/>
        <v>46198</v>
      </c>
      <c r="K40" s="8">
        <v>110</v>
      </c>
      <c r="L40" s="9">
        <f t="shared" si="0"/>
        <v>61</v>
      </c>
      <c r="M40" s="9" t="str" cm="1">
        <f t="array" ref="M40">_xlfn.IFS(L40&gt;=10,"HIGH",L40=0,"LOW",L40&lt;=9,"MEDIUM")</f>
        <v>HIGH</v>
      </c>
      <c r="N40" s="9" cm="1">
        <f t="array" ref="N40">_xlfn.IFS(M40="HIGH",K40*L40,M40="MEDIUM",K40*L40,M40="LOW","NA")</f>
        <v>6710</v>
      </c>
      <c r="O40" s="18" t="str">
        <f t="shared" si="2"/>
        <v>still in yard</v>
      </c>
    </row>
    <row r="41" spans="1:15" x14ac:dyDescent="0.25">
      <c r="A41" s="17">
        <v>37</v>
      </c>
      <c r="B41" s="6" t="s">
        <v>74</v>
      </c>
      <c r="C41" s="6" t="s">
        <v>37</v>
      </c>
      <c r="D41" s="6" t="s">
        <v>26</v>
      </c>
      <c r="E41" s="6" t="s">
        <v>44</v>
      </c>
      <c r="F41" s="6" t="s">
        <v>27</v>
      </c>
      <c r="G41" s="7">
        <v>46236</v>
      </c>
      <c r="H41" s="6">
        <v>5</v>
      </c>
      <c r="I41" s="7">
        <v>46243</v>
      </c>
      <c r="J41" s="7">
        <f t="shared" si="1"/>
        <v>46241</v>
      </c>
      <c r="K41" s="8">
        <v>60</v>
      </c>
      <c r="L41" s="9">
        <f t="shared" si="0"/>
        <v>2</v>
      </c>
      <c r="M41" s="9" t="str" cm="1">
        <f t="array" ref="M41">_xlfn.IFS(L41&gt;=10,"HIGH",L41=0,"LOW",L41&lt;=9,"MEDIUM")</f>
        <v>MEDIUM</v>
      </c>
      <c r="N41" s="9" cm="1">
        <f t="array" ref="N41">_xlfn.IFS(M41="HIGH",K41*L41,M41="MEDIUM",K41*L41,M41="LOW","NA")</f>
        <v>120</v>
      </c>
      <c r="O41" s="18" t="str">
        <f t="shared" si="2"/>
        <v>cleared</v>
      </c>
    </row>
    <row r="42" spans="1:15" x14ac:dyDescent="0.25">
      <c r="A42" s="17">
        <v>38</v>
      </c>
      <c r="B42" s="6" t="s">
        <v>75</v>
      </c>
      <c r="C42" s="6" t="s">
        <v>16</v>
      </c>
      <c r="D42" s="6" t="s">
        <v>34</v>
      </c>
      <c r="E42" s="6" t="s">
        <v>61</v>
      </c>
      <c r="F42" s="6" t="s">
        <v>29</v>
      </c>
      <c r="G42" s="7">
        <v>46245</v>
      </c>
      <c r="H42" s="6">
        <v>4</v>
      </c>
      <c r="I42" s="6"/>
      <c r="J42" s="7">
        <f t="shared" si="1"/>
        <v>46249</v>
      </c>
      <c r="K42" s="8">
        <v>120</v>
      </c>
      <c r="L42" s="9">
        <f t="shared" si="0"/>
        <v>10</v>
      </c>
      <c r="M42" s="9" t="str" cm="1">
        <f t="array" ref="M42">_xlfn.IFS(L42&gt;=10,"HIGH",L42=0,"LOW",L42&lt;=9,"MEDIUM")</f>
        <v>HIGH</v>
      </c>
      <c r="N42" s="9" cm="1">
        <f t="array" ref="N42">_xlfn.IFS(M42="HIGH",K42*L42,M42="MEDIUM",K42*L42,M42="LOW","NA")</f>
        <v>1200</v>
      </c>
      <c r="O42" s="18" t="str">
        <f t="shared" si="2"/>
        <v>still in yard</v>
      </c>
    </row>
    <row r="43" spans="1:15" x14ac:dyDescent="0.25">
      <c r="A43" s="17">
        <v>39</v>
      </c>
      <c r="B43" s="6" t="s">
        <v>76</v>
      </c>
      <c r="C43" s="6" t="s">
        <v>11</v>
      </c>
      <c r="D43" s="6" t="s">
        <v>54</v>
      </c>
      <c r="E43" s="6" t="s">
        <v>42</v>
      </c>
      <c r="F43" s="6" t="s">
        <v>29</v>
      </c>
      <c r="G43" s="7">
        <v>46187</v>
      </c>
      <c r="H43" s="6">
        <v>3</v>
      </c>
      <c r="I43" s="7">
        <v>46193</v>
      </c>
      <c r="J43" s="7">
        <f t="shared" si="1"/>
        <v>46190</v>
      </c>
      <c r="K43" s="8">
        <v>180</v>
      </c>
      <c r="L43" s="9">
        <f t="shared" si="0"/>
        <v>3</v>
      </c>
      <c r="M43" s="9" t="str" cm="1">
        <f t="array" ref="M43">_xlfn.IFS(L43&gt;=10,"HIGH",L43=0,"LOW",L43&lt;=9,"MEDIUM")</f>
        <v>MEDIUM</v>
      </c>
      <c r="N43" s="9" cm="1">
        <f t="array" ref="N43">_xlfn.IFS(M43="HIGH",K43*L43,M43="MEDIUM",K43*L43,M43="LOW","NA")</f>
        <v>540</v>
      </c>
      <c r="O43" s="18" t="str">
        <f t="shared" si="2"/>
        <v>cleared</v>
      </c>
    </row>
    <row r="44" spans="1:15" x14ac:dyDescent="0.25">
      <c r="A44" s="17">
        <v>40</v>
      </c>
      <c r="B44" s="6" t="s">
        <v>77</v>
      </c>
      <c r="C44" s="6" t="s">
        <v>37</v>
      </c>
      <c r="D44" s="6" t="s">
        <v>31</v>
      </c>
      <c r="E44" s="6" t="s">
        <v>35</v>
      </c>
      <c r="F44" s="6" t="s">
        <v>29</v>
      </c>
      <c r="G44" s="7">
        <v>46194</v>
      </c>
      <c r="H44" s="6">
        <v>3</v>
      </c>
      <c r="I44" s="7">
        <v>46195</v>
      </c>
      <c r="J44" s="7">
        <f t="shared" si="1"/>
        <v>46197</v>
      </c>
      <c r="K44" s="8">
        <v>150</v>
      </c>
      <c r="L44" s="9">
        <f t="shared" si="0"/>
        <v>0</v>
      </c>
      <c r="M44" s="9" t="str" cm="1">
        <f t="array" ref="M44">_xlfn.IFS(L44&gt;=10,"HIGH",L44=0,"LOW",L44&lt;=9,"MEDIUM")</f>
        <v>LOW</v>
      </c>
      <c r="N44" s="9" t="str" cm="1">
        <f t="array" ref="N44">_xlfn.IFS(M44="HIGH",K44*L44,M44="MEDIUM",K44*L44,M44="LOW","NA")</f>
        <v>NA</v>
      </c>
      <c r="O44" s="18" t="str">
        <f t="shared" si="2"/>
        <v>cleared</v>
      </c>
    </row>
    <row r="45" spans="1:15" x14ac:dyDescent="0.25">
      <c r="A45" s="17">
        <v>41</v>
      </c>
      <c r="B45" s="6" t="s">
        <v>78</v>
      </c>
      <c r="C45" s="6" t="s">
        <v>37</v>
      </c>
      <c r="D45" s="6" t="s">
        <v>41</v>
      </c>
      <c r="E45" s="6" t="s">
        <v>23</v>
      </c>
      <c r="F45" s="6" t="s">
        <v>29</v>
      </c>
      <c r="G45" s="7">
        <v>46243</v>
      </c>
      <c r="H45" s="6">
        <v>4</v>
      </c>
      <c r="I45" s="7">
        <v>46249</v>
      </c>
      <c r="J45" s="7">
        <f t="shared" si="1"/>
        <v>46247</v>
      </c>
      <c r="K45" s="8">
        <v>120</v>
      </c>
      <c r="L45" s="9">
        <f t="shared" si="0"/>
        <v>2</v>
      </c>
      <c r="M45" s="9" t="str" cm="1">
        <f t="array" ref="M45">_xlfn.IFS(L45&gt;=10,"HIGH",L45=0,"LOW",L45&lt;=9,"MEDIUM")</f>
        <v>MEDIUM</v>
      </c>
      <c r="N45" s="9" cm="1">
        <f t="array" ref="N45">_xlfn.IFS(M45="HIGH",K45*L45,M45="MEDIUM",K45*L45,M45="LOW","NA")</f>
        <v>240</v>
      </c>
      <c r="O45" s="18" t="str">
        <f t="shared" si="2"/>
        <v>cleared</v>
      </c>
    </row>
    <row r="46" spans="1:15" x14ac:dyDescent="0.25">
      <c r="A46" s="17">
        <v>42</v>
      </c>
      <c r="B46" s="6" t="s">
        <v>79</v>
      </c>
      <c r="C46" s="6" t="s">
        <v>37</v>
      </c>
      <c r="D46" s="6" t="s">
        <v>31</v>
      </c>
      <c r="E46" s="6" t="s">
        <v>42</v>
      </c>
      <c r="F46" s="6" t="s">
        <v>27</v>
      </c>
      <c r="G46" s="7">
        <v>46176</v>
      </c>
      <c r="H46" s="6">
        <v>5</v>
      </c>
      <c r="I46" s="6"/>
      <c r="J46" s="7">
        <f t="shared" si="1"/>
        <v>46181</v>
      </c>
      <c r="K46" s="8">
        <v>75</v>
      </c>
      <c r="L46" s="9">
        <f t="shared" si="0"/>
        <v>78</v>
      </c>
      <c r="M46" s="9" t="str" cm="1">
        <f t="array" ref="M46">_xlfn.IFS(L46&gt;=10,"HIGH",L46=0,"LOW",L46&lt;=9,"MEDIUM")</f>
        <v>HIGH</v>
      </c>
      <c r="N46" s="9" cm="1">
        <f t="array" ref="N46">_xlfn.IFS(M46="HIGH",K46*L46,M46="MEDIUM",K46*L46,M46="LOW","NA")</f>
        <v>5850</v>
      </c>
      <c r="O46" s="18" t="str">
        <f t="shared" si="2"/>
        <v>still in yard</v>
      </c>
    </row>
    <row r="47" spans="1:15" x14ac:dyDescent="0.25">
      <c r="A47" s="17">
        <v>43</v>
      </c>
      <c r="B47" s="6" t="s">
        <v>80</v>
      </c>
      <c r="C47" s="6" t="s">
        <v>33</v>
      </c>
      <c r="D47" s="6" t="s">
        <v>20</v>
      </c>
      <c r="E47" s="6" t="s">
        <v>42</v>
      </c>
      <c r="F47" s="6" t="s">
        <v>29</v>
      </c>
      <c r="G47" s="7">
        <v>46196</v>
      </c>
      <c r="H47" s="6">
        <v>3</v>
      </c>
      <c r="I47" s="7">
        <v>46200</v>
      </c>
      <c r="J47" s="7">
        <f t="shared" si="1"/>
        <v>46199</v>
      </c>
      <c r="K47" s="8">
        <v>120</v>
      </c>
      <c r="L47" s="9">
        <f t="shared" si="0"/>
        <v>1</v>
      </c>
      <c r="M47" s="9" t="str" cm="1">
        <f t="array" ref="M47">_xlfn.IFS(L47&gt;=10,"HIGH",L47=0,"LOW",L47&lt;=9,"MEDIUM")</f>
        <v>MEDIUM</v>
      </c>
      <c r="N47" s="9" cm="1">
        <f t="array" ref="N47">_xlfn.IFS(M47="HIGH",K47*L47,M47="MEDIUM",K47*L47,M47="LOW","NA")</f>
        <v>120</v>
      </c>
      <c r="O47" s="18" t="str">
        <f t="shared" si="2"/>
        <v>cleared</v>
      </c>
    </row>
    <row r="48" spans="1:15" x14ac:dyDescent="0.25">
      <c r="A48" s="17">
        <v>44</v>
      </c>
      <c r="B48" s="6" t="s">
        <v>81</v>
      </c>
      <c r="C48" s="6" t="s">
        <v>37</v>
      </c>
      <c r="D48" s="6" t="s">
        <v>49</v>
      </c>
      <c r="E48" s="6" t="s">
        <v>61</v>
      </c>
      <c r="F48" s="6" t="s">
        <v>29</v>
      </c>
      <c r="G48" s="7">
        <v>46215</v>
      </c>
      <c r="H48" s="6">
        <v>4</v>
      </c>
      <c r="I48" s="6"/>
      <c r="J48" s="7">
        <f t="shared" si="1"/>
        <v>46219</v>
      </c>
      <c r="K48" s="8">
        <v>150</v>
      </c>
      <c r="L48" s="9">
        <f t="shared" si="0"/>
        <v>40</v>
      </c>
      <c r="M48" s="9" t="str" cm="1">
        <f t="array" ref="M48">_xlfn.IFS(L48&gt;=10,"HIGH",L48=0,"LOW",L48&lt;=9,"MEDIUM")</f>
        <v>HIGH</v>
      </c>
      <c r="N48" s="9" cm="1">
        <f t="array" ref="N48">_xlfn.IFS(M48="HIGH",K48*L48,M48="MEDIUM",K48*L48,M48="LOW","NA")</f>
        <v>6000</v>
      </c>
      <c r="O48" s="18" t="str">
        <f t="shared" si="2"/>
        <v>still in yard</v>
      </c>
    </row>
    <row r="49" spans="1:15" x14ac:dyDescent="0.25">
      <c r="A49" s="17">
        <v>45</v>
      </c>
      <c r="B49" s="6" t="s">
        <v>82</v>
      </c>
      <c r="C49" s="6" t="s">
        <v>16</v>
      </c>
      <c r="D49" s="6" t="s">
        <v>34</v>
      </c>
      <c r="E49" s="6" t="s">
        <v>44</v>
      </c>
      <c r="F49" s="6" t="s">
        <v>24</v>
      </c>
      <c r="G49" s="7">
        <v>46188</v>
      </c>
      <c r="H49" s="6">
        <v>6</v>
      </c>
      <c r="I49" s="7">
        <v>46197</v>
      </c>
      <c r="J49" s="7">
        <f t="shared" si="1"/>
        <v>46194</v>
      </c>
      <c r="K49" s="8">
        <v>130</v>
      </c>
      <c r="L49" s="9">
        <f t="shared" si="0"/>
        <v>3</v>
      </c>
      <c r="M49" s="9" t="str" cm="1">
        <f t="array" ref="M49">_xlfn.IFS(L49&gt;=10,"HIGH",L49=0,"LOW",L49&lt;=9,"MEDIUM")</f>
        <v>MEDIUM</v>
      </c>
      <c r="N49" s="9" cm="1">
        <f t="array" ref="N49">_xlfn.IFS(M49="HIGH",K49*L49,M49="MEDIUM",K49*L49,M49="LOW","NA")</f>
        <v>390</v>
      </c>
      <c r="O49" s="18" t="str">
        <f t="shared" si="2"/>
        <v>cleared</v>
      </c>
    </row>
    <row r="50" spans="1:15" x14ac:dyDescent="0.25">
      <c r="A50" s="17">
        <v>46</v>
      </c>
      <c r="B50" s="6" t="s">
        <v>83</v>
      </c>
      <c r="C50" s="6" t="s">
        <v>11</v>
      </c>
      <c r="D50" s="6" t="s">
        <v>17</v>
      </c>
      <c r="E50" s="6" t="s">
        <v>42</v>
      </c>
      <c r="F50" s="6" t="s">
        <v>14</v>
      </c>
      <c r="G50" s="7">
        <v>46229</v>
      </c>
      <c r="H50" s="6">
        <v>4</v>
      </c>
      <c r="I50" s="6"/>
      <c r="J50" s="7">
        <f t="shared" si="1"/>
        <v>46233</v>
      </c>
      <c r="K50" s="8">
        <v>90</v>
      </c>
      <c r="L50" s="9">
        <f t="shared" si="0"/>
        <v>26</v>
      </c>
      <c r="M50" s="9" t="str" cm="1">
        <f t="array" ref="M50">_xlfn.IFS(L50&gt;=10,"HIGH",L50=0,"LOW",L50&lt;=9,"MEDIUM")</f>
        <v>HIGH</v>
      </c>
      <c r="N50" s="9" cm="1">
        <f t="array" ref="N50">_xlfn.IFS(M50="HIGH",K50*L50,M50="MEDIUM",K50*L50,M50="LOW","NA")</f>
        <v>2340</v>
      </c>
      <c r="O50" s="18" t="str">
        <f t="shared" si="2"/>
        <v>still in yard</v>
      </c>
    </row>
    <row r="51" spans="1:15" x14ac:dyDescent="0.25">
      <c r="A51" s="17">
        <v>47</v>
      </c>
      <c r="B51" s="6" t="s">
        <v>84</v>
      </c>
      <c r="C51" s="6" t="s">
        <v>16</v>
      </c>
      <c r="D51" s="6" t="s">
        <v>12</v>
      </c>
      <c r="E51" s="6" t="s">
        <v>46</v>
      </c>
      <c r="F51" s="6" t="s">
        <v>27</v>
      </c>
      <c r="G51" s="7">
        <v>46204</v>
      </c>
      <c r="H51" s="6">
        <v>5</v>
      </c>
      <c r="I51" s="7">
        <v>46209</v>
      </c>
      <c r="J51" s="7">
        <f t="shared" si="1"/>
        <v>46209</v>
      </c>
      <c r="K51" s="8">
        <v>130</v>
      </c>
      <c r="L51" s="9">
        <f t="shared" si="0"/>
        <v>0</v>
      </c>
      <c r="M51" s="9" t="str" cm="1">
        <f t="array" ref="M51">_xlfn.IFS(L51&gt;=10,"HIGH",L51=0,"LOW",L51&lt;=9,"MEDIUM")</f>
        <v>LOW</v>
      </c>
      <c r="N51" s="9" t="str" cm="1">
        <f t="array" ref="N51">_xlfn.IFS(M51="HIGH",K51*L51,M51="MEDIUM",K51*L51,M51="LOW","NA")</f>
        <v>NA</v>
      </c>
      <c r="O51" s="18" t="str">
        <f t="shared" si="2"/>
        <v>cleared</v>
      </c>
    </row>
    <row r="52" spans="1:15" x14ac:dyDescent="0.25">
      <c r="A52" s="17">
        <v>48</v>
      </c>
      <c r="B52" s="6" t="s">
        <v>85</v>
      </c>
      <c r="C52" s="6" t="s">
        <v>33</v>
      </c>
      <c r="D52" s="6" t="s">
        <v>34</v>
      </c>
      <c r="E52" s="6" t="s">
        <v>42</v>
      </c>
      <c r="F52" s="6" t="s">
        <v>24</v>
      </c>
      <c r="G52" s="7">
        <v>46251</v>
      </c>
      <c r="H52" s="6">
        <v>5</v>
      </c>
      <c r="I52" s="7">
        <v>46259</v>
      </c>
      <c r="J52" s="7">
        <f t="shared" si="1"/>
        <v>46256</v>
      </c>
      <c r="K52" s="8">
        <v>60</v>
      </c>
      <c r="L52" s="9">
        <f t="shared" si="0"/>
        <v>3</v>
      </c>
      <c r="M52" s="9" t="str" cm="1">
        <f t="array" ref="M52">_xlfn.IFS(L52&gt;=10,"HIGH",L52=0,"LOW",L52&lt;=9,"MEDIUM")</f>
        <v>MEDIUM</v>
      </c>
      <c r="N52" s="9" cm="1">
        <f t="array" ref="N52">_xlfn.IFS(M52="HIGH",K52*L52,M52="MEDIUM",K52*L52,M52="LOW","NA")</f>
        <v>180</v>
      </c>
      <c r="O52" s="18" t="str">
        <f t="shared" si="2"/>
        <v>cleared</v>
      </c>
    </row>
    <row r="53" spans="1:15" x14ac:dyDescent="0.25">
      <c r="A53" s="17">
        <v>49</v>
      </c>
      <c r="B53" s="6" t="s">
        <v>86</v>
      </c>
      <c r="C53" s="6" t="s">
        <v>11</v>
      </c>
      <c r="D53" s="6" t="s">
        <v>56</v>
      </c>
      <c r="E53" s="6" t="s">
        <v>21</v>
      </c>
      <c r="F53" s="6" t="s">
        <v>27</v>
      </c>
      <c r="G53" s="7">
        <v>46250</v>
      </c>
      <c r="H53" s="6">
        <v>5</v>
      </c>
      <c r="I53" s="7">
        <v>46259</v>
      </c>
      <c r="J53" s="7">
        <f t="shared" si="1"/>
        <v>46255</v>
      </c>
      <c r="K53" s="8">
        <v>110</v>
      </c>
      <c r="L53" s="9">
        <f t="shared" si="0"/>
        <v>4</v>
      </c>
      <c r="M53" s="9" t="str" cm="1">
        <f t="array" ref="M53">_xlfn.IFS(L53&gt;=10,"HIGH",L53=0,"LOW",L53&lt;=9,"MEDIUM")</f>
        <v>MEDIUM</v>
      </c>
      <c r="N53" s="9" cm="1">
        <f t="array" ref="N53">_xlfn.IFS(M53="HIGH",K53*L53,M53="MEDIUM",K53*L53,M53="LOW","NA")</f>
        <v>440</v>
      </c>
      <c r="O53" s="18" t="str">
        <f t="shared" si="2"/>
        <v>cleared</v>
      </c>
    </row>
    <row r="54" spans="1:15" x14ac:dyDescent="0.25">
      <c r="A54" s="17">
        <v>50</v>
      </c>
      <c r="B54" s="6" t="s">
        <v>87</v>
      </c>
      <c r="C54" s="6" t="s">
        <v>16</v>
      </c>
      <c r="D54" s="6" t="s">
        <v>34</v>
      </c>
      <c r="E54" s="6" t="s">
        <v>61</v>
      </c>
      <c r="F54" s="6" t="s">
        <v>29</v>
      </c>
      <c r="G54" s="7">
        <v>46224</v>
      </c>
      <c r="H54" s="6">
        <v>4</v>
      </c>
      <c r="I54" s="6"/>
      <c r="J54" s="7">
        <f t="shared" si="1"/>
        <v>46228</v>
      </c>
      <c r="K54" s="8">
        <v>180</v>
      </c>
      <c r="L54" s="9">
        <f t="shared" si="0"/>
        <v>31</v>
      </c>
      <c r="M54" s="9" t="str" cm="1">
        <f t="array" ref="M54">_xlfn.IFS(L54&gt;=10,"HIGH",L54=0,"LOW",L54&lt;=9,"MEDIUM")</f>
        <v>HIGH</v>
      </c>
      <c r="N54" s="9" cm="1">
        <f t="array" ref="N54">_xlfn.IFS(M54="HIGH",K54*L54,M54="MEDIUM",K54*L54,M54="LOW","NA")</f>
        <v>5580</v>
      </c>
      <c r="O54" s="18" t="str">
        <f t="shared" si="2"/>
        <v>still in yard</v>
      </c>
    </row>
    <row r="55" spans="1:15" x14ac:dyDescent="0.25">
      <c r="A55" s="17">
        <v>51</v>
      </c>
      <c r="B55" s="6" t="s">
        <v>88</v>
      </c>
      <c r="C55" s="6" t="s">
        <v>37</v>
      </c>
      <c r="D55" s="6" t="s">
        <v>56</v>
      </c>
      <c r="E55" s="6" t="s">
        <v>23</v>
      </c>
      <c r="F55" s="6" t="s">
        <v>24</v>
      </c>
      <c r="G55" s="7">
        <v>46252</v>
      </c>
      <c r="H55" s="6">
        <v>5</v>
      </c>
      <c r="I55" s="6"/>
      <c r="J55" s="7">
        <f t="shared" si="1"/>
        <v>46257</v>
      </c>
      <c r="K55" s="8">
        <v>90</v>
      </c>
      <c r="L55" s="9">
        <f t="shared" si="0"/>
        <v>2</v>
      </c>
      <c r="M55" s="9" t="str" cm="1">
        <f t="array" ref="M55">_xlfn.IFS(L55&gt;=10,"HIGH",L55=0,"LOW",L55&lt;=9,"MEDIUM")</f>
        <v>MEDIUM</v>
      </c>
      <c r="N55" s="9" cm="1">
        <f t="array" ref="N55">_xlfn.IFS(M55="HIGH",K55*L55,M55="MEDIUM",K55*L55,M55="LOW","NA")</f>
        <v>180</v>
      </c>
      <c r="O55" s="18" t="str">
        <f t="shared" si="2"/>
        <v>still in yard</v>
      </c>
    </row>
    <row r="56" spans="1:15" x14ac:dyDescent="0.25">
      <c r="A56" s="17">
        <v>52</v>
      </c>
      <c r="B56" s="6" t="s">
        <v>89</v>
      </c>
      <c r="C56" s="6" t="s">
        <v>11</v>
      </c>
      <c r="D56" s="6" t="s">
        <v>17</v>
      </c>
      <c r="E56" s="6" t="s">
        <v>18</v>
      </c>
      <c r="F56" s="6" t="s">
        <v>24</v>
      </c>
      <c r="G56" s="7">
        <v>46201</v>
      </c>
      <c r="H56" s="6">
        <v>7</v>
      </c>
      <c r="I56" s="7">
        <v>46207</v>
      </c>
      <c r="J56" s="7">
        <f t="shared" si="1"/>
        <v>46208</v>
      </c>
      <c r="K56" s="8">
        <v>90</v>
      </c>
      <c r="L56" s="9">
        <f t="shared" si="0"/>
        <v>0</v>
      </c>
      <c r="M56" s="9" t="str" cm="1">
        <f t="array" ref="M56">_xlfn.IFS(L56&gt;=10,"HIGH",L56=0,"LOW",L56&lt;=9,"MEDIUM")</f>
        <v>LOW</v>
      </c>
      <c r="N56" s="9" t="str" cm="1">
        <f t="array" ref="N56">_xlfn.IFS(M56="HIGH",K56*L56,M56="MEDIUM",K56*L56,M56="LOW","NA")</f>
        <v>NA</v>
      </c>
      <c r="O56" s="18" t="str">
        <f t="shared" si="2"/>
        <v>cleared</v>
      </c>
    </row>
    <row r="57" spans="1:15" x14ac:dyDescent="0.25">
      <c r="A57" s="17">
        <v>53</v>
      </c>
      <c r="B57" s="6" t="s">
        <v>90</v>
      </c>
      <c r="C57" s="6" t="s">
        <v>16</v>
      </c>
      <c r="D57" s="6" t="s">
        <v>54</v>
      </c>
      <c r="E57" s="6" t="s">
        <v>44</v>
      </c>
      <c r="F57" s="6" t="s">
        <v>27</v>
      </c>
      <c r="G57" s="7">
        <v>46193</v>
      </c>
      <c r="H57" s="6">
        <v>6</v>
      </c>
      <c r="I57" s="6"/>
      <c r="J57" s="7">
        <f t="shared" si="1"/>
        <v>46199</v>
      </c>
      <c r="K57" s="8">
        <v>110</v>
      </c>
      <c r="L57" s="9">
        <f t="shared" si="0"/>
        <v>60</v>
      </c>
      <c r="M57" s="9" t="str" cm="1">
        <f t="array" ref="M57">_xlfn.IFS(L57&gt;=10,"HIGH",L57=0,"LOW",L57&lt;=9,"MEDIUM")</f>
        <v>HIGH</v>
      </c>
      <c r="N57" s="9" cm="1">
        <f t="array" ref="N57">_xlfn.IFS(M57="HIGH",K57*L57,M57="MEDIUM",K57*L57,M57="LOW","NA")</f>
        <v>6600</v>
      </c>
      <c r="O57" s="18" t="str">
        <f t="shared" si="2"/>
        <v>still in yard</v>
      </c>
    </row>
    <row r="58" spans="1:15" x14ac:dyDescent="0.25">
      <c r="A58" s="17">
        <v>54</v>
      </c>
      <c r="B58" s="6" t="s">
        <v>91</v>
      </c>
      <c r="C58" s="6" t="s">
        <v>16</v>
      </c>
      <c r="D58" s="6" t="s">
        <v>49</v>
      </c>
      <c r="E58" s="6" t="s">
        <v>35</v>
      </c>
      <c r="F58" s="6" t="s">
        <v>29</v>
      </c>
      <c r="G58" s="7">
        <v>46194</v>
      </c>
      <c r="H58" s="6">
        <v>4</v>
      </c>
      <c r="I58" s="7">
        <v>46205</v>
      </c>
      <c r="J58" s="7">
        <f t="shared" si="1"/>
        <v>46198</v>
      </c>
      <c r="K58" s="8">
        <v>120</v>
      </c>
      <c r="L58" s="9">
        <f t="shared" si="0"/>
        <v>7</v>
      </c>
      <c r="M58" s="9" t="str" cm="1">
        <f t="array" ref="M58">_xlfn.IFS(L58&gt;=10,"HIGH",L58=0,"LOW",L58&lt;=9,"MEDIUM")</f>
        <v>MEDIUM</v>
      </c>
      <c r="N58" s="9" cm="1">
        <f t="array" ref="N58">_xlfn.IFS(M58="HIGH",K58*L58,M58="MEDIUM",K58*L58,M58="LOW","NA")</f>
        <v>840</v>
      </c>
      <c r="O58" s="18" t="str">
        <f t="shared" si="2"/>
        <v>cleared</v>
      </c>
    </row>
    <row r="59" spans="1:15" x14ac:dyDescent="0.25">
      <c r="A59" s="17">
        <v>55</v>
      </c>
      <c r="B59" s="6" t="s">
        <v>92</v>
      </c>
      <c r="C59" s="6" t="s">
        <v>11</v>
      </c>
      <c r="D59" s="6" t="s">
        <v>20</v>
      </c>
      <c r="E59" s="6" t="s">
        <v>23</v>
      </c>
      <c r="F59" s="6" t="s">
        <v>29</v>
      </c>
      <c r="G59" s="7">
        <v>46214</v>
      </c>
      <c r="H59" s="6">
        <v>3</v>
      </c>
      <c r="I59" s="7">
        <v>46222</v>
      </c>
      <c r="J59" s="7">
        <f t="shared" si="1"/>
        <v>46217</v>
      </c>
      <c r="K59" s="8">
        <v>150</v>
      </c>
      <c r="L59" s="9">
        <f t="shared" si="0"/>
        <v>5</v>
      </c>
      <c r="M59" s="9" t="str" cm="1">
        <f t="array" ref="M59">_xlfn.IFS(L59&gt;=10,"HIGH",L59=0,"LOW",L59&lt;=9,"MEDIUM")</f>
        <v>MEDIUM</v>
      </c>
      <c r="N59" s="9" cm="1">
        <f t="array" ref="N59">_xlfn.IFS(M59="HIGH",K59*L59,M59="MEDIUM",K59*L59,M59="LOW","NA")</f>
        <v>750</v>
      </c>
      <c r="O59" s="18" t="str">
        <f t="shared" si="2"/>
        <v>cleared</v>
      </c>
    </row>
    <row r="60" spans="1:15" x14ac:dyDescent="0.25">
      <c r="A60" s="17">
        <v>56</v>
      </c>
      <c r="B60" s="6" t="s">
        <v>93</v>
      </c>
      <c r="C60" s="6" t="s">
        <v>33</v>
      </c>
      <c r="D60" s="6" t="s">
        <v>12</v>
      </c>
      <c r="E60" s="6" t="s">
        <v>44</v>
      </c>
      <c r="F60" s="6" t="s">
        <v>14</v>
      </c>
      <c r="G60" s="7">
        <v>46173</v>
      </c>
      <c r="H60" s="6">
        <v>6</v>
      </c>
      <c r="I60" s="7">
        <v>46179</v>
      </c>
      <c r="J60" s="7">
        <f t="shared" si="1"/>
        <v>46179</v>
      </c>
      <c r="K60" s="8">
        <v>90</v>
      </c>
      <c r="L60" s="9">
        <f t="shared" si="0"/>
        <v>0</v>
      </c>
      <c r="M60" s="9" t="str" cm="1">
        <f t="array" ref="M60">_xlfn.IFS(L60&gt;=10,"HIGH",L60=0,"LOW",L60&lt;=9,"MEDIUM")</f>
        <v>LOW</v>
      </c>
      <c r="N60" s="9" t="str" cm="1">
        <f t="array" ref="N60">_xlfn.IFS(M60="HIGH",K60*L60,M60="MEDIUM",K60*L60,M60="LOW","NA")</f>
        <v>NA</v>
      </c>
      <c r="O60" s="18" t="str">
        <f t="shared" si="2"/>
        <v>cleared</v>
      </c>
    </row>
    <row r="61" spans="1:15" x14ac:dyDescent="0.25">
      <c r="A61" s="17">
        <v>57</v>
      </c>
      <c r="B61" s="6" t="s">
        <v>94</v>
      </c>
      <c r="C61" s="6" t="s">
        <v>37</v>
      </c>
      <c r="D61" s="6" t="s">
        <v>31</v>
      </c>
      <c r="E61" s="6" t="s">
        <v>44</v>
      </c>
      <c r="F61" s="6" t="s">
        <v>29</v>
      </c>
      <c r="G61" s="7">
        <v>46235</v>
      </c>
      <c r="H61" s="6">
        <v>3</v>
      </c>
      <c r="I61" s="6"/>
      <c r="J61" s="7">
        <f t="shared" si="1"/>
        <v>46238</v>
      </c>
      <c r="K61" s="8">
        <v>120</v>
      </c>
      <c r="L61" s="9">
        <f t="shared" si="0"/>
        <v>21</v>
      </c>
      <c r="M61" s="9" t="str" cm="1">
        <f t="array" ref="M61">_xlfn.IFS(L61&gt;=10,"HIGH",L61=0,"LOW",L61&lt;=9,"MEDIUM")</f>
        <v>HIGH</v>
      </c>
      <c r="N61" s="9" cm="1">
        <f t="array" ref="N61">_xlfn.IFS(M61="HIGH",K61*L61,M61="MEDIUM",K61*L61,M61="LOW","NA")</f>
        <v>2520</v>
      </c>
      <c r="O61" s="18" t="str">
        <f t="shared" si="2"/>
        <v>still in yard</v>
      </c>
    </row>
    <row r="62" spans="1:15" x14ac:dyDescent="0.25">
      <c r="A62" s="17">
        <v>58</v>
      </c>
      <c r="B62" s="6" t="s">
        <v>95</v>
      </c>
      <c r="C62" s="6" t="s">
        <v>11</v>
      </c>
      <c r="D62" s="6" t="s">
        <v>34</v>
      </c>
      <c r="E62" s="6" t="s">
        <v>39</v>
      </c>
      <c r="F62" s="6" t="s">
        <v>24</v>
      </c>
      <c r="G62" s="7">
        <v>46227</v>
      </c>
      <c r="H62" s="6">
        <v>4</v>
      </c>
      <c r="I62" s="7">
        <v>46229</v>
      </c>
      <c r="J62" s="7">
        <f t="shared" si="1"/>
        <v>46231</v>
      </c>
      <c r="K62" s="8">
        <v>60</v>
      </c>
      <c r="L62" s="9">
        <f t="shared" si="0"/>
        <v>0</v>
      </c>
      <c r="M62" s="9" t="str" cm="1">
        <f t="array" ref="M62">_xlfn.IFS(L62&gt;=10,"HIGH",L62=0,"LOW",L62&lt;=9,"MEDIUM")</f>
        <v>LOW</v>
      </c>
      <c r="N62" s="9" t="str" cm="1">
        <f t="array" ref="N62">_xlfn.IFS(M62="HIGH",K62*L62,M62="MEDIUM",K62*L62,M62="LOW","NA")</f>
        <v>NA</v>
      </c>
      <c r="O62" s="18" t="str">
        <f t="shared" si="2"/>
        <v>cleared</v>
      </c>
    </row>
    <row r="63" spans="1:15" x14ac:dyDescent="0.25">
      <c r="A63" s="17">
        <v>59</v>
      </c>
      <c r="B63" s="6" t="s">
        <v>96</v>
      </c>
      <c r="C63" s="6" t="s">
        <v>11</v>
      </c>
      <c r="D63" s="6" t="s">
        <v>49</v>
      </c>
      <c r="E63" s="6" t="s">
        <v>42</v>
      </c>
      <c r="F63" s="6" t="s">
        <v>29</v>
      </c>
      <c r="G63" s="7">
        <v>46223</v>
      </c>
      <c r="H63" s="6">
        <v>4</v>
      </c>
      <c r="I63" s="7">
        <v>46230</v>
      </c>
      <c r="J63" s="7">
        <f t="shared" si="1"/>
        <v>46227</v>
      </c>
      <c r="K63" s="8">
        <v>120</v>
      </c>
      <c r="L63" s="9">
        <f t="shared" si="0"/>
        <v>3</v>
      </c>
      <c r="M63" s="9" t="str" cm="1">
        <f t="array" ref="M63">_xlfn.IFS(L63&gt;=10,"HIGH",L63=0,"LOW",L63&lt;=9,"MEDIUM")</f>
        <v>MEDIUM</v>
      </c>
      <c r="N63" s="9" cm="1">
        <f t="array" ref="N63">_xlfn.IFS(M63="HIGH",K63*L63,M63="MEDIUM",K63*L63,M63="LOW","NA")</f>
        <v>360</v>
      </c>
      <c r="O63" s="18" t="str">
        <f t="shared" si="2"/>
        <v>cleared</v>
      </c>
    </row>
    <row r="64" spans="1:15" x14ac:dyDescent="0.25">
      <c r="A64" s="17">
        <v>60</v>
      </c>
      <c r="B64" s="6" t="s">
        <v>97</v>
      </c>
      <c r="C64" s="6" t="s">
        <v>16</v>
      </c>
      <c r="D64" s="6" t="s">
        <v>56</v>
      </c>
      <c r="E64" s="6" t="s">
        <v>46</v>
      </c>
      <c r="F64" s="6" t="s">
        <v>14</v>
      </c>
      <c r="G64" s="7">
        <v>46240</v>
      </c>
      <c r="H64" s="6">
        <v>6</v>
      </c>
      <c r="I64" s="7">
        <v>46243</v>
      </c>
      <c r="J64" s="7">
        <f t="shared" si="1"/>
        <v>46246</v>
      </c>
      <c r="K64" s="8">
        <v>75</v>
      </c>
      <c r="L64" s="9">
        <f t="shared" si="0"/>
        <v>0</v>
      </c>
      <c r="M64" s="9" t="str" cm="1">
        <f t="array" ref="M64">_xlfn.IFS(L64&gt;=10,"HIGH",L64=0,"LOW",L64&lt;=9,"MEDIUM")</f>
        <v>LOW</v>
      </c>
      <c r="N64" s="9" t="str" cm="1">
        <f t="array" ref="N64">_xlfn.IFS(M64="HIGH",K64*L64,M64="MEDIUM",K64*L64,M64="LOW","NA")</f>
        <v>NA</v>
      </c>
      <c r="O64" s="18" t="str">
        <f t="shared" si="2"/>
        <v>cleared</v>
      </c>
    </row>
    <row r="65" spans="1:15" x14ac:dyDescent="0.25">
      <c r="A65" s="17">
        <v>61</v>
      </c>
      <c r="B65" s="6" t="s">
        <v>98</v>
      </c>
      <c r="C65" s="6" t="s">
        <v>16</v>
      </c>
      <c r="D65" s="6" t="s">
        <v>26</v>
      </c>
      <c r="E65" s="6" t="s">
        <v>61</v>
      </c>
      <c r="F65" s="6" t="s">
        <v>27</v>
      </c>
      <c r="G65" s="7">
        <v>46174</v>
      </c>
      <c r="H65" s="6">
        <v>7</v>
      </c>
      <c r="I65" s="7">
        <v>46183</v>
      </c>
      <c r="J65" s="7">
        <f t="shared" si="1"/>
        <v>46181</v>
      </c>
      <c r="K65" s="8">
        <v>90</v>
      </c>
      <c r="L65" s="9">
        <f t="shared" si="0"/>
        <v>2</v>
      </c>
      <c r="M65" s="9" t="str" cm="1">
        <f t="array" ref="M65">_xlfn.IFS(L65&gt;=10,"HIGH",L65=0,"LOW",L65&lt;=9,"MEDIUM")</f>
        <v>MEDIUM</v>
      </c>
      <c r="N65" s="9" cm="1">
        <f t="array" ref="N65">_xlfn.IFS(M65="HIGH",K65*L65,M65="MEDIUM",K65*L65,M65="LOW","NA")</f>
        <v>180</v>
      </c>
      <c r="O65" s="18" t="str">
        <f t="shared" si="2"/>
        <v>cleared</v>
      </c>
    </row>
    <row r="66" spans="1:15" x14ac:dyDescent="0.25">
      <c r="A66" s="17">
        <v>62</v>
      </c>
      <c r="B66" s="6" t="s">
        <v>99</v>
      </c>
      <c r="C66" s="6" t="s">
        <v>33</v>
      </c>
      <c r="D66" s="6" t="s">
        <v>12</v>
      </c>
      <c r="E66" s="6" t="s">
        <v>46</v>
      </c>
      <c r="F66" s="6" t="s">
        <v>27</v>
      </c>
      <c r="G66" s="7">
        <v>46253</v>
      </c>
      <c r="H66" s="6">
        <v>7</v>
      </c>
      <c r="I66" s="7">
        <v>46259</v>
      </c>
      <c r="J66" s="7">
        <f t="shared" si="1"/>
        <v>46260</v>
      </c>
      <c r="K66" s="8">
        <v>75</v>
      </c>
      <c r="L66" s="9">
        <f t="shared" si="0"/>
        <v>0</v>
      </c>
      <c r="M66" s="9" t="str" cm="1">
        <f t="array" ref="M66">_xlfn.IFS(L66&gt;=10,"HIGH",L66=0,"LOW",L66&lt;=9,"MEDIUM")</f>
        <v>LOW</v>
      </c>
      <c r="N66" s="9" t="str" cm="1">
        <f t="array" ref="N66">_xlfn.IFS(M66="HIGH",K66*L66,M66="MEDIUM",K66*L66,M66="LOW","NA")</f>
        <v>NA</v>
      </c>
      <c r="O66" s="18" t="str">
        <f t="shared" si="2"/>
        <v>cleared</v>
      </c>
    </row>
    <row r="67" spans="1:15" x14ac:dyDescent="0.25">
      <c r="A67" s="17">
        <v>63</v>
      </c>
      <c r="B67" s="6" t="s">
        <v>100</v>
      </c>
      <c r="C67" s="6" t="s">
        <v>16</v>
      </c>
      <c r="D67" s="6" t="s">
        <v>26</v>
      </c>
      <c r="E67" s="6" t="s">
        <v>18</v>
      </c>
      <c r="F67" s="6" t="s">
        <v>14</v>
      </c>
      <c r="G67" s="7">
        <v>46255</v>
      </c>
      <c r="H67" s="6">
        <v>4</v>
      </c>
      <c r="I67" s="6"/>
      <c r="J67" s="7">
        <f t="shared" si="1"/>
        <v>46259</v>
      </c>
      <c r="K67" s="8">
        <v>90</v>
      </c>
      <c r="L67" s="9">
        <f t="shared" si="0"/>
        <v>0</v>
      </c>
      <c r="M67" s="9" t="str" cm="1">
        <f t="array" ref="M67">_xlfn.IFS(L67&gt;=10,"HIGH",L67=0,"LOW",L67&lt;=9,"MEDIUM")</f>
        <v>LOW</v>
      </c>
      <c r="N67" s="9" t="str" cm="1">
        <f t="array" ref="N67">_xlfn.IFS(M67="HIGH",K67*L67,M67="MEDIUM",K67*L67,M67="LOW","NA")</f>
        <v>NA</v>
      </c>
      <c r="O67" s="18" t="str">
        <f t="shared" si="2"/>
        <v>still in yard</v>
      </c>
    </row>
    <row r="68" spans="1:15" x14ac:dyDescent="0.25">
      <c r="A68" s="17">
        <v>64</v>
      </c>
      <c r="B68" s="6" t="s">
        <v>101</v>
      </c>
      <c r="C68" s="6" t="s">
        <v>16</v>
      </c>
      <c r="D68" s="6" t="s">
        <v>49</v>
      </c>
      <c r="E68" s="6" t="s">
        <v>35</v>
      </c>
      <c r="F68" s="6" t="s">
        <v>14</v>
      </c>
      <c r="G68" s="7">
        <v>46178</v>
      </c>
      <c r="H68" s="6">
        <v>4</v>
      </c>
      <c r="I68" s="7">
        <v>46179</v>
      </c>
      <c r="J68" s="7">
        <f t="shared" si="1"/>
        <v>46182</v>
      </c>
      <c r="K68" s="8">
        <v>75</v>
      </c>
      <c r="L68" s="9">
        <f t="shared" si="0"/>
        <v>0</v>
      </c>
      <c r="M68" s="9" t="str" cm="1">
        <f t="array" ref="M68">_xlfn.IFS(L68&gt;=10,"HIGH",L68=0,"LOW",L68&lt;=9,"MEDIUM")</f>
        <v>LOW</v>
      </c>
      <c r="N68" s="9" t="str" cm="1">
        <f t="array" ref="N68">_xlfn.IFS(M68="HIGH",K68*L68,M68="MEDIUM",K68*L68,M68="LOW","NA")</f>
        <v>NA</v>
      </c>
      <c r="O68" s="18" t="str">
        <f t="shared" si="2"/>
        <v>cleared</v>
      </c>
    </row>
    <row r="69" spans="1:15" x14ac:dyDescent="0.25">
      <c r="A69" s="17">
        <v>65</v>
      </c>
      <c r="B69" s="6" t="s">
        <v>102</v>
      </c>
      <c r="C69" s="6" t="s">
        <v>33</v>
      </c>
      <c r="D69" s="6" t="s">
        <v>31</v>
      </c>
      <c r="E69" s="6" t="s">
        <v>44</v>
      </c>
      <c r="F69" s="6" t="s">
        <v>29</v>
      </c>
      <c r="G69" s="7">
        <v>46250</v>
      </c>
      <c r="H69" s="6">
        <v>4</v>
      </c>
      <c r="I69" s="7">
        <v>46255</v>
      </c>
      <c r="J69" s="7">
        <f t="shared" si="1"/>
        <v>46254</v>
      </c>
      <c r="K69" s="8">
        <v>180</v>
      </c>
      <c r="L69" s="9">
        <f t="shared" ref="L69:L132" si="3">MAX(0, IF(I69="", $C$2-J69, I69-J69))</f>
        <v>1</v>
      </c>
      <c r="M69" s="9" t="str" cm="1">
        <f t="array" ref="M69">_xlfn.IFS(L69&gt;=10,"HIGH",L69=0,"LOW",L69&lt;=9,"MEDIUM")</f>
        <v>MEDIUM</v>
      </c>
      <c r="N69" s="9" cm="1">
        <f t="array" ref="N69">_xlfn.IFS(M69="HIGH",K69*L69,M69="MEDIUM",K69*L69,M69="LOW","NA")</f>
        <v>180</v>
      </c>
      <c r="O69" s="18" t="str">
        <f t="shared" si="2"/>
        <v>cleared</v>
      </c>
    </row>
    <row r="70" spans="1:15" x14ac:dyDescent="0.25">
      <c r="A70" s="17">
        <v>66</v>
      </c>
      <c r="B70" s="6" t="s">
        <v>103</v>
      </c>
      <c r="C70" s="6" t="s">
        <v>16</v>
      </c>
      <c r="D70" s="6" t="s">
        <v>41</v>
      </c>
      <c r="E70" s="6" t="s">
        <v>46</v>
      </c>
      <c r="F70" s="6" t="s">
        <v>14</v>
      </c>
      <c r="G70" s="7">
        <v>46225</v>
      </c>
      <c r="H70" s="6">
        <v>5</v>
      </c>
      <c r="I70" s="7">
        <v>46228</v>
      </c>
      <c r="J70" s="7">
        <f t="shared" ref="J70:J133" si="4">G70+H70</f>
        <v>46230</v>
      </c>
      <c r="K70" s="8">
        <v>75</v>
      </c>
      <c r="L70" s="9">
        <f t="shared" si="3"/>
        <v>0</v>
      </c>
      <c r="M70" s="9" t="str" cm="1">
        <f t="array" ref="M70">_xlfn.IFS(L70&gt;=10,"HIGH",L70=0,"LOW",L70&lt;=9,"MEDIUM")</f>
        <v>LOW</v>
      </c>
      <c r="N70" s="9" t="str" cm="1">
        <f t="array" ref="N70">_xlfn.IFS(M70="HIGH",K70*L70,M70="MEDIUM",K70*L70,M70="LOW","NA")</f>
        <v>NA</v>
      </c>
      <c r="O70" s="18" t="str">
        <f t="shared" ref="O70:O133" si="5">IF(I70="","still in yard","cleared")</f>
        <v>cleared</v>
      </c>
    </row>
    <row r="71" spans="1:15" x14ac:dyDescent="0.25">
      <c r="A71" s="17">
        <v>67</v>
      </c>
      <c r="B71" s="6" t="s">
        <v>104</v>
      </c>
      <c r="C71" s="6" t="s">
        <v>37</v>
      </c>
      <c r="D71" s="6" t="s">
        <v>41</v>
      </c>
      <c r="E71" s="6" t="s">
        <v>35</v>
      </c>
      <c r="F71" s="6" t="s">
        <v>29</v>
      </c>
      <c r="G71" s="7">
        <v>46249</v>
      </c>
      <c r="H71" s="6">
        <v>4</v>
      </c>
      <c r="I71" s="7">
        <v>46252</v>
      </c>
      <c r="J71" s="7">
        <f t="shared" si="4"/>
        <v>46253</v>
      </c>
      <c r="K71" s="8">
        <v>180</v>
      </c>
      <c r="L71" s="9">
        <f t="shared" si="3"/>
        <v>0</v>
      </c>
      <c r="M71" s="9" t="str" cm="1">
        <f t="array" ref="M71">_xlfn.IFS(L71&gt;=10,"HIGH",L71=0,"LOW",L71&lt;=9,"MEDIUM")</f>
        <v>LOW</v>
      </c>
      <c r="N71" s="9" t="str" cm="1">
        <f t="array" ref="N71">_xlfn.IFS(M71="HIGH",K71*L71,M71="MEDIUM",K71*L71,M71="LOW","NA")</f>
        <v>NA</v>
      </c>
      <c r="O71" s="18" t="str">
        <f t="shared" si="5"/>
        <v>cleared</v>
      </c>
    </row>
    <row r="72" spans="1:15" x14ac:dyDescent="0.25">
      <c r="A72" s="17">
        <v>68</v>
      </c>
      <c r="B72" s="6" t="s">
        <v>105</v>
      </c>
      <c r="C72" s="6" t="s">
        <v>37</v>
      </c>
      <c r="D72" s="6" t="s">
        <v>56</v>
      </c>
      <c r="E72" s="6" t="s">
        <v>21</v>
      </c>
      <c r="F72" s="6" t="s">
        <v>27</v>
      </c>
      <c r="G72" s="7">
        <v>46216</v>
      </c>
      <c r="H72" s="6">
        <v>5</v>
      </c>
      <c r="I72" s="7">
        <v>46222</v>
      </c>
      <c r="J72" s="7">
        <f t="shared" si="4"/>
        <v>46221</v>
      </c>
      <c r="K72" s="8">
        <v>90</v>
      </c>
      <c r="L72" s="9">
        <f t="shared" si="3"/>
        <v>1</v>
      </c>
      <c r="M72" s="9" t="str" cm="1">
        <f t="array" ref="M72">_xlfn.IFS(L72&gt;=10,"HIGH",L72=0,"LOW",L72&lt;=9,"MEDIUM")</f>
        <v>MEDIUM</v>
      </c>
      <c r="N72" s="9" cm="1">
        <f t="array" ref="N72">_xlfn.IFS(M72="HIGH",K72*L72,M72="MEDIUM",K72*L72,M72="LOW","NA")</f>
        <v>90</v>
      </c>
      <c r="O72" s="18" t="str">
        <f t="shared" si="5"/>
        <v>cleared</v>
      </c>
    </row>
    <row r="73" spans="1:15" x14ac:dyDescent="0.25">
      <c r="A73" s="17">
        <v>69</v>
      </c>
      <c r="B73" s="6" t="s">
        <v>106</v>
      </c>
      <c r="C73" s="6" t="s">
        <v>37</v>
      </c>
      <c r="D73" s="6" t="s">
        <v>54</v>
      </c>
      <c r="E73" s="6" t="s">
        <v>35</v>
      </c>
      <c r="F73" s="6" t="s">
        <v>14</v>
      </c>
      <c r="G73" s="7">
        <v>46196</v>
      </c>
      <c r="H73" s="6">
        <v>5</v>
      </c>
      <c r="I73" s="7">
        <v>46203</v>
      </c>
      <c r="J73" s="7">
        <f t="shared" si="4"/>
        <v>46201</v>
      </c>
      <c r="K73" s="8">
        <v>110</v>
      </c>
      <c r="L73" s="9">
        <f t="shared" si="3"/>
        <v>2</v>
      </c>
      <c r="M73" s="9" t="str" cm="1">
        <f t="array" ref="M73">_xlfn.IFS(L73&gt;=10,"HIGH",L73=0,"LOW",L73&lt;=9,"MEDIUM")</f>
        <v>MEDIUM</v>
      </c>
      <c r="N73" s="9" cm="1">
        <f t="array" ref="N73">_xlfn.IFS(M73="HIGH",K73*L73,M73="MEDIUM",K73*L73,M73="LOW","NA")</f>
        <v>220</v>
      </c>
      <c r="O73" s="18" t="str">
        <f t="shared" si="5"/>
        <v>cleared</v>
      </c>
    </row>
    <row r="74" spans="1:15" x14ac:dyDescent="0.25">
      <c r="A74" s="17">
        <v>70</v>
      </c>
      <c r="B74" s="6" t="s">
        <v>107</v>
      </c>
      <c r="C74" s="6" t="s">
        <v>11</v>
      </c>
      <c r="D74" s="6" t="s">
        <v>17</v>
      </c>
      <c r="E74" s="6" t="s">
        <v>46</v>
      </c>
      <c r="F74" s="6" t="s">
        <v>29</v>
      </c>
      <c r="G74" s="7">
        <v>46199</v>
      </c>
      <c r="H74" s="6">
        <v>4</v>
      </c>
      <c r="I74" s="7">
        <v>46204</v>
      </c>
      <c r="J74" s="7">
        <f t="shared" si="4"/>
        <v>46203</v>
      </c>
      <c r="K74" s="8">
        <v>180</v>
      </c>
      <c r="L74" s="9">
        <f t="shared" si="3"/>
        <v>1</v>
      </c>
      <c r="M74" s="9" t="str" cm="1">
        <f t="array" ref="M74">_xlfn.IFS(L74&gt;=10,"HIGH",L74=0,"LOW",L74&lt;=9,"MEDIUM")</f>
        <v>MEDIUM</v>
      </c>
      <c r="N74" s="9" cm="1">
        <f t="array" ref="N74">_xlfn.IFS(M74="HIGH",K74*L74,M74="MEDIUM",K74*L74,M74="LOW","NA")</f>
        <v>180</v>
      </c>
      <c r="O74" s="18" t="str">
        <f t="shared" si="5"/>
        <v>cleared</v>
      </c>
    </row>
    <row r="75" spans="1:15" x14ac:dyDescent="0.25">
      <c r="A75" s="17">
        <v>71</v>
      </c>
      <c r="B75" s="6" t="s">
        <v>108</v>
      </c>
      <c r="C75" s="6" t="s">
        <v>37</v>
      </c>
      <c r="D75" s="6" t="s">
        <v>31</v>
      </c>
      <c r="E75" s="6" t="s">
        <v>42</v>
      </c>
      <c r="F75" s="6" t="s">
        <v>29</v>
      </c>
      <c r="G75" s="7">
        <v>46256</v>
      </c>
      <c r="H75" s="6">
        <v>4</v>
      </c>
      <c r="I75" s="7">
        <v>46259</v>
      </c>
      <c r="J75" s="7">
        <f t="shared" si="4"/>
        <v>46260</v>
      </c>
      <c r="K75" s="8">
        <v>150</v>
      </c>
      <c r="L75" s="9">
        <f t="shared" si="3"/>
        <v>0</v>
      </c>
      <c r="M75" s="9" t="str" cm="1">
        <f t="array" ref="M75">_xlfn.IFS(L75&gt;=10,"HIGH",L75=0,"LOW",L75&lt;=9,"MEDIUM")</f>
        <v>LOW</v>
      </c>
      <c r="N75" s="9" t="str" cm="1">
        <f t="array" ref="N75">_xlfn.IFS(M75="HIGH",K75*L75,M75="MEDIUM",K75*L75,M75="LOW","NA")</f>
        <v>NA</v>
      </c>
      <c r="O75" s="18" t="str">
        <f t="shared" si="5"/>
        <v>cleared</v>
      </c>
    </row>
    <row r="76" spans="1:15" x14ac:dyDescent="0.25">
      <c r="A76" s="17">
        <v>72</v>
      </c>
      <c r="B76" s="6" t="s">
        <v>109</v>
      </c>
      <c r="C76" s="6" t="s">
        <v>11</v>
      </c>
      <c r="D76" s="6" t="s">
        <v>49</v>
      </c>
      <c r="E76" s="6" t="s">
        <v>18</v>
      </c>
      <c r="F76" s="6" t="s">
        <v>27</v>
      </c>
      <c r="G76" s="7">
        <v>46249</v>
      </c>
      <c r="H76" s="6">
        <v>7</v>
      </c>
      <c r="I76" s="6"/>
      <c r="J76" s="7">
        <f t="shared" si="4"/>
        <v>46256</v>
      </c>
      <c r="K76" s="8">
        <v>130</v>
      </c>
      <c r="L76" s="9">
        <f t="shared" si="3"/>
        <v>3</v>
      </c>
      <c r="M76" s="9" t="str" cm="1">
        <f t="array" ref="M76">_xlfn.IFS(L76&gt;=10,"HIGH",L76=0,"LOW",L76&lt;=9,"MEDIUM")</f>
        <v>MEDIUM</v>
      </c>
      <c r="N76" s="9" cm="1">
        <f t="array" ref="N76">_xlfn.IFS(M76="HIGH",K76*L76,M76="MEDIUM",K76*L76,M76="LOW","NA")</f>
        <v>390</v>
      </c>
      <c r="O76" s="18" t="str">
        <f t="shared" si="5"/>
        <v>still in yard</v>
      </c>
    </row>
    <row r="77" spans="1:15" x14ac:dyDescent="0.25">
      <c r="A77" s="17">
        <v>73</v>
      </c>
      <c r="B77" s="6" t="s">
        <v>110</v>
      </c>
      <c r="C77" s="6" t="s">
        <v>11</v>
      </c>
      <c r="D77" s="6" t="s">
        <v>34</v>
      </c>
      <c r="E77" s="6" t="s">
        <v>23</v>
      </c>
      <c r="F77" s="6" t="s">
        <v>24</v>
      </c>
      <c r="G77" s="7">
        <v>46244</v>
      </c>
      <c r="H77" s="6">
        <v>5</v>
      </c>
      <c r="I77" s="6"/>
      <c r="J77" s="7">
        <f t="shared" si="4"/>
        <v>46249</v>
      </c>
      <c r="K77" s="8">
        <v>110</v>
      </c>
      <c r="L77" s="9">
        <f t="shared" si="3"/>
        <v>10</v>
      </c>
      <c r="M77" s="9" t="str" cm="1">
        <f t="array" ref="M77">_xlfn.IFS(L77&gt;=10,"HIGH",L77=0,"LOW",L77&lt;=9,"MEDIUM")</f>
        <v>HIGH</v>
      </c>
      <c r="N77" s="9" cm="1">
        <f t="array" ref="N77">_xlfn.IFS(M77="HIGH",K77*L77,M77="MEDIUM",K77*L77,M77="LOW","NA")</f>
        <v>1100</v>
      </c>
      <c r="O77" s="18" t="str">
        <f t="shared" si="5"/>
        <v>still in yard</v>
      </c>
    </row>
    <row r="78" spans="1:15" x14ac:dyDescent="0.25">
      <c r="A78" s="17">
        <v>74</v>
      </c>
      <c r="B78" s="6" t="s">
        <v>111</v>
      </c>
      <c r="C78" s="6" t="s">
        <v>33</v>
      </c>
      <c r="D78" s="6" t="s">
        <v>54</v>
      </c>
      <c r="E78" s="6" t="s">
        <v>23</v>
      </c>
      <c r="F78" s="6" t="s">
        <v>14</v>
      </c>
      <c r="G78" s="7">
        <v>46196</v>
      </c>
      <c r="H78" s="6">
        <v>6</v>
      </c>
      <c r="I78" s="7">
        <v>46197</v>
      </c>
      <c r="J78" s="7">
        <f t="shared" si="4"/>
        <v>46202</v>
      </c>
      <c r="K78" s="8">
        <v>75</v>
      </c>
      <c r="L78" s="9">
        <f t="shared" si="3"/>
        <v>0</v>
      </c>
      <c r="M78" s="9" t="str" cm="1">
        <f t="array" ref="M78">_xlfn.IFS(L78&gt;=10,"HIGH",L78=0,"LOW",L78&lt;=9,"MEDIUM")</f>
        <v>LOW</v>
      </c>
      <c r="N78" s="9" t="str" cm="1">
        <f t="array" ref="N78">_xlfn.IFS(M78="HIGH",K78*L78,M78="MEDIUM",K78*L78,M78="LOW","NA")</f>
        <v>NA</v>
      </c>
      <c r="O78" s="18" t="str">
        <f t="shared" si="5"/>
        <v>cleared</v>
      </c>
    </row>
    <row r="79" spans="1:15" x14ac:dyDescent="0.25">
      <c r="A79" s="17">
        <v>75</v>
      </c>
      <c r="B79" s="6" t="s">
        <v>112</v>
      </c>
      <c r="C79" s="6" t="s">
        <v>33</v>
      </c>
      <c r="D79" s="6" t="s">
        <v>34</v>
      </c>
      <c r="E79" s="6" t="s">
        <v>13</v>
      </c>
      <c r="F79" s="6" t="s">
        <v>24</v>
      </c>
      <c r="G79" s="7">
        <v>46243</v>
      </c>
      <c r="H79" s="6">
        <v>5</v>
      </c>
      <c r="I79" s="6"/>
      <c r="J79" s="7">
        <f t="shared" si="4"/>
        <v>46248</v>
      </c>
      <c r="K79" s="8">
        <v>90</v>
      </c>
      <c r="L79" s="9">
        <f t="shared" si="3"/>
        <v>11</v>
      </c>
      <c r="M79" s="9" t="str" cm="1">
        <f t="array" ref="M79">_xlfn.IFS(L79&gt;=10,"HIGH",L79=0,"LOW",L79&lt;=9,"MEDIUM")</f>
        <v>HIGH</v>
      </c>
      <c r="N79" s="9" cm="1">
        <f t="array" ref="N79">_xlfn.IFS(M79="HIGH",K79*L79,M79="MEDIUM",K79*L79,M79="LOW","NA")</f>
        <v>990</v>
      </c>
      <c r="O79" s="18" t="str">
        <f t="shared" si="5"/>
        <v>still in yard</v>
      </c>
    </row>
    <row r="80" spans="1:15" x14ac:dyDescent="0.25">
      <c r="A80" s="17">
        <v>76</v>
      </c>
      <c r="B80" s="6" t="s">
        <v>113</v>
      </c>
      <c r="C80" s="6" t="s">
        <v>33</v>
      </c>
      <c r="D80" s="6" t="s">
        <v>56</v>
      </c>
      <c r="E80" s="6" t="s">
        <v>18</v>
      </c>
      <c r="F80" s="6" t="s">
        <v>14</v>
      </c>
      <c r="G80" s="7">
        <v>46221</v>
      </c>
      <c r="H80" s="6">
        <v>5</v>
      </c>
      <c r="I80" s="7">
        <v>46222</v>
      </c>
      <c r="J80" s="7">
        <f t="shared" si="4"/>
        <v>46226</v>
      </c>
      <c r="K80" s="8">
        <v>130</v>
      </c>
      <c r="L80" s="9">
        <f t="shared" si="3"/>
        <v>0</v>
      </c>
      <c r="M80" s="9" t="str" cm="1">
        <f t="array" ref="M80">_xlfn.IFS(L80&gt;=10,"HIGH",L80=0,"LOW",L80&lt;=9,"MEDIUM")</f>
        <v>LOW</v>
      </c>
      <c r="N80" s="9" t="str" cm="1">
        <f t="array" ref="N80">_xlfn.IFS(M80="HIGH",K80*L80,M80="MEDIUM",K80*L80,M80="LOW","NA")</f>
        <v>NA</v>
      </c>
      <c r="O80" s="18" t="str">
        <f t="shared" si="5"/>
        <v>cleared</v>
      </c>
    </row>
    <row r="81" spans="1:15" x14ac:dyDescent="0.25">
      <c r="A81" s="17">
        <v>77</v>
      </c>
      <c r="B81" s="6" t="s">
        <v>114</v>
      </c>
      <c r="C81" s="6" t="s">
        <v>16</v>
      </c>
      <c r="D81" s="6" t="s">
        <v>34</v>
      </c>
      <c r="E81" s="6" t="s">
        <v>13</v>
      </c>
      <c r="F81" s="6" t="s">
        <v>24</v>
      </c>
      <c r="G81" s="7">
        <v>46252</v>
      </c>
      <c r="H81" s="6">
        <v>5</v>
      </c>
      <c r="I81" s="6"/>
      <c r="J81" s="7">
        <f t="shared" si="4"/>
        <v>46257</v>
      </c>
      <c r="K81" s="8">
        <v>90</v>
      </c>
      <c r="L81" s="9">
        <f t="shared" si="3"/>
        <v>2</v>
      </c>
      <c r="M81" s="9" t="str" cm="1">
        <f t="array" ref="M81">_xlfn.IFS(L81&gt;=10,"HIGH",L81=0,"LOW",L81&lt;=9,"MEDIUM")</f>
        <v>MEDIUM</v>
      </c>
      <c r="N81" s="9" cm="1">
        <f t="array" ref="N81">_xlfn.IFS(M81="HIGH",K81*L81,M81="MEDIUM",K81*L81,M81="LOW","NA")</f>
        <v>180</v>
      </c>
      <c r="O81" s="18" t="str">
        <f t="shared" si="5"/>
        <v>still in yard</v>
      </c>
    </row>
    <row r="82" spans="1:15" x14ac:dyDescent="0.25">
      <c r="A82" s="17">
        <v>78</v>
      </c>
      <c r="B82" s="6" t="s">
        <v>115</v>
      </c>
      <c r="C82" s="6" t="s">
        <v>37</v>
      </c>
      <c r="D82" s="6" t="s">
        <v>20</v>
      </c>
      <c r="E82" s="6" t="s">
        <v>46</v>
      </c>
      <c r="F82" s="6" t="s">
        <v>29</v>
      </c>
      <c r="G82" s="7">
        <v>46193</v>
      </c>
      <c r="H82" s="6">
        <v>4</v>
      </c>
      <c r="I82" s="6"/>
      <c r="J82" s="7">
        <f t="shared" si="4"/>
        <v>46197</v>
      </c>
      <c r="K82" s="8">
        <v>150</v>
      </c>
      <c r="L82" s="9">
        <f t="shared" si="3"/>
        <v>62</v>
      </c>
      <c r="M82" s="9" t="str" cm="1">
        <f t="array" ref="M82">_xlfn.IFS(L82&gt;=10,"HIGH",L82=0,"LOW",L82&lt;=9,"MEDIUM")</f>
        <v>HIGH</v>
      </c>
      <c r="N82" s="9" cm="1">
        <f t="array" ref="N82">_xlfn.IFS(M82="HIGH",K82*L82,M82="MEDIUM",K82*L82,M82="LOW","NA")</f>
        <v>9300</v>
      </c>
      <c r="O82" s="18" t="str">
        <f t="shared" si="5"/>
        <v>still in yard</v>
      </c>
    </row>
    <row r="83" spans="1:15" x14ac:dyDescent="0.25">
      <c r="A83" s="17">
        <v>79</v>
      </c>
      <c r="B83" s="6" t="s">
        <v>116</v>
      </c>
      <c r="C83" s="6" t="s">
        <v>33</v>
      </c>
      <c r="D83" s="6" t="s">
        <v>54</v>
      </c>
      <c r="E83" s="6" t="s">
        <v>13</v>
      </c>
      <c r="F83" s="6" t="s">
        <v>27</v>
      </c>
      <c r="G83" s="7">
        <v>46248</v>
      </c>
      <c r="H83" s="6">
        <v>4</v>
      </c>
      <c r="I83" s="7">
        <v>46259</v>
      </c>
      <c r="J83" s="7">
        <f t="shared" si="4"/>
        <v>46252</v>
      </c>
      <c r="K83" s="8">
        <v>110</v>
      </c>
      <c r="L83" s="9">
        <f t="shared" si="3"/>
        <v>7</v>
      </c>
      <c r="M83" s="9" t="str" cm="1">
        <f t="array" ref="M83">_xlfn.IFS(L83&gt;=10,"HIGH",L83=0,"LOW",L83&lt;=9,"MEDIUM")</f>
        <v>MEDIUM</v>
      </c>
      <c r="N83" s="9" cm="1">
        <f t="array" ref="N83">_xlfn.IFS(M83="HIGH",K83*L83,M83="MEDIUM",K83*L83,M83="LOW","NA")</f>
        <v>770</v>
      </c>
      <c r="O83" s="18" t="str">
        <f t="shared" si="5"/>
        <v>cleared</v>
      </c>
    </row>
    <row r="84" spans="1:15" x14ac:dyDescent="0.25">
      <c r="A84" s="17">
        <v>80</v>
      </c>
      <c r="B84" s="6" t="s">
        <v>117</v>
      </c>
      <c r="C84" s="6" t="s">
        <v>33</v>
      </c>
      <c r="D84" s="6" t="s">
        <v>26</v>
      </c>
      <c r="E84" s="6" t="s">
        <v>23</v>
      </c>
      <c r="F84" s="6" t="s">
        <v>24</v>
      </c>
      <c r="G84" s="7">
        <v>46196</v>
      </c>
      <c r="H84" s="6">
        <v>4</v>
      </c>
      <c r="I84" s="7">
        <v>46197</v>
      </c>
      <c r="J84" s="7">
        <f t="shared" si="4"/>
        <v>46200</v>
      </c>
      <c r="K84" s="8">
        <v>110</v>
      </c>
      <c r="L84" s="9">
        <f t="shared" si="3"/>
        <v>0</v>
      </c>
      <c r="M84" s="9" t="str" cm="1">
        <f t="array" ref="M84">_xlfn.IFS(L84&gt;=10,"HIGH",L84=0,"LOW",L84&lt;=9,"MEDIUM")</f>
        <v>LOW</v>
      </c>
      <c r="N84" s="9" t="str" cm="1">
        <f t="array" ref="N84">_xlfn.IFS(M84="HIGH",K84*L84,M84="MEDIUM",K84*L84,M84="LOW","NA")</f>
        <v>NA</v>
      </c>
      <c r="O84" s="18" t="str">
        <f t="shared" si="5"/>
        <v>cleared</v>
      </c>
    </row>
    <row r="85" spans="1:15" x14ac:dyDescent="0.25">
      <c r="A85" s="17">
        <v>81</v>
      </c>
      <c r="B85" s="6" t="s">
        <v>118</v>
      </c>
      <c r="C85" s="6" t="s">
        <v>11</v>
      </c>
      <c r="D85" s="6" t="s">
        <v>31</v>
      </c>
      <c r="E85" s="6" t="s">
        <v>46</v>
      </c>
      <c r="F85" s="6" t="s">
        <v>24</v>
      </c>
      <c r="G85" s="7">
        <v>46175</v>
      </c>
      <c r="H85" s="6">
        <v>5</v>
      </c>
      <c r="I85" s="7">
        <v>46179</v>
      </c>
      <c r="J85" s="7">
        <f t="shared" si="4"/>
        <v>46180</v>
      </c>
      <c r="K85" s="8">
        <v>75</v>
      </c>
      <c r="L85" s="9">
        <f t="shared" si="3"/>
        <v>0</v>
      </c>
      <c r="M85" s="9" t="str" cm="1">
        <f t="array" ref="M85">_xlfn.IFS(L85&gt;=10,"HIGH",L85=0,"LOW",L85&lt;=9,"MEDIUM")</f>
        <v>LOW</v>
      </c>
      <c r="N85" s="9" t="str" cm="1">
        <f t="array" ref="N85">_xlfn.IFS(M85="HIGH",K85*L85,M85="MEDIUM",K85*L85,M85="LOW","NA")</f>
        <v>NA</v>
      </c>
      <c r="O85" s="18" t="str">
        <f t="shared" si="5"/>
        <v>cleared</v>
      </c>
    </row>
    <row r="86" spans="1:15" x14ac:dyDescent="0.25">
      <c r="A86" s="17">
        <v>82</v>
      </c>
      <c r="B86" s="6" t="s">
        <v>119</v>
      </c>
      <c r="C86" s="6" t="s">
        <v>11</v>
      </c>
      <c r="D86" s="6" t="s">
        <v>41</v>
      </c>
      <c r="E86" s="6" t="s">
        <v>61</v>
      </c>
      <c r="F86" s="6" t="s">
        <v>29</v>
      </c>
      <c r="G86" s="7">
        <v>46243</v>
      </c>
      <c r="H86" s="6">
        <v>3</v>
      </c>
      <c r="I86" s="7">
        <v>46250</v>
      </c>
      <c r="J86" s="7">
        <f t="shared" si="4"/>
        <v>46246</v>
      </c>
      <c r="K86" s="8">
        <v>150</v>
      </c>
      <c r="L86" s="9">
        <f t="shared" si="3"/>
        <v>4</v>
      </c>
      <c r="M86" s="9" t="str" cm="1">
        <f t="array" ref="M86">_xlfn.IFS(L86&gt;=10,"HIGH",L86=0,"LOW",L86&lt;=9,"MEDIUM")</f>
        <v>MEDIUM</v>
      </c>
      <c r="N86" s="9" cm="1">
        <f t="array" ref="N86">_xlfn.IFS(M86="HIGH",K86*L86,M86="MEDIUM",K86*L86,M86="LOW","NA")</f>
        <v>600</v>
      </c>
      <c r="O86" s="18" t="str">
        <f t="shared" si="5"/>
        <v>cleared</v>
      </c>
    </row>
    <row r="87" spans="1:15" x14ac:dyDescent="0.25">
      <c r="A87" s="17">
        <v>83</v>
      </c>
      <c r="B87" s="6" t="s">
        <v>120</v>
      </c>
      <c r="C87" s="6" t="s">
        <v>37</v>
      </c>
      <c r="D87" s="6" t="s">
        <v>41</v>
      </c>
      <c r="E87" s="6" t="s">
        <v>39</v>
      </c>
      <c r="F87" s="6" t="s">
        <v>29</v>
      </c>
      <c r="G87" s="7">
        <v>46204</v>
      </c>
      <c r="H87" s="6">
        <v>3</v>
      </c>
      <c r="I87" s="7">
        <v>46209</v>
      </c>
      <c r="J87" s="7">
        <f t="shared" si="4"/>
        <v>46207</v>
      </c>
      <c r="K87" s="8">
        <v>120</v>
      </c>
      <c r="L87" s="9">
        <f t="shared" si="3"/>
        <v>2</v>
      </c>
      <c r="M87" s="9" t="str" cm="1">
        <f t="array" ref="M87">_xlfn.IFS(L87&gt;=10,"HIGH",L87=0,"LOW",L87&lt;=9,"MEDIUM")</f>
        <v>MEDIUM</v>
      </c>
      <c r="N87" s="9" cm="1">
        <f t="array" ref="N87">_xlfn.IFS(M87="HIGH",K87*L87,M87="MEDIUM",K87*L87,M87="LOW","NA")</f>
        <v>240</v>
      </c>
      <c r="O87" s="18" t="str">
        <f t="shared" si="5"/>
        <v>cleared</v>
      </c>
    </row>
    <row r="88" spans="1:15" x14ac:dyDescent="0.25">
      <c r="A88" s="17">
        <v>84</v>
      </c>
      <c r="B88" s="6" t="s">
        <v>121</v>
      </c>
      <c r="C88" s="6" t="s">
        <v>16</v>
      </c>
      <c r="D88" s="6" t="s">
        <v>12</v>
      </c>
      <c r="E88" s="6" t="s">
        <v>39</v>
      </c>
      <c r="F88" s="6" t="s">
        <v>14</v>
      </c>
      <c r="G88" s="7">
        <v>46218</v>
      </c>
      <c r="H88" s="6">
        <v>5</v>
      </c>
      <c r="I88" s="7">
        <v>46223</v>
      </c>
      <c r="J88" s="7">
        <f t="shared" si="4"/>
        <v>46223</v>
      </c>
      <c r="K88" s="8">
        <v>60</v>
      </c>
      <c r="L88" s="9">
        <f t="shared" si="3"/>
        <v>0</v>
      </c>
      <c r="M88" s="9" t="str" cm="1">
        <f t="array" ref="M88">_xlfn.IFS(L88&gt;=10,"HIGH",L88=0,"LOW",L88&lt;=9,"MEDIUM")</f>
        <v>LOW</v>
      </c>
      <c r="N88" s="9" t="str" cm="1">
        <f t="array" ref="N88">_xlfn.IFS(M88="HIGH",K88*L88,M88="MEDIUM",K88*L88,M88="LOW","NA")</f>
        <v>NA</v>
      </c>
      <c r="O88" s="18" t="str">
        <f t="shared" si="5"/>
        <v>cleared</v>
      </c>
    </row>
    <row r="89" spans="1:15" x14ac:dyDescent="0.25">
      <c r="A89" s="17">
        <v>85</v>
      </c>
      <c r="B89" s="6" t="s">
        <v>122</v>
      </c>
      <c r="C89" s="6" t="s">
        <v>33</v>
      </c>
      <c r="D89" s="6" t="s">
        <v>49</v>
      </c>
      <c r="E89" s="6" t="s">
        <v>13</v>
      </c>
      <c r="F89" s="6" t="s">
        <v>27</v>
      </c>
      <c r="G89" s="7">
        <v>46210</v>
      </c>
      <c r="H89" s="6">
        <v>5</v>
      </c>
      <c r="I89" s="7">
        <v>46212</v>
      </c>
      <c r="J89" s="7">
        <f t="shared" si="4"/>
        <v>46215</v>
      </c>
      <c r="K89" s="8">
        <v>60</v>
      </c>
      <c r="L89" s="9">
        <f t="shared" si="3"/>
        <v>0</v>
      </c>
      <c r="M89" s="9" t="str" cm="1">
        <f t="array" ref="M89">_xlfn.IFS(L89&gt;=10,"HIGH",L89=0,"LOW",L89&lt;=9,"MEDIUM")</f>
        <v>LOW</v>
      </c>
      <c r="N89" s="9" t="str" cm="1">
        <f t="array" ref="N89">_xlfn.IFS(M89="HIGH",K89*L89,M89="MEDIUM",K89*L89,M89="LOW","NA")</f>
        <v>NA</v>
      </c>
      <c r="O89" s="18" t="str">
        <f t="shared" si="5"/>
        <v>cleared</v>
      </c>
    </row>
    <row r="90" spans="1:15" x14ac:dyDescent="0.25">
      <c r="A90" s="17">
        <v>86</v>
      </c>
      <c r="B90" s="6" t="s">
        <v>123</v>
      </c>
      <c r="C90" s="6" t="s">
        <v>33</v>
      </c>
      <c r="D90" s="6" t="s">
        <v>31</v>
      </c>
      <c r="E90" s="6" t="s">
        <v>21</v>
      </c>
      <c r="F90" s="6" t="s">
        <v>24</v>
      </c>
      <c r="G90" s="7">
        <v>46242</v>
      </c>
      <c r="H90" s="6">
        <v>7</v>
      </c>
      <c r="I90" s="7">
        <v>46250</v>
      </c>
      <c r="J90" s="7">
        <f t="shared" si="4"/>
        <v>46249</v>
      </c>
      <c r="K90" s="8">
        <v>60</v>
      </c>
      <c r="L90" s="9">
        <f t="shared" si="3"/>
        <v>1</v>
      </c>
      <c r="M90" s="9" t="str" cm="1">
        <f t="array" ref="M90">_xlfn.IFS(L90&gt;=10,"HIGH",L90=0,"LOW",L90&lt;=9,"MEDIUM")</f>
        <v>MEDIUM</v>
      </c>
      <c r="N90" s="9" cm="1">
        <f t="array" ref="N90">_xlfn.IFS(M90="HIGH",K90*L90,M90="MEDIUM",K90*L90,M90="LOW","NA")</f>
        <v>60</v>
      </c>
      <c r="O90" s="18" t="str">
        <f t="shared" si="5"/>
        <v>cleared</v>
      </c>
    </row>
    <row r="91" spans="1:15" x14ac:dyDescent="0.25">
      <c r="A91" s="17">
        <v>87</v>
      </c>
      <c r="B91" s="6" t="s">
        <v>124</v>
      </c>
      <c r="C91" s="6" t="s">
        <v>11</v>
      </c>
      <c r="D91" s="6" t="s">
        <v>20</v>
      </c>
      <c r="E91" s="6" t="s">
        <v>13</v>
      </c>
      <c r="F91" s="6" t="s">
        <v>29</v>
      </c>
      <c r="G91" s="7">
        <v>46176</v>
      </c>
      <c r="H91" s="6">
        <v>4</v>
      </c>
      <c r="I91" s="7">
        <v>46177</v>
      </c>
      <c r="J91" s="7">
        <f t="shared" si="4"/>
        <v>46180</v>
      </c>
      <c r="K91" s="8">
        <v>150</v>
      </c>
      <c r="L91" s="9">
        <f t="shared" si="3"/>
        <v>0</v>
      </c>
      <c r="M91" s="9" t="str" cm="1">
        <f t="array" ref="M91">_xlfn.IFS(L91&gt;=10,"HIGH",L91=0,"LOW",L91&lt;=9,"MEDIUM")</f>
        <v>LOW</v>
      </c>
      <c r="N91" s="9" t="str" cm="1">
        <f t="array" ref="N91">_xlfn.IFS(M91="HIGH",K91*L91,M91="MEDIUM",K91*L91,M91="LOW","NA")</f>
        <v>NA</v>
      </c>
      <c r="O91" s="18" t="str">
        <f t="shared" si="5"/>
        <v>cleared</v>
      </c>
    </row>
    <row r="92" spans="1:15" x14ac:dyDescent="0.25">
      <c r="A92" s="17">
        <v>88</v>
      </c>
      <c r="B92" s="6" t="s">
        <v>125</v>
      </c>
      <c r="C92" s="6" t="s">
        <v>16</v>
      </c>
      <c r="D92" s="6" t="s">
        <v>12</v>
      </c>
      <c r="E92" s="6" t="s">
        <v>44</v>
      </c>
      <c r="F92" s="6" t="s">
        <v>29</v>
      </c>
      <c r="G92" s="7">
        <v>46198</v>
      </c>
      <c r="H92" s="6">
        <v>4</v>
      </c>
      <c r="I92" s="7">
        <v>46210</v>
      </c>
      <c r="J92" s="7">
        <f t="shared" si="4"/>
        <v>46202</v>
      </c>
      <c r="K92" s="8">
        <v>180</v>
      </c>
      <c r="L92" s="9">
        <f t="shared" si="3"/>
        <v>8</v>
      </c>
      <c r="M92" s="9" t="str" cm="1">
        <f t="array" ref="M92">_xlfn.IFS(L92&gt;=10,"HIGH",L92=0,"LOW",L92&lt;=9,"MEDIUM")</f>
        <v>MEDIUM</v>
      </c>
      <c r="N92" s="9" cm="1">
        <f t="array" ref="N92">_xlfn.IFS(M92="HIGH",K92*L92,M92="MEDIUM",K92*L92,M92="LOW","NA")</f>
        <v>1440</v>
      </c>
      <c r="O92" s="18" t="str">
        <f t="shared" si="5"/>
        <v>cleared</v>
      </c>
    </row>
    <row r="93" spans="1:15" x14ac:dyDescent="0.25">
      <c r="A93" s="17">
        <v>89</v>
      </c>
      <c r="B93" s="6" t="s">
        <v>126</v>
      </c>
      <c r="C93" s="6" t="s">
        <v>33</v>
      </c>
      <c r="D93" s="6" t="s">
        <v>41</v>
      </c>
      <c r="E93" s="6" t="s">
        <v>18</v>
      </c>
      <c r="F93" s="6" t="s">
        <v>14</v>
      </c>
      <c r="G93" s="7">
        <v>46230</v>
      </c>
      <c r="H93" s="6">
        <v>5</v>
      </c>
      <c r="I93" s="6"/>
      <c r="J93" s="7">
        <f t="shared" si="4"/>
        <v>46235</v>
      </c>
      <c r="K93" s="8">
        <v>60</v>
      </c>
      <c r="L93" s="9">
        <f t="shared" si="3"/>
        <v>24</v>
      </c>
      <c r="M93" s="9" t="str" cm="1">
        <f t="array" ref="M93">_xlfn.IFS(L93&gt;=10,"HIGH",L93=0,"LOW",L93&lt;=9,"MEDIUM")</f>
        <v>HIGH</v>
      </c>
      <c r="N93" s="9" cm="1">
        <f t="array" ref="N93">_xlfn.IFS(M93="HIGH",K93*L93,M93="MEDIUM",K93*L93,M93="LOW","NA")</f>
        <v>1440</v>
      </c>
      <c r="O93" s="18" t="str">
        <f t="shared" si="5"/>
        <v>still in yard</v>
      </c>
    </row>
    <row r="94" spans="1:15" x14ac:dyDescent="0.25">
      <c r="A94" s="17">
        <v>90</v>
      </c>
      <c r="B94" s="6" t="s">
        <v>127</v>
      </c>
      <c r="C94" s="6" t="s">
        <v>33</v>
      </c>
      <c r="D94" s="6" t="s">
        <v>56</v>
      </c>
      <c r="E94" s="6" t="s">
        <v>61</v>
      </c>
      <c r="F94" s="6" t="s">
        <v>14</v>
      </c>
      <c r="G94" s="7">
        <v>46258</v>
      </c>
      <c r="H94" s="6">
        <v>5</v>
      </c>
      <c r="I94" s="6"/>
      <c r="J94" s="7">
        <f t="shared" si="4"/>
        <v>46263</v>
      </c>
      <c r="K94" s="8">
        <v>60</v>
      </c>
      <c r="L94" s="9">
        <f t="shared" si="3"/>
        <v>0</v>
      </c>
      <c r="M94" s="9" t="str" cm="1">
        <f t="array" ref="M94">_xlfn.IFS(L94&gt;=10,"HIGH",L94=0,"LOW",L94&lt;=9,"MEDIUM")</f>
        <v>LOW</v>
      </c>
      <c r="N94" s="9" t="str" cm="1">
        <f t="array" ref="N94">_xlfn.IFS(M94="HIGH",K94*L94,M94="MEDIUM",K94*L94,M94="LOW","NA")</f>
        <v>NA</v>
      </c>
      <c r="O94" s="18" t="str">
        <f t="shared" si="5"/>
        <v>still in yard</v>
      </c>
    </row>
    <row r="95" spans="1:15" x14ac:dyDescent="0.25">
      <c r="A95" s="17">
        <v>91</v>
      </c>
      <c r="B95" s="6" t="s">
        <v>128</v>
      </c>
      <c r="C95" s="6" t="s">
        <v>11</v>
      </c>
      <c r="D95" s="6" t="s">
        <v>12</v>
      </c>
      <c r="E95" s="6" t="s">
        <v>46</v>
      </c>
      <c r="F95" s="6" t="s">
        <v>29</v>
      </c>
      <c r="G95" s="7">
        <v>46169</v>
      </c>
      <c r="H95" s="6">
        <v>3</v>
      </c>
      <c r="I95" s="6"/>
      <c r="J95" s="7">
        <f t="shared" si="4"/>
        <v>46172</v>
      </c>
      <c r="K95" s="8">
        <v>150</v>
      </c>
      <c r="L95" s="9">
        <f t="shared" si="3"/>
        <v>87</v>
      </c>
      <c r="M95" s="9" t="str" cm="1">
        <f t="array" ref="M95">_xlfn.IFS(L95&gt;=10,"HIGH",L95=0,"LOW",L95&lt;=9,"MEDIUM")</f>
        <v>HIGH</v>
      </c>
      <c r="N95" s="9" cm="1">
        <f t="array" ref="N95">_xlfn.IFS(M95="HIGH",K95*L95,M95="MEDIUM",K95*L95,M95="LOW","NA")</f>
        <v>13050</v>
      </c>
      <c r="O95" s="18" t="str">
        <f t="shared" si="5"/>
        <v>still in yard</v>
      </c>
    </row>
    <row r="96" spans="1:15" x14ac:dyDescent="0.25">
      <c r="A96" s="17">
        <v>92</v>
      </c>
      <c r="B96" s="6" t="s">
        <v>129</v>
      </c>
      <c r="C96" s="6" t="s">
        <v>37</v>
      </c>
      <c r="D96" s="6" t="s">
        <v>49</v>
      </c>
      <c r="E96" s="6" t="s">
        <v>46</v>
      </c>
      <c r="F96" s="6" t="s">
        <v>27</v>
      </c>
      <c r="G96" s="7">
        <v>46182</v>
      </c>
      <c r="H96" s="6">
        <v>4</v>
      </c>
      <c r="I96" s="6"/>
      <c r="J96" s="7">
        <f t="shared" si="4"/>
        <v>46186</v>
      </c>
      <c r="K96" s="8">
        <v>90</v>
      </c>
      <c r="L96" s="9">
        <f t="shared" si="3"/>
        <v>73</v>
      </c>
      <c r="M96" s="9" t="str" cm="1">
        <f t="array" ref="M96">_xlfn.IFS(L96&gt;=10,"HIGH",L96=0,"LOW",L96&lt;=9,"MEDIUM")</f>
        <v>HIGH</v>
      </c>
      <c r="N96" s="9" cm="1">
        <f t="array" ref="N96">_xlfn.IFS(M96="HIGH",K96*L96,M96="MEDIUM",K96*L96,M96="LOW","NA")</f>
        <v>6570</v>
      </c>
      <c r="O96" s="18" t="str">
        <f t="shared" si="5"/>
        <v>still in yard</v>
      </c>
    </row>
    <row r="97" spans="1:15" x14ac:dyDescent="0.25">
      <c r="A97" s="17">
        <v>93</v>
      </c>
      <c r="B97" s="6" t="s">
        <v>130</v>
      </c>
      <c r="C97" s="6" t="s">
        <v>33</v>
      </c>
      <c r="D97" s="6" t="s">
        <v>31</v>
      </c>
      <c r="E97" s="6" t="s">
        <v>39</v>
      </c>
      <c r="F97" s="6" t="s">
        <v>27</v>
      </c>
      <c r="G97" s="7">
        <v>46198</v>
      </c>
      <c r="H97" s="6">
        <v>7</v>
      </c>
      <c r="I97" s="6"/>
      <c r="J97" s="7">
        <f t="shared" si="4"/>
        <v>46205</v>
      </c>
      <c r="K97" s="8">
        <v>75</v>
      </c>
      <c r="L97" s="9">
        <f t="shared" si="3"/>
        <v>54</v>
      </c>
      <c r="M97" s="9" t="str" cm="1">
        <f t="array" ref="M97">_xlfn.IFS(L97&gt;=10,"HIGH",L97=0,"LOW",L97&lt;=9,"MEDIUM")</f>
        <v>HIGH</v>
      </c>
      <c r="N97" s="9" cm="1">
        <f t="array" ref="N97">_xlfn.IFS(M97="HIGH",K97*L97,M97="MEDIUM",K97*L97,M97="LOW","NA")</f>
        <v>4050</v>
      </c>
      <c r="O97" s="18" t="str">
        <f t="shared" si="5"/>
        <v>still in yard</v>
      </c>
    </row>
    <row r="98" spans="1:15" x14ac:dyDescent="0.25">
      <c r="A98" s="17">
        <v>94</v>
      </c>
      <c r="B98" s="6" t="s">
        <v>131</v>
      </c>
      <c r="C98" s="6" t="s">
        <v>16</v>
      </c>
      <c r="D98" s="6" t="s">
        <v>49</v>
      </c>
      <c r="E98" s="6" t="s">
        <v>46</v>
      </c>
      <c r="F98" s="6" t="s">
        <v>14</v>
      </c>
      <c r="G98" s="7">
        <v>46256</v>
      </c>
      <c r="H98" s="6">
        <v>5</v>
      </c>
      <c r="I98" s="7">
        <v>46259</v>
      </c>
      <c r="J98" s="7">
        <f t="shared" si="4"/>
        <v>46261</v>
      </c>
      <c r="K98" s="8">
        <v>110</v>
      </c>
      <c r="L98" s="9">
        <f t="shared" si="3"/>
        <v>0</v>
      </c>
      <c r="M98" s="9" t="str" cm="1">
        <f t="array" ref="M98">_xlfn.IFS(L98&gt;=10,"HIGH",L98=0,"LOW",L98&lt;=9,"MEDIUM")</f>
        <v>LOW</v>
      </c>
      <c r="N98" s="9" t="str" cm="1">
        <f t="array" ref="N98">_xlfn.IFS(M98="HIGH",K98*L98,M98="MEDIUM",K98*L98,M98="LOW","NA")</f>
        <v>NA</v>
      </c>
      <c r="O98" s="18" t="str">
        <f t="shared" si="5"/>
        <v>cleared</v>
      </c>
    </row>
    <row r="99" spans="1:15" x14ac:dyDescent="0.25">
      <c r="A99" s="17">
        <v>95</v>
      </c>
      <c r="B99" s="6" t="s">
        <v>132</v>
      </c>
      <c r="C99" s="6" t="s">
        <v>16</v>
      </c>
      <c r="D99" s="6" t="s">
        <v>31</v>
      </c>
      <c r="E99" s="6" t="s">
        <v>18</v>
      </c>
      <c r="F99" s="6" t="s">
        <v>29</v>
      </c>
      <c r="G99" s="7">
        <v>46211</v>
      </c>
      <c r="H99" s="6">
        <v>3</v>
      </c>
      <c r="I99" s="7">
        <v>46212</v>
      </c>
      <c r="J99" s="7">
        <f t="shared" si="4"/>
        <v>46214</v>
      </c>
      <c r="K99" s="8">
        <v>150</v>
      </c>
      <c r="L99" s="9">
        <f t="shared" si="3"/>
        <v>0</v>
      </c>
      <c r="M99" s="9" t="str" cm="1">
        <f t="array" ref="M99">_xlfn.IFS(L99&gt;=10,"HIGH",L99=0,"LOW",L99&lt;=9,"MEDIUM")</f>
        <v>LOW</v>
      </c>
      <c r="N99" s="9" t="str" cm="1">
        <f t="array" ref="N99">_xlfn.IFS(M99="HIGH",K99*L99,M99="MEDIUM",K99*L99,M99="LOW","NA")</f>
        <v>NA</v>
      </c>
      <c r="O99" s="18" t="str">
        <f t="shared" si="5"/>
        <v>cleared</v>
      </c>
    </row>
    <row r="100" spans="1:15" x14ac:dyDescent="0.25">
      <c r="A100" s="17">
        <v>96</v>
      </c>
      <c r="B100" s="6" t="s">
        <v>133</v>
      </c>
      <c r="C100" s="6" t="s">
        <v>33</v>
      </c>
      <c r="D100" s="6" t="s">
        <v>20</v>
      </c>
      <c r="E100" s="6" t="s">
        <v>44</v>
      </c>
      <c r="F100" s="6" t="s">
        <v>24</v>
      </c>
      <c r="G100" s="7">
        <v>46194</v>
      </c>
      <c r="H100" s="6">
        <v>4</v>
      </c>
      <c r="I100" s="6"/>
      <c r="J100" s="7">
        <f t="shared" si="4"/>
        <v>46198</v>
      </c>
      <c r="K100" s="8">
        <v>75</v>
      </c>
      <c r="L100" s="9">
        <f t="shared" si="3"/>
        <v>61</v>
      </c>
      <c r="M100" s="9" t="str" cm="1">
        <f t="array" ref="M100">_xlfn.IFS(L100&gt;=10,"HIGH",L100=0,"LOW",L100&lt;=9,"MEDIUM")</f>
        <v>HIGH</v>
      </c>
      <c r="N100" s="9" cm="1">
        <f t="array" ref="N100">_xlfn.IFS(M100="HIGH",K100*L100,M100="MEDIUM",K100*L100,M100="LOW","NA")</f>
        <v>4575</v>
      </c>
      <c r="O100" s="18" t="str">
        <f t="shared" si="5"/>
        <v>still in yard</v>
      </c>
    </row>
    <row r="101" spans="1:15" x14ac:dyDescent="0.25">
      <c r="A101" s="17">
        <v>97</v>
      </c>
      <c r="B101" s="6" t="s">
        <v>134</v>
      </c>
      <c r="C101" s="6" t="s">
        <v>11</v>
      </c>
      <c r="D101" s="6" t="s">
        <v>20</v>
      </c>
      <c r="E101" s="6" t="s">
        <v>18</v>
      </c>
      <c r="F101" s="6" t="s">
        <v>29</v>
      </c>
      <c r="G101" s="7">
        <v>46230</v>
      </c>
      <c r="H101" s="6">
        <v>4</v>
      </c>
      <c r="I101" s="7">
        <v>46231</v>
      </c>
      <c r="J101" s="7">
        <f t="shared" si="4"/>
        <v>46234</v>
      </c>
      <c r="K101" s="8">
        <v>150</v>
      </c>
      <c r="L101" s="9">
        <f t="shared" si="3"/>
        <v>0</v>
      </c>
      <c r="M101" s="9" t="str" cm="1">
        <f t="array" ref="M101">_xlfn.IFS(L101&gt;=10,"HIGH",L101=0,"LOW",L101&lt;=9,"MEDIUM")</f>
        <v>LOW</v>
      </c>
      <c r="N101" s="9" t="str" cm="1">
        <f t="array" ref="N101">_xlfn.IFS(M101="HIGH",K101*L101,M101="MEDIUM",K101*L101,M101="LOW","NA")</f>
        <v>NA</v>
      </c>
      <c r="O101" s="18" t="str">
        <f t="shared" si="5"/>
        <v>cleared</v>
      </c>
    </row>
    <row r="102" spans="1:15" x14ac:dyDescent="0.25">
      <c r="A102" s="17">
        <v>98</v>
      </c>
      <c r="B102" s="6" t="s">
        <v>135</v>
      </c>
      <c r="C102" s="6" t="s">
        <v>16</v>
      </c>
      <c r="D102" s="6" t="s">
        <v>26</v>
      </c>
      <c r="E102" s="6" t="s">
        <v>35</v>
      </c>
      <c r="F102" s="6" t="s">
        <v>27</v>
      </c>
      <c r="G102" s="7">
        <v>46230</v>
      </c>
      <c r="H102" s="6">
        <v>6</v>
      </c>
      <c r="I102" s="7">
        <v>46231</v>
      </c>
      <c r="J102" s="7">
        <f t="shared" si="4"/>
        <v>46236</v>
      </c>
      <c r="K102" s="8">
        <v>75</v>
      </c>
      <c r="L102" s="9">
        <f t="shared" si="3"/>
        <v>0</v>
      </c>
      <c r="M102" s="9" t="str" cm="1">
        <f t="array" ref="M102">_xlfn.IFS(L102&gt;=10,"HIGH",L102=0,"LOW",L102&lt;=9,"MEDIUM")</f>
        <v>LOW</v>
      </c>
      <c r="N102" s="9" t="str" cm="1">
        <f t="array" ref="N102">_xlfn.IFS(M102="HIGH",K102*L102,M102="MEDIUM",K102*L102,M102="LOW","NA")</f>
        <v>NA</v>
      </c>
      <c r="O102" s="18" t="str">
        <f t="shared" si="5"/>
        <v>cleared</v>
      </c>
    </row>
    <row r="103" spans="1:15" x14ac:dyDescent="0.25">
      <c r="A103" s="17">
        <v>99</v>
      </c>
      <c r="B103" s="6" t="s">
        <v>136</v>
      </c>
      <c r="C103" s="6" t="s">
        <v>33</v>
      </c>
      <c r="D103" s="6" t="s">
        <v>54</v>
      </c>
      <c r="E103" s="6" t="s">
        <v>18</v>
      </c>
      <c r="F103" s="6" t="s">
        <v>14</v>
      </c>
      <c r="G103" s="7">
        <v>46182</v>
      </c>
      <c r="H103" s="6">
        <v>5</v>
      </c>
      <c r="I103" s="7">
        <v>46183</v>
      </c>
      <c r="J103" s="7">
        <f t="shared" si="4"/>
        <v>46187</v>
      </c>
      <c r="K103" s="8">
        <v>60</v>
      </c>
      <c r="L103" s="9">
        <f t="shared" si="3"/>
        <v>0</v>
      </c>
      <c r="M103" s="9" t="str" cm="1">
        <f t="array" ref="M103">_xlfn.IFS(L103&gt;=10,"HIGH",L103=0,"LOW",L103&lt;=9,"MEDIUM")</f>
        <v>LOW</v>
      </c>
      <c r="N103" s="9" t="str" cm="1">
        <f t="array" ref="N103">_xlfn.IFS(M103="HIGH",K103*L103,M103="MEDIUM",K103*L103,M103="LOW","NA")</f>
        <v>NA</v>
      </c>
      <c r="O103" s="18" t="str">
        <f t="shared" si="5"/>
        <v>cleared</v>
      </c>
    </row>
    <row r="104" spans="1:15" x14ac:dyDescent="0.25">
      <c r="A104" s="17">
        <v>100</v>
      </c>
      <c r="B104" s="6" t="s">
        <v>137</v>
      </c>
      <c r="C104" s="6" t="s">
        <v>37</v>
      </c>
      <c r="D104" s="6" t="s">
        <v>49</v>
      </c>
      <c r="E104" s="6" t="s">
        <v>35</v>
      </c>
      <c r="F104" s="6" t="s">
        <v>24</v>
      </c>
      <c r="G104" s="7">
        <v>46244</v>
      </c>
      <c r="H104" s="6">
        <v>4</v>
      </c>
      <c r="I104" s="7">
        <v>46246</v>
      </c>
      <c r="J104" s="7">
        <f t="shared" si="4"/>
        <v>46248</v>
      </c>
      <c r="K104" s="8">
        <v>130</v>
      </c>
      <c r="L104" s="9">
        <f t="shared" si="3"/>
        <v>0</v>
      </c>
      <c r="M104" s="9" t="str" cm="1">
        <f t="array" ref="M104">_xlfn.IFS(L104&gt;=10,"HIGH",L104=0,"LOW",L104&lt;=9,"MEDIUM")</f>
        <v>LOW</v>
      </c>
      <c r="N104" s="9" t="str" cm="1">
        <f t="array" ref="N104">_xlfn.IFS(M104="HIGH",K104*L104,M104="MEDIUM",K104*L104,M104="LOW","NA")</f>
        <v>NA</v>
      </c>
      <c r="O104" s="18" t="str">
        <f t="shared" si="5"/>
        <v>cleared</v>
      </c>
    </row>
    <row r="105" spans="1:15" x14ac:dyDescent="0.25">
      <c r="A105" s="17">
        <v>101</v>
      </c>
      <c r="B105" s="6" t="s">
        <v>138</v>
      </c>
      <c r="C105" s="6" t="s">
        <v>33</v>
      </c>
      <c r="D105" s="6" t="s">
        <v>54</v>
      </c>
      <c r="E105" s="6" t="s">
        <v>46</v>
      </c>
      <c r="F105" s="6" t="s">
        <v>29</v>
      </c>
      <c r="G105" s="7">
        <v>46211</v>
      </c>
      <c r="H105" s="6">
        <v>4</v>
      </c>
      <c r="I105" s="7">
        <v>46217</v>
      </c>
      <c r="J105" s="7">
        <f t="shared" si="4"/>
        <v>46215</v>
      </c>
      <c r="K105" s="8">
        <v>120</v>
      </c>
      <c r="L105" s="9">
        <f t="shared" si="3"/>
        <v>2</v>
      </c>
      <c r="M105" s="9" t="str" cm="1">
        <f t="array" ref="M105">_xlfn.IFS(L105&gt;=10,"HIGH",L105=0,"LOW",L105&lt;=9,"MEDIUM")</f>
        <v>MEDIUM</v>
      </c>
      <c r="N105" s="9" cm="1">
        <f t="array" ref="N105">_xlfn.IFS(M105="HIGH",K105*L105,M105="MEDIUM",K105*L105,M105="LOW","NA")</f>
        <v>240</v>
      </c>
      <c r="O105" s="18" t="str">
        <f t="shared" si="5"/>
        <v>cleared</v>
      </c>
    </row>
    <row r="106" spans="1:15" x14ac:dyDescent="0.25">
      <c r="A106" s="17">
        <v>102</v>
      </c>
      <c r="B106" s="6" t="s">
        <v>139</v>
      </c>
      <c r="C106" s="6" t="s">
        <v>16</v>
      </c>
      <c r="D106" s="6" t="s">
        <v>56</v>
      </c>
      <c r="E106" s="6" t="s">
        <v>46</v>
      </c>
      <c r="F106" s="6" t="s">
        <v>14</v>
      </c>
      <c r="G106" s="7">
        <v>46214</v>
      </c>
      <c r="H106" s="6">
        <v>6</v>
      </c>
      <c r="I106" s="7">
        <v>46227</v>
      </c>
      <c r="J106" s="7">
        <f t="shared" si="4"/>
        <v>46220</v>
      </c>
      <c r="K106" s="8">
        <v>75</v>
      </c>
      <c r="L106" s="9">
        <f t="shared" si="3"/>
        <v>7</v>
      </c>
      <c r="M106" s="9" t="str" cm="1">
        <f t="array" ref="M106">_xlfn.IFS(L106&gt;=10,"HIGH",L106=0,"LOW",L106&lt;=9,"MEDIUM")</f>
        <v>MEDIUM</v>
      </c>
      <c r="N106" s="9" cm="1">
        <f t="array" ref="N106">_xlfn.IFS(M106="HIGH",K106*L106,M106="MEDIUM",K106*L106,M106="LOW","NA")</f>
        <v>525</v>
      </c>
      <c r="O106" s="18" t="str">
        <f t="shared" si="5"/>
        <v>cleared</v>
      </c>
    </row>
    <row r="107" spans="1:15" x14ac:dyDescent="0.25">
      <c r="A107" s="17">
        <v>103</v>
      </c>
      <c r="B107" s="6" t="s">
        <v>140</v>
      </c>
      <c r="C107" s="6" t="s">
        <v>33</v>
      </c>
      <c r="D107" s="6" t="s">
        <v>34</v>
      </c>
      <c r="E107" s="6" t="s">
        <v>46</v>
      </c>
      <c r="F107" s="6" t="s">
        <v>29</v>
      </c>
      <c r="G107" s="7">
        <v>46247</v>
      </c>
      <c r="H107" s="6">
        <v>3</v>
      </c>
      <c r="I107" s="7">
        <v>46257</v>
      </c>
      <c r="J107" s="7">
        <f t="shared" si="4"/>
        <v>46250</v>
      </c>
      <c r="K107" s="8">
        <v>120</v>
      </c>
      <c r="L107" s="9">
        <f t="shared" si="3"/>
        <v>7</v>
      </c>
      <c r="M107" s="9" t="str" cm="1">
        <f t="array" ref="M107">_xlfn.IFS(L107&gt;=10,"HIGH",L107=0,"LOW",L107&lt;=9,"MEDIUM")</f>
        <v>MEDIUM</v>
      </c>
      <c r="N107" s="9" cm="1">
        <f t="array" ref="N107">_xlfn.IFS(M107="HIGH",K107*L107,M107="MEDIUM",K107*L107,M107="LOW","NA")</f>
        <v>840</v>
      </c>
      <c r="O107" s="18" t="str">
        <f t="shared" si="5"/>
        <v>cleared</v>
      </c>
    </row>
    <row r="108" spans="1:15" x14ac:dyDescent="0.25">
      <c r="A108" s="17">
        <v>104</v>
      </c>
      <c r="B108" s="6" t="s">
        <v>141</v>
      </c>
      <c r="C108" s="6" t="s">
        <v>11</v>
      </c>
      <c r="D108" s="6" t="s">
        <v>17</v>
      </c>
      <c r="E108" s="6" t="s">
        <v>35</v>
      </c>
      <c r="F108" s="6" t="s">
        <v>27</v>
      </c>
      <c r="G108" s="7">
        <v>46217</v>
      </c>
      <c r="H108" s="6">
        <v>5</v>
      </c>
      <c r="I108" s="7">
        <v>46218</v>
      </c>
      <c r="J108" s="7">
        <f t="shared" si="4"/>
        <v>46222</v>
      </c>
      <c r="K108" s="8">
        <v>75</v>
      </c>
      <c r="L108" s="9">
        <f t="shared" si="3"/>
        <v>0</v>
      </c>
      <c r="M108" s="9" t="str" cm="1">
        <f t="array" ref="M108">_xlfn.IFS(L108&gt;=10,"HIGH",L108=0,"LOW",L108&lt;=9,"MEDIUM")</f>
        <v>LOW</v>
      </c>
      <c r="N108" s="9" t="str" cm="1">
        <f t="array" ref="N108">_xlfn.IFS(M108="HIGH",K108*L108,M108="MEDIUM",K108*L108,M108="LOW","NA")</f>
        <v>NA</v>
      </c>
      <c r="O108" s="18" t="str">
        <f t="shared" si="5"/>
        <v>cleared</v>
      </c>
    </row>
    <row r="109" spans="1:15" x14ac:dyDescent="0.25">
      <c r="A109" s="17">
        <v>105</v>
      </c>
      <c r="B109" s="6" t="s">
        <v>142</v>
      </c>
      <c r="C109" s="6" t="s">
        <v>33</v>
      </c>
      <c r="D109" s="6" t="s">
        <v>54</v>
      </c>
      <c r="E109" s="6" t="s">
        <v>13</v>
      </c>
      <c r="F109" s="6" t="s">
        <v>14</v>
      </c>
      <c r="G109" s="7">
        <v>46199</v>
      </c>
      <c r="H109" s="6">
        <v>4</v>
      </c>
      <c r="I109" s="7">
        <v>46203</v>
      </c>
      <c r="J109" s="7">
        <f t="shared" si="4"/>
        <v>46203</v>
      </c>
      <c r="K109" s="8">
        <v>60</v>
      </c>
      <c r="L109" s="9">
        <f t="shared" si="3"/>
        <v>0</v>
      </c>
      <c r="M109" s="9" t="str" cm="1">
        <f t="array" ref="M109">_xlfn.IFS(L109&gt;=10,"HIGH",L109=0,"LOW",L109&lt;=9,"MEDIUM")</f>
        <v>LOW</v>
      </c>
      <c r="N109" s="9" t="str" cm="1">
        <f t="array" ref="N109">_xlfn.IFS(M109="HIGH",K109*L109,M109="MEDIUM",K109*L109,M109="LOW","NA")</f>
        <v>NA</v>
      </c>
      <c r="O109" s="18" t="str">
        <f t="shared" si="5"/>
        <v>cleared</v>
      </c>
    </row>
    <row r="110" spans="1:15" x14ac:dyDescent="0.25">
      <c r="A110" s="17">
        <v>106</v>
      </c>
      <c r="B110" s="6" t="s">
        <v>143</v>
      </c>
      <c r="C110" s="6" t="s">
        <v>11</v>
      </c>
      <c r="D110" s="6" t="s">
        <v>20</v>
      </c>
      <c r="E110" s="6" t="s">
        <v>42</v>
      </c>
      <c r="F110" s="6" t="s">
        <v>24</v>
      </c>
      <c r="G110" s="7">
        <v>46212</v>
      </c>
      <c r="H110" s="6">
        <v>5</v>
      </c>
      <c r="I110" s="7">
        <v>46218</v>
      </c>
      <c r="J110" s="7">
        <f t="shared" si="4"/>
        <v>46217</v>
      </c>
      <c r="K110" s="8">
        <v>90</v>
      </c>
      <c r="L110" s="9">
        <f t="shared" si="3"/>
        <v>1</v>
      </c>
      <c r="M110" s="9" t="str" cm="1">
        <f t="array" ref="M110">_xlfn.IFS(L110&gt;=10,"HIGH",L110=0,"LOW",L110&lt;=9,"MEDIUM")</f>
        <v>MEDIUM</v>
      </c>
      <c r="N110" s="9" cm="1">
        <f t="array" ref="N110">_xlfn.IFS(M110="HIGH",K110*L110,M110="MEDIUM",K110*L110,M110="LOW","NA")</f>
        <v>90</v>
      </c>
      <c r="O110" s="18" t="str">
        <f t="shared" si="5"/>
        <v>cleared</v>
      </c>
    </row>
    <row r="111" spans="1:15" x14ac:dyDescent="0.25">
      <c r="A111" s="17">
        <v>107</v>
      </c>
      <c r="B111" s="6" t="s">
        <v>144</v>
      </c>
      <c r="C111" s="6" t="s">
        <v>11</v>
      </c>
      <c r="D111" s="6" t="s">
        <v>31</v>
      </c>
      <c r="E111" s="6" t="s">
        <v>44</v>
      </c>
      <c r="F111" s="6" t="s">
        <v>14</v>
      </c>
      <c r="G111" s="7">
        <v>46255</v>
      </c>
      <c r="H111" s="6">
        <v>5</v>
      </c>
      <c r="I111" s="6"/>
      <c r="J111" s="7">
        <f t="shared" si="4"/>
        <v>46260</v>
      </c>
      <c r="K111" s="8">
        <v>110</v>
      </c>
      <c r="L111" s="9">
        <f t="shared" si="3"/>
        <v>0</v>
      </c>
      <c r="M111" s="9" t="str" cm="1">
        <f t="array" ref="M111">_xlfn.IFS(L111&gt;=10,"HIGH",L111=0,"LOW",L111&lt;=9,"MEDIUM")</f>
        <v>LOW</v>
      </c>
      <c r="N111" s="9" t="str" cm="1">
        <f t="array" ref="N111">_xlfn.IFS(M111="HIGH",K111*L111,M111="MEDIUM",K111*L111,M111="LOW","NA")</f>
        <v>NA</v>
      </c>
      <c r="O111" s="18" t="str">
        <f t="shared" si="5"/>
        <v>still in yard</v>
      </c>
    </row>
    <row r="112" spans="1:15" x14ac:dyDescent="0.25">
      <c r="A112" s="17">
        <v>108</v>
      </c>
      <c r="B112" s="6" t="s">
        <v>145</v>
      </c>
      <c r="C112" s="6" t="s">
        <v>33</v>
      </c>
      <c r="D112" s="6" t="s">
        <v>31</v>
      </c>
      <c r="E112" s="6" t="s">
        <v>13</v>
      </c>
      <c r="F112" s="6" t="s">
        <v>29</v>
      </c>
      <c r="G112" s="7">
        <v>46242</v>
      </c>
      <c r="H112" s="6">
        <v>4</v>
      </c>
      <c r="I112" s="6"/>
      <c r="J112" s="7">
        <f t="shared" si="4"/>
        <v>46246</v>
      </c>
      <c r="K112" s="8">
        <v>180</v>
      </c>
      <c r="L112" s="9">
        <f t="shared" si="3"/>
        <v>13</v>
      </c>
      <c r="M112" s="9" t="str" cm="1">
        <f t="array" ref="M112">_xlfn.IFS(L112&gt;=10,"HIGH",L112=0,"LOW",L112&lt;=9,"MEDIUM")</f>
        <v>HIGH</v>
      </c>
      <c r="N112" s="9" cm="1">
        <f t="array" ref="N112">_xlfn.IFS(M112="HIGH",K112*L112,M112="MEDIUM",K112*L112,M112="LOW","NA")</f>
        <v>2340</v>
      </c>
      <c r="O112" s="18" t="str">
        <f t="shared" si="5"/>
        <v>still in yard</v>
      </c>
    </row>
    <row r="113" spans="1:15" x14ac:dyDescent="0.25">
      <c r="A113" s="17">
        <v>109</v>
      </c>
      <c r="B113" s="6" t="s">
        <v>146</v>
      </c>
      <c r="C113" s="6" t="s">
        <v>11</v>
      </c>
      <c r="D113" s="6" t="s">
        <v>12</v>
      </c>
      <c r="E113" s="6" t="s">
        <v>21</v>
      </c>
      <c r="F113" s="6" t="s">
        <v>27</v>
      </c>
      <c r="G113" s="7">
        <v>46217</v>
      </c>
      <c r="H113" s="6">
        <v>5</v>
      </c>
      <c r="I113" s="7">
        <v>46221</v>
      </c>
      <c r="J113" s="7">
        <f t="shared" si="4"/>
        <v>46222</v>
      </c>
      <c r="K113" s="8">
        <v>130</v>
      </c>
      <c r="L113" s="9">
        <f t="shared" si="3"/>
        <v>0</v>
      </c>
      <c r="M113" s="9" t="str" cm="1">
        <f t="array" ref="M113">_xlfn.IFS(L113&gt;=10,"HIGH",L113=0,"LOW",L113&lt;=9,"MEDIUM")</f>
        <v>LOW</v>
      </c>
      <c r="N113" s="9" t="str" cm="1">
        <f t="array" ref="N113">_xlfn.IFS(M113="HIGH",K113*L113,M113="MEDIUM",K113*L113,M113="LOW","NA")</f>
        <v>NA</v>
      </c>
      <c r="O113" s="18" t="str">
        <f t="shared" si="5"/>
        <v>cleared</v>
      </c>
    </row>
    <row r="114" spans="1:15" x14ac:dyDescent="0.25">
      <c r="A114" s="17">
        <v>110</v>
      </c>
      <c r="B114" s="6" t="s">
        <v>147</v>
      </c>
      <c r="C114" s="6" t="s">
        <v>16</v>
      </c>
      <c r="D114" s="6" t="s">
        <v>17</v>
      </c>
      <c r="E114" s="6" t="s">
        <v>18</v>
      </c>
      <c r="F114" s="6" t="s">
        <v>29</v>
      </c>
      <c r="G114" s="7">
        <v>46238</v>
      </c>
      <c r="H114" s="6">
        <v>3</v>
      </c>
      <c r="I114" s="7">
        <v>46239</v>
      </c>
      <c r="J114" s="7">
        <f t="shared" si="4"/>
        <v>46241</v>
      </c>
      <c r="K114" s="8">
        <v>180</v>
      </c>
      <c r="L114" s="9">
        <f t="shared" si="3"/>
        <v>0</v>
      </c>
      <c r="M114" s="9" t="str" cm="1">
        <f t="array" ref="M114">_xlfn.IFS(L114&gt;=10,"HIGH",L114=0,"LOW",L114&lt;=9,"MEDIUM")</f>
        <v>LOW</v>
      </c>
      <c r="N114" s="9" t="str" cm="1">
        <f t="array" ref="N114">_xlfn.IFS(M114="HIGH",K114*L114,M114="MEDIUM",K114*L114,M114="LOW","NA")</f>
        <v>NA</v>
      </c>
      <c r="O114" s="18" t="str">
        <f t="shared" si="5"/>
        <v>cleared</v>
      </c>
    </row>
    <row r="115" spans="1:15" x14ac:dyDescent="0.25">
      <c r="A115" s="17">
        <v>111</v>
      </c>
      <c r="B115" s="6" t="s">
        <v>148</v>
      </c>
      <c r="C115" s="6" t="s">
        <v>11</v>
      </c>
      <c r="D115" s="6" t="s">
        <v>12</v>
      </c>
      <c r="E115" s="6" t="s">
        <v>13</v>
      </c>
      <c r="F115" s="6" t="s">
        <v>14</v>
      </c>
      <c r="G115" s="7">
        <v>46249</v>
      </c>
      <c r="H115" s="6">
        <v>5</v>
      </c>
      <c r="I115" s="7">
        <v>46250</v>
      </c>
      <c r="J115" s="7">
        <f t="shared" si="4"/>
        <v>46254</v>
      </c>
      <c r="K115" s="8">
        <v>75</v>
      </c>
      <c r="L115" s="9">
        <f t="shared" si="3"/>
        <v>0</v>
      </c>
      <c r="M115" s="9" t="str" cm="1">
        <f t="array" ref="M115">_xlfn.IFS(L115&gt;=10,"HIGH",L115=0,"LOW",L115&lt;=9,"MEDIUM")</f>
        <v>LOW</v>
      </c>
      <c r="N115" s="9" t="str" cm="1">
        <f t="array" ref="N115">_xlfn.IFS(M115="HIGH",K115*L115,M115="MEDIUM",K115*L115,M115="LOW","NA")</f>
        <v>NA</v>
      </c>
      <c r="O115" s="18" t="str">
        <f t="shared" si="5"/>
        <v>cleared</v>
      </c>
    </row>
    <row r="116" spans="1:15" x14ac:dyDescent="0.25">
      <c r="A116" s="17">
        <v>112</v>
      </c>
      <c r="B116" s="6" t="s">
        <v>149</v>
      </c>
      <c r="C116" s="6" t="s">
        <v>16</v>
      </c>
      <c r="D116" s="6" t="s">
        <v>49</v>
      </c>
      <c r="E116" s="6" t="s">
        <v>35</v>
      </c>
      <c r="F116" s="6" t="s">
        <v>29</v>
      </c>
      <c r="G116" s="7">
        <v>46236</v>
      </c>
      <c r="H116" s="6">
        <v>3</v>
      </c>
      <c r="I116" s="6"/>
      <c r="J116" s="7">
        <f t="shared" si="4"/>
        <v>46239</v>
      </c>
      <c r="K116" s="8">
        <v>150</v>
      </c>
      <c r="L116" s="9">
        <f t="shared" si="3"/>
        <v>20</v>
      </c>
      <c r="M116" s="9" t="str" cm="1">
        <f t="array" ref="M116">_xlfn.IFS(L116&gt;=10,"HIGH",L116=0,"LOW",L116&lt;=9,"MEDIUM")</f>
        <v>HIGH</v>
      </c>
      <c r="N116" s="9" cm="1">
        <f t="array" ref="N116">_xlfn.IFS(M116="HIGH",K116*L116,M116="MEDIUM",K116*L116,M116="LOW","NA")</f>
        <v>3000</v>
      </c>
      <c r="O116" s="18" t="str">
        <f t="shared" si="5"/>
        <v>still in yard</v>
      </c>
    </row>
    <row r="117" spans="1:15" x14ac:dyDescent="0.25">
      <c r="A117" s="17">
        <v>113</v>
      </c>
      <c r="B117" s="6" t="s">
        <v>150</v>
      </c>
      <c r="C117" s="6" t="s">
        <v>37</v>
      </c>
      <c r="D117" s="6" t="s">
        <v>17</v>
      </c>
      <c r="E117" s="6" t="s">
        <v>42</v>
      </c>
      <c r="F117" s="6" t="s">
        <v>24</v>
      </c>
      <c r="G117" s="7">
        <v>46221</v>
      </c>
      <c r="H117" s="6">
        <v>5</v>
      </c>
      <c r="I117" s="7">
        <v>46222</v>
      </c>
      <c r="J117" s="7">
        <f t="shared" si="4"/>
        <v>46226</v>
      </c>
      <c r="K117" s="8">
        <v>75</v>
      </c>
      <c r="L117" s="9">
        <f t="shared" si="3"/>
        <v>0</v>
      </c>
      <c r="M117" s="9" t="str" cm="1">
        <f t="array" ref="M117">_xlfn.IFS(L117&gt;=10,"HIGH",L117=0,"LOW",L117&lt;=9,"MEDIUM")</f>
        <v>LOW</v>
      </c>
      <c r="N117" s="9" t="str" cm="1">
        <f t="array" ref="N117">_xlfn.IFS(M117="HIGH",K117*L117,M117="MEDIUM",K117*L117,M117="LOW","NA")</f>
        <v>NA</v>
      </c>
      <c r="O117" s="18" t="str">
        <f t="shared" si="5"/>
        <v>cleared</v>
      </c>
    </row>
    <row r="118" spans="1:15" x14ac:dyDescent="0.25">
      <c r="A118" s="17">
        <v>114</v>
      </c>
      <c r="B118" s="6" t="s">
        <v>151</v>
      </c>
      <c r="C118" s="6" t="s">
        <v>33</v>
      </c>
      <c r="D118" s="6" t="s">
        <v>20</v>
      </c>
      <c r="E118" s="6" t="s">
        <v>23</v>
      </c>
      <c r="F118" s="6" t="s">
        <v>27</v>
      </c>
      <c r="G118" s="7">
        <v>46228</v>
      </c>
      <c r="H118" s="6">
        <v>5</v>
      </c>
      <c r="I118" s="6"/>
      <c r="J118" s="7">
        <f t="shared" si="4"/>
        <v>46233</v>
      </c>
      <c r="K118" s="8">
        <v>130</v>
      </c>
      <c r="L118" s="9">
        <f t="shared" si="3"/>
        <v>26</v>
      </c>
      <c r="M118" s="9" t="str" cm="1">
        <f t="array" ref="M118">_xlfn.IFS(L118&gt;=10,"HIGH",L118=0,"LOW",L118&lt;=9,"MEDIUM")</f>
        <v>HIGH</v>
      </c>
      <c r="N118" s="9" cm="1">
        <f t="array" ref="N118">_xlfn.IFS(M118="HIGH",K118*L118,M118="MEDIUM",K118*L118,M118="LOW","NA")</f>
        <v>3380</v>
      </c>
      <c r="O118" s="18" t="str">
        <f t="shared" si="5"/>
        <v>still in yard</v>
      </c>
    </row>
    <row r="119" spans="1:15" x14ac:dyDescent="0.25">
      <c r="A119" s="17">
        <v>115</v>
      </c>
      <c r="B119" s="6" t="s">
        <v>152</v>
      </c>
      <c r="C119" s="6" t="s">
        <v>37</v>
      </c>
      <c r="D119" s="6" t="s">
        <v>34</v>
      </c>
      <c r="E119" s="6" t="s">
        <v>42</v>
      </c>
      <c r="F119" s="6" t="s">
        <v>29</v>
      </c>
      <c r="G119" s="7">
        <v>46226</v>
      </c>
      <c r="H119" s="6">
        <v>3</v>
      </c>
      <c r="I119" s="7">
        <v>46233</v>
      </c>
      <c r="J119" s="7">
        <f t="shared" si="4"/>
        <v>46229</v>
      </c>
      <c r="K119" s="8">
        <v>120</v>
      </c>
      <c r="L119" s="9">
        <f t="shared" si="3"/>
        <v>4</v>
      </c>
      <c r="M119" s="9" t="str" cm="1">
        <f t="array" ref="M119">_xlfn.IFS(L119&gt;=10,"HIGH",L119=0,"LOW",L119&lt;=9,"MEDIUM")</f>
        <v>MEDIUM</v>
      </c>
      <c r="N119" s="9" cm="1">
        <f t="array" ref="N119">_xlfn.IFS(M119="HIGH",K119*L119,M119="MEDIUM",K119*L119,M119="LOW","NA")</f>
        <v>480</v>
      </c>
      <c r="O119" s="18" t="str">
        <f t="shared" si="5"/>
        <v>cleared</v>
      </c>
    </row>
    <row r="120" spans="1:15" x14ac:dyDescent="0.25">
      <c r="A120" s="17">
        <v>116</v>
      </c>
      <c r="B120" s="6" t="s">
        <v>153</v>
      </c>
      <c r="C120" s="6" t="s">
        <v>16</v>
      </c>
      <c r="D120" s="6" t="s">
        <v>41</v>
      </c>
      <c r="E120" s="6" t="s">
        <v>44</v>
      </c>
      <c r="F120" s="6" t="s">
        <v>14</v>
      </c>
      <c r="G120" s="7">
        <v>46258</v>
      </c>
      <c r="H120" s="6">
        <v>6</v>
      </c>
      <c r="I120" s="7">
        <v>46259</v>
      </c>
      <c r="J120" s="7">
        <f t="shared" si="4"/>
        <v>46264</v>
      </c>
      <c r="K120" s="8">
        <v>90</v>
      </c>
      <c r="L120" s="9">
        <f t="shared" si="3"/>
        <v>0</v>
      </c>
      <c r="M120" s="9" t="str" cm="1">
        <f t="array" ref="M120">_xlfn.IFS(L120&gt;=10,"HIGH",L120=0,"LOW",L120&lt;=9,"MEDIUM")</f>
        <v>LOW</v>
      </c>
      <c r="N120" s="9" t="str" cm="1">
        <f t="array" ref="N120">_xlfn.IFS(M120="HIGH",K120*L120,M120="MEDIUM",K120*L120,M120="LOW","NA")</f>
        <v>NA</v>
      </c>
      <c r="O120" s="18" t="str">
        <f t="shared" si="5"/>
        <v>cleared</v>
      </c>
    </row>
    <row r="121" spans="1:15" x14ac:dyDescent="0.25">
      <c r="A121" s="17">
        <v>117</v>
      </c>
      <c r="B121" s="6" t="s">
        <v>154</v>
      </c>
      <c r="C121" s="6" t="s">
        <v>16</v>
      </c>
      <c r="D121" s="6" t="s">
        <v>31</v>
      </c>
      <c r="E121" s="6" t="s">
        <v>18</v>
      </c>
      <c r="F121" s="6" t="s">
        <v>14</v>
      </c>
      <c r="G121" s="7">
        <v>46252</v>
      </c>
      <c r="H121" s="6">
        <v>5</v>
      </c>
      <c r="I121" s="7">
        <v>46259</v>
      </c>
      <c r="J121" s="7">
        <f t="shared" si="4"/>
        <v>46257</v>
      </c>
      <c r="K121" s="8">
        <v>130</v>
      </c>
      <c r="L121" s="9">
        <f t="shared" si="3"/>
        <v>2</v>
      </c>
      <c r="M121" s="9" t="str" cm="1">
        <f t="array" ref="M121">_xlfn.IFS(L121&gt;=10,"HIGH",L121=0,"LOW",L121&lt;=9,"MEDIUM")</f>
        <v>MEDIUM</v>
      </c>
      <c r="N121" s="9" cm="1">
        <f t="array" ref="N121">_xlfn.IFS(M121="HIGH",K121*L121,M121="MEDIUM",K121*L121,M121="LOW","NA")</f>
        <v>260</v>
      </c>
      <c r="O121" s="18" t="str">
        <f t="shared" si="5"/>
        <v>cleared</v>
      </c>
    </row>
    <row r="122" spans="1:15" x14ac:dyDescent="0.25">
      <c r="A122" s="17">
        <v>118</v>
      </c>
      <c r="B122" s="6" t="s">
        <v>155</v>
      </c>
      <c r="C122" s="6" t="s">
        <v>37</v>
      </c>
      <c r="D122" s="6" t="s">
        <v>56</v>
      </c>
      <c r="E122" s="6" t="s">
        <v>39</v>
      </c>
      <c r="F122" s="6" t="s">
        <v>27</v>
      </c>
      <c r="G122" s="7">
        <v>46201</v>
      </c>
      <c r="H122" s="6">
        <v>7</v>
      </c>
      <c r="I122" s="6"/>
      <c r="J122" s="7">
        <f t="shared" si="4"/>
        <v>46208</v>
      </c>
      <c r="K122" s="8">
        <v>60</v>
      </c>
      <c r="L122" s="9">
        <f t="shared" si="3"/>
        <v>51</v>
      </c>
      <c r="M122" s="9" t="str" cm="1">
        <f t="array" ref="M122">_xlfn.IFS(L122&gt;=10,"HIGH",L122=0,"LOW",L122&lt;=9,"MEDIUM")</f>
        <v>HIGH</v>
      </c>
      <c r="N122" s="9" cm="1">
        <f t="array" ref="N122">_xlfn.IFS(M122="HIGH",K122*L122,M122="MEDIUM",K122*L122,M122="LOW","NA")</f>
        <v>3060</v>
      </c>
      <c r="O122" s="18" t="str">
        <f t="shared" si="5"/>
        <v>still in yard</v>
      </c>
    </row>
    <row r="123" spans="1:15" x14ac:dyDescent="0.25">
      <c r="A123" s="17">
        <v>119</v>
      </c>
      <c r="B123" s="6" t="s">
        <v>156</v>
      </c>
      <c r="C123" s="6" t="s">
        <v>16</v>
      </c>
      <c r="D123" s="6" t="s">
        <v>26</v>
      </c>
      <c r="E123" s="6" t="s">
        <v>21</v>
      </c>
      <c r="F123" s="6" t="s">
        <v>24</v>
      </c>
      <c r="G123" s="7">
        <v>46231</v>
      </c>
      <c r="H123" s="6">
        <v>4</v>
      </c>
      <c r="I123" s="7">
        <v>46236</v>
      </c>
      <c r="J123" s="7">
        <f t="shared" si="4"/>
        <v>46235</v>
      </c>
      <c r="K123" s="8">
        <v>90</v>
      </c>
      <c r="L123" s="9">
        <f t="shared" si="3"/>
        <v>1</v>
      </c>
      <c r="M123" s="9" t="str" cm="1">
        <f t="array" ref="M123">_xlfn.IFS(L123&gt;=10,"HIGH",L123=0,"LOW",L123&lt;=9,"MEDIUM")</f>
        <v>MEDIUM</v>
      </c>
      <c r="N123" s="9" cm="1">
        <f t="array" ref="N123">_xlfn.IFS(M123="HIGH",K123*L123,M123="MEDIUM",K123*L123,M123="LOW","NA")</f>
        <v>90</v>
      </c>
      <c r="O123" s="18" t="str">
        <f t="shared" si="5"/>
        <v>cleared</v>
      </c>
    </row>
    <row r="124" spans="1:15" x14ac:dyDescent="0.25">
      <c r="A124" s="17">
        <v>120</v>
      </c>
      <c r="B124" s="6" t="s">
        <v>157</v>
      </c>
      <c r="C124" s="6" t="s">
        <v>16</v>
      </c>
      <c r="D124" s="6" t="s">
        <v>26</v>
      </c>
      <c r="E124" s="6" t="s">
        <v>18</v>
      </c>
      <c r="F124" s="6" t="s">
        <v>14</v>
      </c>
      <c r="G124" s="7">
        <v>46217</v>
      </c>
      <c r="H124" s="6">
        <v>6</v>
      </c>
      <c r="I124" s="7">
        <v>46225</v>
      </c>
      <c r="J124" s="7">
        <f t="shared" si="4"/>
        <v>46223</v>
      </c>
      <c r="K124" s="8">
        <v>75</v>
      </c>
      <c r="L124" s="9">
        <f t="shared" si="3"/>
        <v>2</v>
      </c>
      <c r="M124" s="9" t="str" cm="1">
        <f t="array" ref="M124">_xlfn.IFS(L124&gt;=10,"HIGH",L124=0,"LOW",L124&lt;=9,"MEDIUM")</f>
        <v>MEDIUM</v>
      </c>
      <c r="N124" s="9" cm="1">
        <f t="array" ref="N124">_xlfn.IFS(M124="HIGH",K124*L124,M124="MEDIUM",K124*L124,M124="LOW","NA")</f>
        <v>150</v>
      </c>
      <c r="O124" s="18" t="str">
        <f t="shared" si="5"/>
        <v>cleared</v>
      </c>
    </row>
    <row r="125" spans="1:15" x14ac:dyDescent="0.25">
      <c r="A125" s="17">
        <v>121</v>
      </c>
      <c r="B125" s="6" t="s">
        <v>158</v>
      </c>
      <c r="C125" s="6" t="s">
        <v>11</v>
      </c>
      <c r="D125" s="6" t="s">
        <v>56</v>
      </c>
      <c r="E125" s="6" t="s">
        <v>18</v>
      </c>
      <c r="F125" s="6" t="s">
        <v>14</v>
      </c>
      <c r="G125" s="7">
        <v>46195</v>
      </c>
      <c r="H125" s="6">
        <v>7</v>
      </c>
      <c r="I125" s="7">
        <v>46196</v>
      </c>
      <c r="J125" s="7">
        <f t="shared" si="4"/>
        <v>46202</v>
      </c>
      <c r="K125" s="8">
        <v>130</v>
      </c>
      <c r="L125" s="9">
        <f t="shared" si="3"/>
        <v>0</v>
      </c>
      <c r="M125" s="9" t="str" cm="1">
        <f t="array" ref="M125">_xlfn.IFS(L125&gt;=10,"HIGH",L125=0,"LOW",L125&lt;=9,"MEDIUM")</f>
        <v>LOW</v>
      </c>
      <c r="N125" s="9" t="str" cm="1">
        <f t="array" ref="N125">_xlfn.IFS(M125="HIGH",K125*L125,M125="MEDIUM",K125*L125,M125="LOW","NA")</f>
        <v>NA</v>
      </c>
      <c r="O125" s="18" t="str">
        <f t="shared" si="5"/>
        <v>cleared</v>
      </c>
    </row>
    <row r="126" spans="1:15" x14ac:dyDescent="0.25">
      <c r="A126" s="17">
        <v>122</v>
      </c>
      <c r="B126" s="6" t="s">
        <v>159</v>
      </c>
      <c r="C126" s="6" t="s">
        <v>37</v>
      </c>
      <c r="D126" s="6" t="s">
        <v>17</v>
      </c>
      <c r="E126" s="6" t="s">
        <v>42</v>
      </c>
      <c r="F126" s="6" t="s">
        <v>27</v>
      </c>
      <c r="G126" s="7">
        <v>46208</v>
      </c>
      <c r="H126" s="6">
        <v>5</v>
      </c>
      <c r="I126" s="7">
        <v>46216</v>
      </c>
      <c r="J126" s="7">
        <f t="shared" si="4"/>
        <v>46213</v>
      </c>
      <c r="K126" s="8">
        <v>90</v>
      </c>
      <c r="L126" s="9">
        <f t="shared" si="3"/>
        <v>3</v>
      </c>
      <c r="M126" s="9" t="str" cm="1">
        <f t="array" ref="M126">_xlfn.IFS(L126&gt;=10,"HIGH",L126=0,"LOW",L126&lt;=9,"MEDIUM")</f>
        <v>MEDIUM</v>
      </c>
      <c r="N126" s="9" cm="1">
        <f t="array" ref="N126">_xlfn.IFS(M126="HIGH",K126*L126,M126="MEDIUM",K126*L126,M126="LOW","NA")</f>
        <v>270</v>
      </c>
      <c r="O126" s="18" t="str">
        <f t="shared" si="5"/>
        <v>cleared</v>
      </c>
    </row>
    <row r="127" spans="1:15" x14ac:dyDescent="0.25">
      <c r="A127" s="17">
        <v>123</v>
      </c>
      <c r="B127" s="6" t="s">
        <v>160</v>
      </c>
      <c r="C127" s="6" t="s">
        <v>11</v>
      </c>
      <c r="D127" s="6" t="s">
        <v>49</v>
      </c>
      <c r="E127" s="6" t="s">
        <v>44</v>
      </c>
      <c r="F127" s="6" t="s">
        <v>24</v>
      </c>
      <c r="G127" s="7">
        <v>46186</v>
      </c>
      <c r="H127" s="6">
        <v>5</v>
      </c>
      <c r="I127" s="7">
        <v>46197</v>
      </c>
      <c r="J127" s="7">
        <f t="shared" si="4"/>
        <v>46191</v>
      </c>
      <c r="K127" s="8">
        <v>90</v>
      </c>
      <c r="L127" s="9">
        <f t="shared" si="3"/>
        <v>6</v>
      </c>
      <c r="M127" s="9" t="str" cm="1">
        <f t="array" ref="M127">_xlfn.IFS(L127&gt;=10,"HIGH",L127=0,"LOW",L127&lt;=9,"MEDIUM")</f>
        <v>MEDIUM</v>
      </c>
      <c r="N127" s="9" cm="1">
        <f t="array" ref="N127">_xlfn.IFS(M127="HIGH",K127*L127,M127="MEDIUM",K127*L127,M127="LOW","NA")</f>
        <v>540</v>
      </c>
      <c r="O127" s="18" t="str">
        <f t="shared" si="5"/>
        <v>cleared</v>
      </c>
    </row>
    <row r="128" spans="1:15" x14ac:dyDescent="0.25">
      <c r="A128" s="17">
        <v>124</v>
      </c>
      <c r="B128" s="6" t="s">
        <v>161</v>
      </c>
      <c r="C128" s="6" t="s">
        <v>37</v>
      </c>
      <c r="D128" s="6" t="s">
        <v>49</v>
      </c>
      <c r="E128" s="6" t="s">
        <v>13</v>
      </c>
      <c r="F128" s="6" t="s">
        <v>27</v>
      </c>
      <c r="G128" s="7">
        <v>46258</v>
      </c>
      <c r="H128" s="6">
        <v>6</v>
      </c>
      <c r="I128" s="7">
        <v>46259</v>
      </c>
      <c r="J128" s="7">
        <f t="shared" si="4"/>
        <v>46264</v>
      </c>
      <c r="K128" s="8">
        <v>110</v>
      </c>
      <c r="L128" s="9">
        <f t="shared" si="3"/>
        <v>0</v>
      </c>
      <c r="M128" s="9" t="str" cm="1">
        <f t="array" ref="M128">_xlfn.IFS(L128&gt;=10,"HIGH",L128=0,"LOW",L128&lt;=9,"MEDIUM")</f>
        <v>LOW</v>
      </c>
      <c r="N128" s="9" t="str" cm="1">
        <f t="array" ref="N128">_xlfn.IFS(M128="HIGH",K128*L128,M128="MEDIUM",K128*L128,M128="LOW","NA")</f>
        <v>NA</v>
      </c>
      <c r="O128" s="18" t="str">
        <f t="shared" si="5"/>
        <v>cleared</v>
      </c>
    </row>
    <row r="129" spans="1:15" x14ac:dyDescent="0.25">
      <c r="A129" s="17">
        <v>125</v>
      </c>
      <c r="B129" s="6" t="s">
        <v>162</v>
      </c>
      <c r="C129" s="6" t="s">
        <v>16</v>
      </c>
      <c r="D129" s="6" t="s">
        <v>56</v>
      </c>
      <c r="E129" s="6" t="s">
        <v>13</v>
      </c>
      <c r="F129" s="6" t="s">
        <v>24</v>
      </c>
      <c r="G129" s="7">
        <v>46200</v>
      </c>
      <c r="H129" s="6">
        <v>5</v>
      </c>
      <c r="I129" s="6"/>
      <c r="J129" s="7">
        <f t="shared" si="4"/>
        <v>46205</v>
      </c>
      <c r="K129" s="8">
        <v>60</v>
      </c>
      <c r="L129" s="9">
        <f t="shared" si="3"/>
        <v>54</v>
      </c>
      <c r="M129" s="9" t="str" cm="1">
        <f t="array" ref="M129">_xlfn.IFS(L129&gt;=10,"HIGH",L129=0,"LOW",L129&lt;=9,"MEDIUM")</f>
        <v>HIGH</v>
      </c>
      <c r="N129" s="9" cm="1">
        <f t="array" ref="N129">_xlfn.IFS(M129="HIGH",K129*L129,M129="MEDIUM",K129*L129,M129="LOW","NA")</f>
        <v>3240</v>
      </c>
      <c r="O129" s="18" t="str">
        <f t="shared" si="5"/>
        <v>still in yard</v>
      </c>
    </row>
    <row r="130" spans="1:15" x14ac:dyDescent="0.25">
      <c r="A130" s="17">
        <v>126</v>
      </c>
      <c r="B130" s="6" t="s">
        <v>163</v>
      </c>
      <c r="C130" s="6" t="s">
        <v>37</v>
      </c>
      <c r="D130" s="6" t="s">
        <v>49</v>
      </c>
      <c r="E130" s="6" t="s">
        <v>42</v>
      </c>
      <c r="F130" s="6" t="s">
        <v>24</v>
      </c>
      <c r="G130" s="7">
        <v>46194</v>
      </c>
      <c r="H130" s="6">
        <v>5</v>
      </c>
      <c r="I130" s="6"/>
      <c r="J130" s="7">
        <f t="shared" si="4"/>
        <v>46199</v>
      </c>
      <c r="K130" s="8">
        <v>90</v>
      </c>
      <c r="L130" s="9">
        <f t="shared" si="3"/>
        <v>60</v>
      </c>
      <c r="M130" s="9" t="str" cm="1">
        <f t="array" ref="M130">_xlfn.IFS(L130&gt;=10,"HIGH",L130=0,"LOW",L130&lt;=9,"MEDIUM")</f>
        <v>HIGH</v>
      </c>
      <c r="N130" s="9" cm="1">
        <f t="array" ref="N130">_xlfn.IFS(M130="HIGH",K130*L130,M130="MEDIUM",K130*L130,M130="LOW","NA")</f>
        <v>5400</v>
      </c>
      <c r="O130" s="18" t="str">
        <f t="shared" si="5"/>
        <v>still in yard</v>
      </c>
    </row>
    <row r="131" spans="1:15" x14ac:dyDescent="0.25">
      <c r="A131" s="17">
        <v>127</v>
      </c>
      <c r="B131" s="6" t="s">
        <v>164</v>
      </c>
      <c r="C131" s="6" t="s">
        <v>37</v>
      </c>
      <c r="D131" s="6" t="s">
        <v>17</v>
      </c>
      <c r="E131" s="6" t="s">
        <v>23</v>
      </c>
      <c r="F131" s="6" t="s">
        <v>14</v>
      </c>
      <c r="G131" s="7">
        <v>46245</v>
      </c>
      <c r="H131" s="6">
        <v>6</v>
      </c>
      <c r="I131" s="7">
        <v>46254</v>
      </c>
      <c r="J131" s="7">
        <f t="shared" si="4"/>
        <v>46251</v>
      </c>
      <c r="K131" s="8">
        <v>75</v>
      </c>
      <c r="L131" s="9">
        <f t="shared" si="3"/>
        <v>3</v>
      </c>
      <c r="M131" s="9" t="str" cm="1">
        <f t="array" ref="M131">_xlfn.IFS(L131&gt;=10,"HIGH",L131=0,"LOW",L131&lt;=9,"MEDIUM")</f>
        <v>MEDIUM</v>
      </c>
      <c r="N131" s="9" cm="1">
        <f t="array" ref="N131">_xlfn.IFS(M131="HIGH",K131*L131,M131="MEDIUM",K131*L131,M131="LOW","NA")</f>
        <v>225</v>
      </c>
      <c r="O131" s="18" t="str">
        <f t="shared" si="5"/>
        <v>cleared</v>
      </c>
    </row>
    <row r="132" spans="1:15" x14ac:dyDescent="0.25">
      <c r="A132" s="17">
        <v>128</v>
      </c>
      <c r="B132" s="6" t="s">
        <v>165</v>
      </c>
      <c r="C132" s="6" t="s">
        <v>11</v>
      </c>
      <c r="D132" s="6" t="s">
        <v>12</v>
      </c>
      <c r="E132" s="6" t="s">
        <v>44</v>
      </c>
      <c r="F132" s="6" t="s">
        <v>29</v>
      </c>
      <c r="G132" s="7">
        <v>46218</v>
      </c>
      <c r="H132" s="6">
        <v>3</v>
      </c>
      <c r="I132" s="7">
        <v>46219</v>
      </c>
      <c r="J132" s="7">
        <f t="shared" si="4"/>
        <v>46221</v>
      </c>
      <c r="K132" s="8">
        <v>180</v>
      </c>
      <c r="L132" s="9">
        <f t="shared" si="3"/>
        <v>0</v>
      </c>
      <c r="M132" s="9" t="str" cm="1">
        <f t="array" ref="M132">_xlfn.IFS(L132&gt;=10,"HIGH",L132=0,"LOW",L132&lt;=9,"MEDIUM")</f>
        <v>LOW</v>
      </c>
      <c r="N132" s="9" t="str" cm="1">
        <f t="array" ref="N132">_xlfn.IFS(M132="HIGH",K132*L132,M132="MEDIUM",K132*L132,M132="LOW","NA")</f>
        <v>NA</v>
      </c>
      <c r="O132" s="18" t="str">
        <f t="shared" si="5"/>
        <v>cleared</v>
      </c>
    </row>
    <row r="133" spans="1:15" x14ac:dyDescent="0.25">
      <c r="A133" s="17">
        <v>129</v>
      </c>
      <c r="B133" s="6" t="s">
        <v>166</v>
      </c>
      <c r="C133" s="6" t="s">
        <v>33</v>
      </c>
      <c r="D133" s="6" t="s">
        <v>56</v>
      </c>
      <c r="E133" s="6" t="s">
        <v>21</v>
      </c>
      <c r="F133" s="6" t="s">
        <v>27</v>
      </c>
      <c r="G133" s="7">
        <v>46177</v>
      </c>
      <c r="H133" s="6">
        <v>5</v>
      </c>
      <c r="I133" s="7">
        <v>46180</v>
      </c>
      <c r="J133" s="7">
        <f t="shared" si="4"/>
        <v>46182</v>
      </c>
      <c r="K133" s="8">
        <v>110</v>
      </c>
      <c r="L133" s="9">
        <f t="shared" ref="L133:L196" si="6">MAX(0, IF(I133="", $C$2-J133, I133-J133))</f>
        <v>0</v>
      </c>
      <c r="M133" s="9" t="str" cm="1">
        <f t="array" ref="M133">_xlfn.IFS(L133&gt;=10,"HIGH",L133=0,"LOW",L133&lt;=9,"MEDIUM")</f>
        <v>LOW</v>
      </c>
      <c r="N133" s="9" t="str" cm="1">
        <f t="array" ref="N133">_xlfn.IFS(M133="HIGH",K133*L133,M133="MEDIUM",K133*L133,M133="LOW","NA")</f>
        <v>NA</v>
      </c>
      <c r="O133" s="18" t="str">
        <f t="shared" si="5"/>
        <v>cleared</v>
      </c>
    </row>
    <row r="134" spans="1:15" x14ac:dyDescent="0.25">
      <c r="A134" s="17">
        <v>130</v>
      </c>
      <c r="B134" s="6" t="s">
        <v>167</v>
      </c>
      <c r="C134" s="6" t="s">
        <v>37</v>
      </c>
      <c r="D134" s="6" t="s">
        <v>26</v>
      </c>
      <c r="E134" s="6" t="s">
        <v>18</v>
      </c>
      <c r="F134" s="6" t="s">
        <v>14</v>
      </c>
      <c r="G134" s="7">
        <v>46207</v>
      </c>
      <c r="H134" s="6">
        <v>7</v>
      </c>
      <c r="I134" s="6"/>
      <c r="J134" s="7">
        <f t="shared" ref="J134:J197" si="7">G134+H134</f>
        <v>46214</v>
      </c>
      <c r="K134" s="8">
        <v>90</v>
      </c>
      <c r="L134" s="9">
        <f t="shared" si="6"/>
        <v>45</v>
      </c>
      <c r="M134" s="9" t="str" cm="1">
        <f t="array" ref="M134">_xlfn.IFS(L134&gt;=10,"HIGH",L134=0,"LOW",L134&lt;=9,"MEDIUM")</f>
        <v>HIGH</v>
      </c>
      <c r="N134" s="9" cm="1">
        <f t="array" ref="N134">_xlfn.IFS(M134="HIGH",K134*L134,M134="MEDIUM",K134*L134,M134="LOW","NA")</f>
        <v>4050</v>
      </c>
      <c r="O134" s="18" t="str">
        <f t="shared" ref="O134:O197" si="8">IF(I134="","still in yard","cleared")</f>
        <v>still in yard</v>
      </c>
    </row>
    <row r="135" spans="1:15" x14ac:dyDescent="0.25">
      <c r="A135" s="17">
        <v>131</v>
      </c>
      <c r="B135" s="6" t="s">
        <v>168</v>
      </c>
      <c r="C135" s="6" t="s">
        <v>16</v>
      </c>
      <c r="D135" s="6" t="s">
        <v>12</v>
      </c>
      <c r="E135" s="6" t="s">
        <v>18</v>
      </c>
      <c r="F135" s="6" t="s">
        <v>27</v>
      </c>
      <c r="G135" s="7">
        <v>46253</v>
      </c>
      <c r="H135" s="6">
        <v>7</v>
      </c>
      <c r="I135" s="7">
        <v>46258</v>
      </c>
      <c r="J135" s="7">
        <f t="shared" si="7"/>
        <v>46260</v>
      </c>
      <c r="K135" s="8">
        <v>60</v>
      </c>
      <c r="L135" s="9">
        <f t="shared" si="6"/>
        <v>0</v>
      </c>
      <c r="M135" s="9" t="str" cm="1">
        <f t="array" ref="M135">_xlfn.IFS(L135&gt;=10,"HIGH",L135=0,"LOW",L135&lt;=9,"MEDIUM")</f>
        <v>LOW</v>
      </c>
      <c r="N135" s="9" t="str" cm="1">
        <f t="array" ref="N135">_xlfn.IFS(M135="HIGH",K135*L135,M135="MEDIUM",K135*L135,M135="LOW","NA")</f>
        <v>NA</v>
      </c>
      <c r="O135" s="18" t="str">
        <f t="shared" si="8"/>
        <v>cleared</v>
      </c>
    </row>
    <row r="136" spans="1:15" x14ac:dyDescent="0.25">
      <c r="A136" s="17">
        <v>132</v>
      </c>
      <c r="B136" s="6" t="s">
        <v>169</v>
      </c>
      <c r="C136" s="6" t="s">
        <v>11</v>
      </c>
      <c r="D136" s="6" t="s">
        <v>56</v>
      </c>
      <c r="E136" s="6" t="s">
        <v>13</v>
      </c>
      <c r="F136" s="6" t="s">
        <v>29</v>
      </c>
      <c r="G136" s="7">
        <v>46188</v>
      </c>
      <c r="H136" s="6">
        <v>4</v>
      </c>
      <c r="I136" s="7">
        <v>46189</v>
      </c>
      <c r="J136" s="7">
        <f t="shared" si="7"/>
        <v>46192</v>
      </c>
      <c r="K136" s="8">
        <v>120</v>
      </c>
      <c r="L136" s="9">
        <f t="shared" si="6"/>
        <v>0</v>
      </c>
      <c r="M136" s="9" t="str" cm="1">
        <f t="array" ref="M136">_xlfn.IFS(L136&gt;=10,"HIGH",L136=0,"LOW",L136&lt;=9,"MEDIUM")</f>
        <v>LOW</v>
      </c>
      <c r="N136" s="9" t="str" cm="1">
        <f t="array" ref="N136">_xlfn.IFS(M136="HIGH",K136*L136,M136="MEDIUM",K136*L136,M136="LOW","NA")</f>
        <v>NA</v>
      </c>
      <c r="O136" s="18" t="str">
        <f t="shared" si="8"/>
        <v>cleared</v>
      </c>
    </row>
    <row r="137" spans="1:15" x14ac:dyDescent="0.25">
      <c r="A137" s="17">
        <v>133</v>
      </c>
      <c r="B137" s="6" t="s">
        <v>170</v>
      </c>
      <c r="C137" s="6" t="s">
        <v>33</v>
      </c>
      <c r="D137" s="6" t="s">
        <v>49</v>
      </c>
      <c r="E137" s="6" t="s">
        <v>39</v>
      </c>
      <c r="F137" s="6" t="s">
        <v>29</v>
      </c>
      <c r="G137" s="7">
        <v>46194</v>
      </c>
      <c r="H137" s="6">
        <v>4</v>
      </c>
      <c r="I137" s="6"/>
      <c r="J137" s="7">
        <f t="shared" si="7"/>
        <v>46198</v>
      </c>
      <c r="K137" s="8">
        <v>120</v>
      </c>
      <c r="L137" s="9">
        <f t="shared" si="6"/>
        <v>61</v>
      </c>
      <c r="M137" s="9" t="str" cm="1">
        <f t="array" ref="M137">_xlfn.IFS(L137&gt;=10,"HIGH",L137=0,"LOW",L137&lt;=9,"MEDIUM")</f>
        <v>HIGH</v>
      </c>
      <c r="N137" s="9" cm="1">
        <f t="array" ref="N137">_xlfn.IFS(M137="HIGH",K137*L137,M137="MEDIUM",K137*L137,M137="LOW","NA")</f>
        <v>7320</v>
      </c>
      <c r="O137" s="18" t="str">
        <f t="shared" si="8"/>
        <v>still in yard</v>
      </c>
    </row>
    <row r="138" spans="1:15" x14ac:dyDescent="0.25">
      <c r="A138" s="17">
        <v>134</v>
      </c>
      <c r="B138" s="6" t="s">
        <v>171</v>
      </c>
      <c r="C138" s="6" t="s">
        <v>33</v>
      </c>
      <c r="D138" s="6" t="s">
        <v>41</v>
      </c>
      <c r="E138" s="6" t="s">
        <v>18</v>
      </c>
      <c r="F138" s="6" t="s">
        <v>29</v>
      </c>
      <c r="G138" s="7">
        <v>46179</v>
      </c>
      <c r="H138" s="6">
        <v>4</v>
      </c>
      <c r="I138" s="7">
        <v>46180</v>
      </c>
      <c r="J138" s="7">
        <f t="shared" si="7"/>
        <v>46183</v>
      </c>
      <c r="K138" s="8">
        <v>150</v>
      </c>
      <c r="L138" s="9">
        <f t="shared" si="6"/>
        <v>0</v>
      </c>
      <c r="M138" s="9" t="str" cm="1">
        <f t="array" ref="M138">_xlfn.IFS(L138&gt;=10,"HIGH",L138=0,"LOW",L138&lt;=9,"MEDIUM")</f>
        <v>LOW</v>
      </c>
      <c r="N138" s="9" t="str" cm="1">
        <f t="array" ref="N138">_xlfn.IFS(M138="HIGH",K138*L138,M138="MEDIUM",K138*L138,M138="LOW","NA")</f>
        <v>NA</v>
      </c>
      <c r="O138" s="18" t="str">
        <f t="shared" si="8"/>
        <v>cleared</v>
      </c>
    </row>
    <row r="139" spans="1:15" x14ac:dyDescent="0.25">
      <c r="A139" s="17">
        <v>135</v>
      </c>
      <c r="B139" s="6" t="s">
        <v>172</v>
      </c>
      <c r="C139" s="6" t="s">
        <v>33</v>
      </c>
      <c r="D139" s="6" t="s">
        <v>56</v>
      </c>
      <c r="E139" s="6" t="s">
        <v>42</v>
      </c>
      <c r="F139" s="6" t="s">
        <v>27</v>
      </c>
      <c r="G139" s="7">
        <v>46213</v>
      </c>
      <c r="H139" s="6">
        <v>6</v>
      </c>
      <c r="I139" s="7">
        <v>46220</v>
      </c>
      <c r="J139" s="7">
        <f t="shared" si="7"/>
        <v>46219</v>
      </c>
      <c r="K139" s="8">
        <v>60</v>
      </c>
      <c r="L139" s="9">
        <f t="shared" si="6"/>
        <v>1</v>
      </c>
      <c r="M139" s="9" t="str" cm="1">
        <f t="array" ref="M139">_xlfn.IFS(L139&gt;=10,"HIGH",L139=0,"LOW",L139&lt;=9,"MEDIUM")</f>
        <v>MEDIUM</v>
      </c>
      <c r="N139" s="9" cm="1">
        <f t="array" ref="N139">_xlfn.IFS(M139="HIGH",K139*L139,M139="MEDIUM",K139*L139,M139="LOW","NA")</f>
        <v>60</v>
      </c>
      <c r="O139" s="18" t="str">
        <f t="shared" si="8"/>
        <v>cleared</v>
      </c>
    </row>
    <row r="140" spans="1:15" x14ac:dyDescent="0.25">
      <c r="A140" s="17">
        <v>136</v>
      </c>
      <c r="B140" s="6" t="s">
        <v>173</v>
      </c>
      <c r="C140" s="6" t="s">
        <v>16</v>
      </c>
      <c r="D140" s="6" t="s">
        <v>12</v>
      </c>
      <c r="E140" s="6" t="s">
        <v>42</v>
      </c>
      <c r="F140" s="6" t="s">
        <v>24</v>
      </c>
      <c r="G140" s="7">
        <v>46193</v>
      </c>
      <c r="H140" s="6">
        <v>4</v>
      </c>
      <c r="I140" s="6"/>
      <c r="J140" s="7">
        <f t="shared" si="7"/>
        <v>46197</v>
      </c>
      <c r="K140" s="8">
        <v>130</v>
      </c>
      <c r="L140" s="9">
        <f t="shared" si="6"/>
        <v>62</v>
      </c>
      <c r="M140" s="9" t="str" cm="1">
        <f t="array" ref="M140">_xlfn.IFS(L140&gt;=10,"HIGH",L140=0,"LOW",L140&lt;=9,"MEDIUM")</f>
        <v>HIGH</v>
      </c>
      <c r="N140" s="9" cm="1">
        <f t="array" ref="N140">_xlfn.IFS(M140="HIGH",K140*L140,M140="MEDIUM",K140*L140,M140="LOW","NA")</f>
        <v>8060</v>
      </c>
      <c r="O140" s="18" t="str">
        <f t="shared" si="8"/>
        <v>still in yard</v>
      </c>
    </row>
    <row r="141" spans="1:15" x14ac:dyDescent="0.25">
      <c r="A141" s="17">
        <v>137</v>
      </c>
      <c r="B141" s="6" t="s">
        <v>174</v>
      </c>
      <c r="C141" s="6" t="s">
        <v>33</v>
      </c>
      <c r="D141" s="6" t="s">
        <v>12</v>
      </c>
      <c r="E141" s="6" t="s">
        <v>44</v>
      </c>
      <c r="F141" s="6" t="s">
        <v>14</v>
      </c>
      <c r="G141" s="7">
        <v>46180</v>
      </c>
      <c r="H141" s="6">
        <v>4</v>
      </c>
      <c r="I141" s="6"/>
      <c r="J141" s="7">
        <f t="shared" si="7"/>
        <v>46184</v>
      </c>
      <c r="K141" s="8">
        <v>110</v>
      </c>
      <c r="L141" s="9">
        <f t="shared" si="6"/>
        <v>75</v>
      </c>
      <c r="M141" s="9" t="str" cm="1">
        <f t="array" ref="M141">_xlfn.IFS(L141&gt;=10,"HIGH",L141=0,"LOW",L141&lt;=9,"MEDIUM")</f>
        <v>HIGH</v>
      </c>
      <c r="N141" s="9" cm="1">
        <f t="array" ref="N141">_xlfn.IFS(M141="HIGH",K141*L141,M141="MEDIUM",K141*L141,M141="LOW","NA")</f>
        <v>8250</v>
      </c>
      <c r="O141" s="18" t="str">
        <f t="shared" si="8"/>
        <v>still in yard</v>
      </c>
    </row>
    <row r="142" spans="1:15" x14ac:dyDescent="0.25">
      <c r="A142" s="17">
        <v>138</v>
      </c>
      <c r="B142" s="6" t="s">
        <v>175</v>
      </c>
      <c r="C142" s="6" t="s">
        <v>11</v>
      </c>
      <c r="D142" s="6" t="s">
        <v>12</v>
      </c>
      <c r="E142" s="6" t="s">
        <v>18</v>
      </c>
      <c r="F142" s="6" t="s">
        <v>14</v>
      </c>
      <c r="G142" s="7">
        <v>46214</v>
      </c>
      <c r="H142" s="6">
        <v>7</v>
      </c>
      <c r="I142" s="7">
        <v>46216</v>
      </c>
      <c r="J142" s="7">
        <f t="shared" si="7"/>
        <v>46221</v>
      </c>
      <c r="K142" s="8">
        <v>75</v>
      </c>
      <c r="L142" s="9">
        <f t="shared" si="6"/>
        <v>0</v>
      </c>
      <c r="M142" s="9" t="str" cm="1">
        <f t="array" ref="M142">_xlfn.IFS(L142&gt;=10,"HIGH",L142=0,"LOW",L142&lt;=9,"MEDIUM")</f>
        <v>LOW</v>
      </c>
      <c r="N142" s="9" t="str" cm="1">
        <f t="array" ref="N142">_xlfn.IFS(M142="HIGH",K142*L142,M142="MEDIUM",K142*L142,M142="LOW","NA")</f>
        <v>NA</v>
      </c>
      <c r="O142" s="18" t="str">
        <f t="shared" si="8"/>
        <v>cleared</v>
      </c>
    </row>
    <row r="143" spans="1:15" x14ac:dyDescent="0.25">
      <c r="A143" s="17">
        <v>139</v>
      </c>
      <c r="B143" s="6" t="s">
        <v>176</v>
      </c>
      <c r="C143" s="6" t="s">
        <v>11</v>
      </c>
      <c r="D143" s="6" t="s">
        <v>26</v>
      </c>
      <c r="E143" s="6" t="s">
        <v>46</v>
      </c>
      <c r="F143" s="6" t="s">
        <v>29</v>
      </c>
      <c r="G143" s="7">
        <v>46240</v>
      </c>
      <c r="H143" s="6">
        <v>4</v>
      </c>
      <c r="I143" s="7">
        <v>46246</v>
      </c>
      <c r="J143" s="7">
        <f t="shared" si="7"/>
        <v>46244</v>
      </c>
      <c r="K143" s="8">
        <v>150</v>
      </c>
      <c r="L143" s="9">
        <f t="shared" si="6"/>
        <v>2</v>
      </c>
      <c r="M143" s="9" t="str" cm="1">
        <f t="array" ref="M143">_xlfn.IFS(L143&gt;=10,"HIGH",L143=0,"LOW",L143&lt;=9,"MEDIUM")</f>
        <v>MEDIUM</v>
      </c>
      <c r="N143" s="9" cm="1">
        <f t="array" ref="N143">_xlfn.IFS(M143="HIGH",K143*L143,M143="MEDIUM",K143*L143,M143="LOW","NA")</f>
        <v>300</v>
      </c>
      <c r="O143" s="18" t="str">
        <f t="shared" si="8"/>
        <v>cleared</v>
      </c>
    </row>
    <row r="144" spans="1:15" x14ac:dyDescent="0.25">
      <c r="A144" s="17">
        <v>140</v>
      </c>
      <c r="B144" s="6" t="s">
        <v>177</v>
      </c>
      <c r="C144" s="6" t="s">
        <v>37</v>
      </c>
      <c r="D144" s="6" t="s">
        <v>34</v>
      </c>
      <c r="E144" s="6" t="s">
        <v>39</v>
      </c>
      <c r="F144" s="6" t="s">
        <v>14</v>
      </c>
      <c r="G144" s="7">
        <v>46233</v>
      </c>
      <c r="H144" s="6">
        <v>5</v>
      </c>
      <c r="I144" s="7">
        <v>46236</v>
      </c>
      <c r="J144" s="7">
        <f t="shared" si="7"/>
        <v>46238</v>
      </c>
      <c r="K144" s="8">
        <v>90</v>
      </c>
      <c r="L144" s="9">
        <f t="shared" si="6"/>
        <v>0</v>
      </c>
      <c r="M144" s="9" t="str" cm="1">
        <f t="array" ref="M144">_xlfn.IFS(L144&gt;=10,"HIGH",L144=0,"LOW",L144&lt;=9,"MEDIUM")</f>
        <v>LOW</v>
      </c>
      <c r="N144" s="9" t="str" cm="1">
        <f t="array" ref="N144">_xlfn.IFS(M144="HIGH",K144*L144,M144="MEDIUM",K144*L144,M144="LOW","NA")</f>
        <v>NA</v>
      </c>
      <c r="O144" s="18" t="str">
        <f t="shared" si="8"/>
        <v>cleared</v>
      </c>
    </row>
    <row r="145" spans="1:15" x14ac:dyDescent="0.25">
      <c r="A145" s="17">
        <v>141</v>
      </c>
      <c r="B145" s="6" t="s">
        <v>178</v>
      </c>
      <c r="C145" s="6" t="s">
        <v>11</v>
      </c>
      <c r="D145" s="6" t="s">
        <v>49</v>
      </c>
      <c r="E145" s="6" t="s">
        <v>23</v>
      </c>
      <c r="F145" s="6" t="s">
        <v>24</v>
      </c>
      <c r="G145" s="7">
        <v>46244</v>
      </c>
      <c r="H145" s="6">
        <v>7</v>
      </c>
      <c r="I145" s="6"/>
      <c r="J145" s="7">
        <f t="shared" si="7"/>
        <v>46251</v>
      </c>
      <c r="K145" s="8">
        <v>90</v>
      </c>
      <c r="L145" s="9">
        <f t="shared" si="6"/>
        <v>8</v>
      </c>
      <c r="M145" s="9" t="str" cm="1">
        <f t="array" ref="M145">_xlfn.IFS(L145&gt;=10,"HIGH",L145=0,"LOW",L145&lt;=9,"MEDIUM")</f>
        <v>MEDIUM</v>
      </c>
      <c r="N145" s="9" cm="1">
        <f t="array" ref="N145">_xlfn.IFS(M145="HIGH",K145*L145,M145="MEDIUM",K145*L145,M145="LOW","NA")</f>
        <v>720</v>
      </c>
      <c r="O145" s="18" t="str">
        <f t="shared" si="8"/>
        <v>still in yard</v>
      </c>
    </row>
    <row r="146" spans="1:15" x14ac:dyDescent="0.25">
      <c r="A146" s="17">
        <v>142</v>
      </c>
      <c r="B146" s="6" t="s">
        <v>179</v>
      </c>
      <c r="C146" s="6" t="s">
        <v>33</v>
      </c>
      <c r="D146" s="6" t="s">
        <v>17</v>
      </c>
      <c r="E146" s="6" t="s">
        <v>61</v>
      </c>
      <c r="F146" s="6" t="s">
        <v>14</v>
      </c>
      <c r="G146" s="7">
        <v>46226</v>
      </c>
      <c r="H146" s="6">
        <v>7</v>
      </c>
      <c r="I146" s="7">
        <v>46227</v>
      </c>
      <c r="J146" s="7">
        <f t="shared" si="7"/>
        <v>46233</v>
      </c>
      <c r="K146" s="8">
        <v>90</v>
      </c>
      <c r="L146" s="9">
        <f t="shared" si="6"/>
        <v>0</v>
      </c>
      <c r="M146" s="9" t="str" cm="1">
        <f t="array" ref="M146">_xlfn.IFS(L146&gt;=10,"HIGH",L146=0,"LOW",L146&lt;=9,"MEDIUM")</f>
        <v>LOW</v>
      </c>
      <c r="N146" s="9" t="str" cm="1">
        <f t="array" ref="N146">_xlfn.IFS(M146="HIGH",K146*L146,M146="MEDIUM",K146*L146,M146="LOW","NA")</f>
        <v>NA</v>
      </c>
      <c r="O146" s="18" t="str">
        <f t="shared" si="8"/>
        <v>cleared</v>
      </c>
    </row>
    <row r="147" spans="1:15" x14ac:dyDescent="0.25">
      <c r="A147" s="17">
        <v>143</v>
      </c>
      <c r="B147" s="6" t="s">
        <v>180</v>
      </c>
      <c r="C147" s="6" t="s">
        <v>33</v>
      </c>
      <c r="D147" s="6" t="s">
        <v>34</v>
      </c>
      <c r="E147" s="6" t="s">
        <v>21</v>
      </c>
      <c r="F147" s="6" t="s">
        <v>27</v>
      </c>
      <c r="G147" s="7">
        <v>46212</v>
      </c>
      <c r="H147" s="6">
        <v>5</v>
      </c>
      <c r="I147" s="7">
        <v>46221</v>
      </c>
      <c r="J147" s="7">
        <f t="shared" si="7"/>
        <v>46217</v>
      </c>
      <c r="K147" s="8">
        <v>110</v>
      </c>
      <c r="L147" s="9">
        <f t="shared" si="6"/>
        <v>4</v>
      </c>
      <c r="M147" s="9" t="str" cm="1">
        <f t="array" ref="M147">_xlfn.IFS(L147&gt;=10,"HIGH",L147=0,"LOW",L147&lt;=9,"MEDIUM")</f>
        <v>MEDIUM</v>
      </c>
      <c r="N147" s="9" cm="1">
        <f t="array" ref="N147">_xlfn.IFS(M147="HIGH",K147*L147,M147="MEDIUM",K147*L147,M147="LOW","NA")</f>
        <v>440</v>
      </c>
      <c r="O147" s="18" t="str">
        <f t="shared" si="8"/>
        <v>cleared</v>
      </c>
    </row>
    <row r="148" spans="1:15" x14ac:dyDescent="0.25">
      <c r="A148" s="17">
        <v>144</v>
      </c>
      <c r="B148" s="6" t="s">
        <v>181</v>
      </c>
      <c r="C148" s="6" t="s">
        <v>37</v>
      </c>
      <c r="D148" s="6" t="s">
        <v>12</v>
      </c>
      <c r="E148" s="6" t="s">
        <v>21</v>
      </c>
      <c r="F148" s="6" t="s">
        <v>14</v>
      </c>
      <c r="G148" s="7">
        <v>46221</v>
      </c>
      <c r="H148" s="6">
        <v>7</v>
      </c>
      <c r="I148" s="6"/>
      <c r="J148" s="7">
        <f t="shared" si="7"/>
        <v>46228</v>
      </c>
      <c r="K148" s="8">
        <v>130</v>
      </c>
      <c r="L148" s="9">
        <f t="shared" si="6"/>
        <v>31</v>
      </c>
      <c r="M148" s="9" t="str" cm="1">
        <f t="array" ref="M148">_xlfn.IFS(L148&gt;=10,"HIGH",L148=0,"LOW",L148&lt;=9,"MEDIUM")</f>
        <v>HIGH</v>
      </c>
      <c r="N148" s="9" cm="1">
        <f t="array" ref="N148">_xlfn.IFS(M148="HIGH",K148*L148,M148="MEDIUM",K148*L148,M148="LOW","NA")</f>
        <v>4030</v>
      </c>
      <c r="O148" s="18" t="str">
        <f t="shared" si="8"/>
        <v>still in yard</v>
      </c>
    </row>
    <row r="149" spans="1:15" x14ac:dyDescent="0.25">
      <c r="A149" s="17">
        <v>145</v>
      </c>
      <c r="B149" s="6" t="s">
        <v>182</v>
      </c>
      <c r="C149" s="6" t="s">
        <v>11</v>
      </c>
      <c r="D149" s="6" t="s">
        <v>54</v>
      </c>
      <c r="E149" s="6" t="s">
        <v>44</v>
      </c>
      <c r="F149" s="6" t="s">
        <v>27</v>
      </c>
      <c r="G149" s="7">
        <v>46239</v>
      </c>
      <c r="H149" s="6">
        <v>5</v>
      </c>
      <c r="I149" s="7">
        <v>46240</v>
      </c>
      <c r="J149" s="7">
        <f t="shared" si="7"/>
        <v>46244</v>
      </c>
      <c r="K149" s="8">
        <v>60</v>
      </c>
      <c r="L149" s="9">
        <f t="shared" si="6"/>
        <v>0</v>
      </c>
      <c r="M149" s="9" t="str" cm="1">
        <f t="array" ref="M149">_xlfn.IFS(L149&gt;=10,"HIGH",L149=0,"LOW",L149&lt;=9,"MEDIUM")</f>
        <v>LOW</v>
      </c>
      <c r="N149" s="9" t="str" cm="1">
        <f t="array" ref="N149">_xlfn.IFS(M149="HIGH",K149*L149,M149="MEDIUM",K149*L149,M149="LOW","NA")</f>
        <v>NA</v>
      </c>
      <c r="O149" s="18" t="str">
        <f t="shared" si="8"/>
        <v>cleared</v>
      </c>
    </row>
    <row r="150" spans="1:15" x14ac:dyDescent="0.25">
      <c r="A150" s="17">
        <v>146</v>
      </c>
      <c r="B150" s="6" t="s">
        <v>183</v>
      </c>
      <c r="C150" s="6" t="s">
        <v>37</v>
      </c>
      <c r="D150" s="6" t="s">
        <v>41</v>
      </c>
      <c r="E150" s="6" t="s">
        <v>18</v>
      </c>
      <c r="F150" s="6" t="s">
        <v>14</v>
      </c>
      <c r="G150" s="7">
        <v>46256</v>
      </c>
      <c r="H150" s="6">
        <v>4</v>
      </c>
      <c r="I150" s="6"/>
      <c r="J150" s="7">
        <f t="shared" si="7"/>
        <v>46260</v>
      </c>
      <c r="K150" s="8">
        <v>90</v>
      </c>
      <c r="L150" s="9">
        <f t="shared" si="6"/>
        <v>0</v>
      </c>
      <c r="M150" s="9" t="str" cm="1">
        <f t="array" ref="M150">_xlfn.IFS(L150&gt;=10,"HIGH",L150=0,"LOW",L150&lt;=9,"MEDIUM")</f>
        <v>LOW</v>
      </c>
      <c r="N150" s="9" t="str" cm="1">
        <f t="array" ref="N150">_xlfn.IFS(M150="HIGH",K150*L150,M150="MEDIUM",K150*L150,M150="LOW","NA")</f>
        <v>NA</v>
      </c>
      <c r="O150" s="18" t="str">
        <f t="shared" si="8"/>
        <v>still in yard</v>
      </c>
    </row>
    <row r="151" spans="1:15" x14ac:dyDescent="0.25">
      <c r="A151" s="17">
        <v>147</v>
      </c>
      <c r="B151" s="6" t="s">
        <v>184</v>
      </c>
      <c r="C151" s="6" t="s">
        <v>11</v>
      </c>
      <c r="D151" s="6" t="s">
        <v>56</v>
      </c>
      <c r="E151" s="6" t="s">
        <v>61</v>
      </c>
      <c r="F151" s="6" t="s">
        <v>24</v>
      </c>
      <c r="G151" s="7">
        <v>46190</v>
      </c>
      <c r="H151" s="6">
        <v>5</v>
      </c>
      <c r="I151" s="7">
        <v>46196</v>
      </c>
      <c r="J151" s="7">
        <f t="shared" si="7"/>
        <v>46195</v>
      </c>
      <c r="K151" s="8">
        <v>90</v>
      </c>
      <c r="L151" s="9">
        <f t="shared" si="6"/>
        <v>1</v>
      </c>
      <c r="M151" s="9" t="str" cm="1">
        <f t="array" ref="M151">_xlfn.IFS(L151&gt;=10,"HIGH",L151=0,"LOW",L151&lt;=9,"MEDIUM")</f>
        <v>MEDIUM</v>
      </c>
      <c r="N151" s="9" cm="1">
        <f t="array" ref="N151">_xlfn.IFS(M151="HIGH",K151*L151,M151="MEDIUM",K151*L151,M151="LOW","NA")</f>
        <v>90</v>
      </c>
      <c r="O151" s="18" t="str">
        <f t="shared" si="8"/>
        <v>cleared</v>
      </c>
    </row>
    <row r="152" spans="1:15" x14ac:dyDescent="0.25">
      <c r="A152" s="17">
        <v>148</v>
      </c>
      <c r="B152" s="6" t="s">
        <v>185</v>
      </c>
      <c r="C152" s="6" t="s">
        <v>37</v>
      </c>
      <c r="D152" s="6" t="s">
        <v>20</v>
      </c>
      <c r="E152" s="6" t="s">
        <v>39</v>
      </c>
      <c r="F152" s="6" t="s">
        <v>29</v>
      </c>
      <c r="G152" s="7">
        <v>46238</v>
      </c>
      <c r="H152" s="6">
        <v>3</v>
      </c>
      <c r="I152" s="6"/>
      <c r="J152" s="7">
        <f t="shared" si="7"/>
        <v>46241</v>
      </c>
      <c r="K152" s="8">
        <v>120</v>
      </c>
      <c r="L152" s="9">
        <f t="shared" si="6"/>
        <v>18</v>
      </c>
      <c r="M152" s="9" t="str" cm="1">
        <f t="array" ref="M152">_xlfn.IFS(L152&gt;=10,"HIGH",L152=0,"LOW",L152&lt;=9,"MEDIUM")</f>
        <v>HIGH</v>
      </c>
      <c r="N152" s="9" cm="1">
        <f t="array" ref="N152">_xlfn.IFS(M152="HIGH",K152*L152,M152="MEDIUM",K152*L152,M152="LOW","NA")</f>
        <v>2160</v>
      </c>
      <c r="O152" s="18" t="str">
        <f t="shared" si="8"/>
        <v>still in yard</v>
      </c>
    </row>
    <row r="153" spans="1:15" x14ac:dyDescent="0.25">
      <c r="A153" s="17">
        <v>149</v>
      </c>
      <c r="B153" s="6" t="s">
        <v>186</v>
      </c>
      <c r="C153" s="6" t="s">
        <v>37</v>
      </c>
      <c r="D153" s="6" t="s">
        <v>41</v>
      </c>
      <c r="E153" s="6" t="s">
        <v>42</v>
      </c>
      <c r="F153" s="6" t="s">
        <v>14</v>
      </c>
      <c r="G153" s="7">
        <v>46177</v>
      </c>
      <c r="H153" s="6">
        <v>5</v>
      </c>
      <c r="I153" s="7">
        <v>46182</v>
      </c>
      <c r="J153" s="7">
        <f t="shared" si="7"/>
        <v>46182</v>
      </c>
      <c r="K153" s="8">
        <v>90</v>
      </c>
      <c r="L153" s="9">
        <f t="shared" si="6"/>
        <v>0</v>
      </c>
      <c r="M153" s="9" t="str" cm="1">
        <f t="array" ref="M153">_xlfn.IFS(L153&gt;=10,"HIGH",L153=0,"LOW",L153&lt;=9,"MEDIUM")</f>
        <v>LOW</v>
      </c>
      <c r="N153" s="9" t="str" cm="1">
        <f t="array" ref="N153">_xlfn.IFS(M153="HIGH",K153*L153,M153="MEDIUM",K153*L153,M153="LOW","NA")</f>
        <v>NA</v>
      </c>
      <c r="O153" s="18" t="str">
        <f t="shared" si="8"/>
        <v>cleared</v>
      </c>
    </row>
    <row r="154" spans="1:15" x14ac:dyDescent="0.25">
      <c r="A154" s="17">
        <v>150</v>
      </c>
      <c r="B154" s="6" t="s">
        <v>187</v>
      </c>
      <c r="C154" s="6" t="s">
        <v>16</v>
      </c>
      <c r="D154" s="6" t="s">
        <v>54</v>
      </c>
      <c r="E154" s="6" t="s">
        <v>61</v>
      </c>
      <c r="F154" s="6" t="s">
        <v>24</v>
      </c>
      <c r="G154" s="7">
        <v>46182</v>
      </c>
      <c r="H154" s="6">
        <v>7</v>
      </c>
      <c r="I154" s="7">
        <v>46185</v>
      </c>
      <c r="J154" s="7">
        <f t="shared" si="7"/>
        <v>46189</v>
      </c>
      <c r="K154" s="8">
        <v>130</v>
      </c>
      <c r="L154" s="9">
        <f t="shared" si="6"/>
        <v>0</v>
      </c>
      <c r="M154" s="9" t="str" cm="1">
        <f t="array" ref="M154">_xlfn.IFS(L154&gt;=10,"HIGH",L154=0,"LOW",L154&lt;=9,"MEDIUM")</f>
        <v>LOW</v>
      </c>
      <c r="N154" s="9" t="str" cm="1">
        <f t="array" ref="N154">_xlfn.IFS(M154="HIGH",K154*L154,M154="MEDIUM",K154*L154,M154="LOW","NA")</f>
        <v>NA</v>
      </c>
      <c r="O154" s="18" t="str">
        <f t="shared" si="8"/>
        <v>cleared</v>
      </c>
    </row>
    <row r="155" spans="1:15" x14ac:dyDescent="0.25">
      <c r="A155" s="17">
        <v>151</v>
      </c>
      <c r="B155" s="6" t="s">
        <v>188</v>
      </c>
      <c r="C155" s="6" t="s">
        <v>33</v>
      </c>
      <c r="D155" s="6" t="s">
        <v>20</v>
      </c>
      <c r="E155" s="6" t="s">
        <v>23</v>
      </c>
      <c r="F155" s="6" t="s">
        <v>14</v>
      </c>
      <c r="G155" s="7">
        <v>46253</v>
      </c>
      <c r="H155" s="6">
        <v>4</v>
      </c>
      <c r="I155" s="7">
        <v>46254</v>
      </c>
      <c r="J155" s="7">
        <f t="shared" si="7"/>
        <v>46257</v>
      </c>
      <c r="K155" s="8">
        <v>60</v>
      </c>
      <c r="L155" s="9">
        <f t="shared" si="6"/>
        <v>0</v>
      </c>
      <c r="M155" s="9" t="str" cm="1">
        <f t="array" ref="M155">_xlfn.IFS(L155&gt;=10,"HIGH",L155=0,"LOW",L155&lt;=9,"MEDIUM")</f>
        <v>LOW</v>
      </c>
      <c r="N155" s="9" t="str" cm="1">
        <f t="array" ref="N155">_xlfn.IFS(M155="HIGH",K155*L155,M155="MEDIUM",K155*L155,M155="LOW","NA")</f>
        <v>NA</v>
      </c>
      <c r="O155" s="18" t="str">
        <f t="shared" si="8"/>
        <v>cleared</v>
      </c>
    </row>
    <row r="156" spans="1:15" x14ac:dyDescent="0.25">
      <c r="A156" s="17">
        <v>152</v>
      </c>
      <c r="B156" s="6" t="s">
        <v>189</v>
      </c>
      <c r="C156" s="6" t="s">
        <v>16</v>
      </c>
      <c r="D156" s="6" t="s">
        <v>54</v>
      </c>
      <c r="E156" s="6" t="s">
        <v>21</v>
      </c>
      <c r="F156" s="6" t="s">
        <v>27</v>
      </c>
      <c r="G156" s="7">
        <v>46240</v>
      </c>
      <c r="H156" s="6">
        <v>6</v>
      </c>
      <c r="I156" s="6"/>
      <c r="J156" s="7">
        <f t="shared" si="7"/>
        <v>46246</v>
      </c>
      <c r="K156" s="8">
        <v>130</v>
      </c>
      <c r="L156" s="9">
        <f t="shared" si="6"/>
        <v>13</v>
      </c>
      <c r="M156" s="9" t="str" cm="1">
        <f t="array" ref="M156">_xlfn.IFS(L156&gt;=10,"HIGH",L156=0,"LOW",L156&lt;=9,"MEDIUM")</f>
        <v>HIGH</v>
      </c>
      <c r="N156" s="9" cm="1">
        <f t="array" ref="N156">_xlfn.IFS(M156="HIGH",K156*L156,M156="MEDIUM",K156*L156,M156="LOW","NA")</f>
        <v>1690</v>
      </c>
      <c r="O156" s="18" t="str">
        <f t="shared" si="8"/>
        <v>still in yard</v>
      </c>
    </row>
    <row r="157" spans="1:15" x14ac:dyDescent="0.25">
      <c r="A157" s="17">
        <v>153</v>
      </c>
      <c r="B157" s="6" t="s">
        <v>190</v>
      </c>
      <c r="C157" s="6" t="s">
        <v>33</v>
      </c>
      <c r="D157" s="6" t="s">
        <v>26</v>
      </c>
      <c r="E157" s="6" t="s">
        <v>23</v>
      </c>
      <c r="F157" s="6" t="s">
        <v>24</v>
      </c>
      <c r="G157" s="7">
        <v>46250</v>
      </c>
      <c r="H157" s="6">
        <v>5</v>
      </c>
      <c r="I157" s="7">
        <v>46256</v>
      </c>
      <c r="J157" s="7">
        <f t="shared" si="7"/>
        <v>46255</v>
      </c>
      <c r="K157" s="8">
        <v>110</v>
      </c>
      <c r="L157" s="9">
        <f t="shared" si="6"/>
        <v>1</v>
      </c>
      <c r="M157" s="9" t="str" cm="1">
        <f t="array" ref="M157">_xlfn.IFS(L157&gt;=10,"HIGH",L157=0,"LOW",L157&lt;=9,"MEDIUM")</f>
        <v>MEDIUM</v>
      </c>
      <c r="N157" s="9" cm="1">
        <f t="array" ref="N157">_xlfn.IFS(M157="HIGH",K157*L157,M157="MEDIUM",K157*L157,M157="LOW","NA")</f>
        <v>110</v>
      </c>
      <c r="O157" s="18" t="str">
        <f t="shared" si="8"/>
        <v>cleared</v>
      </c>
    </row>
    <row r="158" spans="1:15" x14ac:dyDescent="0.25">
      <c r="A158" s="17">
        <v>154</v>
      </c>
      <c r="B158" s="6" t="s">
        <v>191</v>
      </c>
      <c r="C158" s="6" t="s">
        <v>16</v>
      </c>
      <c r="D158" s="6" t="s">
        <v>49</v>
      </c>
      <c r="E158" s="6" t="s">
        <v>13</v>
      </c>
      <c r="F158" s="6" t="s">
        <v>29</v>
      </c>
      <c r="G158" s="7">
        <v>46248</v>
      </c>
      <c r="H158" s="6">
        <v>4</v>
      </c>
      <c r="I158" s="7">
        <v>46258</v>
      </c>
      <c r="J158" s="7">
        <f t="shared" si="7"/>
        <v>46252</v>
      </c>
      <c r="K158" s="8">
        <v>150</v>
      </c>
      <c r="L158" s="9">
        <f t="shared" si="6"/>
        <v>6</v>
      </c>
      <c r="M158" s="9" t="str" cm="1">
        <f t="array" ref="M158">_xlfn.IFS(L158&gt;=10,"HIGH",L158=0,"LOW",L158&lt;=9,"MEDIUM")</f>
        <v>MEDIUM</v>
      </c>
      <c r="N158" s="9" cm="1">
        <f t="array" ref="N158">_xlfn.IFS(M158="HIGH",K158*L158,M158="MEDIUM",K158*L158,M158="LOW","NA")</f>
        <v>900</v>
      </c>
      <c r="O158" s="18" t="str">
        <f t="shared" si="8"/>
        <v>cleared</v>
      </c>
    </row>
    <row r="159" spans="1:15" x14ac:dyDescent="0.25">
      <c r="A159" s="17">
        <v>155</v>
      </c>
      <c r="B159" s="6" t="s">
        <v>192</v>
      </c>
      <c r="C159" s="6" t="s">
        <v>37</v>
      </c>
      <c r="D159" s="6" t="s">
        <v>54</v>
      </c>
      <c r="E159" s="6" t="s">
        <v>42</v>
      </c>
      <c r="F159" s="6" t="s">
        <v>24</v>
      </c>
      <c r="G159" s="7">
        <v>46170</v>
      </c>
      <c r="H159" s="6">
        <v>5</v>
      </c>
      <c r="I159" s="7">
        <v>46187</v>
      </c>
      <c r="J159" s="7">
        <f t="shared" si="7"/>
        <v>46175</v>
      </c>
      <c r="K159" s="8">
        <v>90</v>
      </c>
      <c r="L159" s="9">
        <f t="shared" si="6"/>
        <v>12</v>
      </c>
      <c r="M159" s="9" t="str" cm="1">
        <f t="array" ref="M159">_xlfn.IFS(L159&gt;=10,"HIGH",L159=0,"LOW",L159&lt;=9,"MEDIUM")</f>
        <v>HIGH</v>
      </c>
      <c r="N159" s="9" cm="1">
        <f t="array" ref="N159">_xlfn.IFS(M159="HIGH",K159*L159,M159="MEDIUM",K159*L159,M159="LOW","NA")</f>
        <v>1080</v>
      </c>
      <c r="O159" s="18" t="str">
        <f t="shared" si="8"/>
        <v>cleared</v>
      </c>
    </row>
    <row r="160" spans="1:15" x14ac:dyDescent="0.25">
      <c r="A160" s="17">
        <v>156</v>
      </c>
      <c r="B160" s="6" t="s">
        <v>193</v>
      </c>
      <c r="C160" s="6" t="s">
        <v>33</v>
      </c>
      <c r="D160" s="6" t="s">
        <v>17</v>
      </c>
      <c r="E160" s="6" t="s">
        <v>46</v>
      </c>
      <c r="F160" s="6" t="s">
        <v>24</v>
      </c>
      <c r="G160" s="7">
        <v>46176</v>
      </c>
      <c r="H160" s="6">
        <v>5</v>
      </c>
      <c r="I160" s="6"/>
      <c r="J160" s="7">
        <f t="shared" si="7"/>
        <v>46181</v>
      </c>
      <c r="K160" s="8">
        <v>130</v>
      </c>
      <c r="L160" s="9">
        <f t="shared" si="6"/>
        <v>78</v>
      </c>
      <c r="M160" s="9" t="str" cm="1">
        <f t="array" ref="M160">_xlfn.IFS(L160&gt;=10,"HIGH",L160=0,"LOW",L160&lt;=9,"MEDIUM")</f>
        <v>HIGH</v>
      </c>
      <c r="N160" s="9" cm="1">
        <f t="array" ref="N160">_xlfn.IFS(M160="HIGH",K160*L160,M160="MEDIUM",K160*L160,M160="LOW","NA")</f>
        <v>10140</v>
      </c>
      <c r="O160" s="18" t="str">
        <f t="shared" si="8"/>
        <v>still in yard</v>
      </c>
    </row>
    <row r="161" spans="1:15" x14ac:dyDescent="0.25">
      <c r="A161" s="17">
        <v>157</v>
      </c>
      <c r="B161" s="6" t="s">
        <v>194</v>
      </c>
      <c r="C161" s="6" t="s">
        <v>16</v>
      </c>
      <c r="D161" s="6" t="s">
        <v>12</v>
      </c>
      <c r="E161" s="6" t="s">
        <v>46</v>
      </c>
      <c r="F161" s="6" t="s">
        <v>27</v>
      </c>
      <c r="G161" s="7">
        <v>46233</v>
      </c>
      <c r="H161" s="6">
        <v>5</v>
      </c>
      <c r="I161" s="7">
        <v>46234</v>
      </c>
      <c r="J161" s="7">
        <f t="shared" si="7"/>
        <v>46238</v>
      </c>
      <c r="K161" s="8">
        <v>90</v>
      </c>
      <c r="L161" s="9">
        <f t="shared" si="6"/>
        <v>0</v>
      </c>
      <c r="M161" s="9" t="str" cm="1">
        <f t="array" ref="M161">_xlfn.IFS(L161&gt;=10,"HIGH",L161=0,"LOW",L161&lt;=9,"MEDIUM")</f>
        <v>LOW</v>
      </c>
      <c r="N161" s="9" t="str" cm="1">
        <f t="array" ref="N161">_xlfn.IFS(M161="HIGH",K161*L161,M161="MEDIUM",K161*L161,M161="LOW","NA")</f>
        <v>NA</v>
      </c>
      <c r="O161" s="18" t="str">
        <f t="shared" si="8"/>
        <v>cleared</v>
      </c>
    </row>
    <row r="162" spans="1:15" x14ac:dyDescent="0.25">
      <c r="A162" s="17">
        <v>158</v>
      </c>
      <c r="B162" s="6" t="s">
        <v>195</v>
      </c>
      <c r="C162" s="6" t="s">
        <v>37</v>
      </c>
      <c r="D162" s="6" t="s">
        <v>49</v>
      </c>
      <c r="E162" s="6" t="s">
        <v>61</v>
      </c>
      <c r="F162" s="6" t="s">
        <v>29</v>
      </c>
      <c r="G162" s="7">
        <v>46198</v>
      </c>
      <c r="H162" s="6">
        <v>4</v>
      </c>
      <c r="I162" s="7">
        <v>46209</v>
      </c>
      <c r="J162" s="7">
        <f t="shared" si="7"/>
        <v>46202</v>
      </c>
      <c r="K162" s="8">
        <v>120</v>
      </c>
      <c r="L162" s="9">
        <f t="shared" si="6"/>
        <v>7</v>
      </c>
      <c r="M162" s="9" t="str" cm="1">
        <f t="array" ref="M162">_xlfn.IFS(L162&gt;=10,"HIGH",L162=0,"LOW",L162&lt;=9,"MEDIUM")</f>
        <v>MEDIUM</v>
      </c>
      <c r="N162" s="9" cm="1">
        <f t="array" ref="N162">_xlfn.IFS(M162="HIGH",K162*L162,M162="MEDIUM",K162*L162,M162="LOW","NA")</f>
        <v>840</v>
      </c>
      <c r="O162" s="18" t="str">
        <f t="shared" si="8"/>
        <v>cleared</v>
      </c>
    </row>
    <row r="163" spans="1:15" x14ac:dyDescent="0.25">
      <c r="A163" s="17">
        <v>159</v>
      </c>
      <c r="B163" s="6" t="s">
        <v>196</v>
      </c>
      <c r="C163" s="6" t="s">
        <v>33</v>
      </c>
      <c r="D163" s="6" t="s">
        <v>20</v>
      </c>
      <c r="E163" s="6" t="s">
        <v>21</v>
      </c>
      <c r="F163" s="6" t="s">
        <v>24</v>
      </c>
      <c r="G163" s="7">
        <v>46231</v>
      </c>
      <c r="H163" s="6">
        <v>6</v>
      </c>
      <c r="I163" s="7">
        <v>46244</v>
      </c>
      <c r="J163" s="7">
        <f t="shared" si="7"/>
        <v>46237</v>
      </c>
      <c r="K163" s="8">
        <v>75</v>
      </c>
      <c r="L163" s="9">
        <f t="shared" si="6"/>
        <v>7</v>
      </c>
      <c r="M163" s="9" t="str" cm="1">
        <f t="array" ref="M163">_xlfn.IFS(L163&gt;=10,"HIGH",L163=0,"LOW",L163&lt;=9,"MEDIUM")</f>
        <v>MEDIUM</v>
      </c>
      <c r="N163" s="9" cm="1">
        <f t="array" ref="N163">_xlfn.IFS(M163="HIGH",K163*L163,M163="MEDIUM",K163*L163,M163="LOW","NA")</f>
        <v>525</v>
      </c>
      <c r="O163" s="18" t="str">
        <f t="shared" si="8"/>
        <v>cleared</v>
      </c>
    </row>
    <row r="164" spans="1:15" x14ac:dyDescent="0.25">
      <c r="A164" s="17">
        <v>160</v>
      </c>
      <c r="B164" s="6" t="s">
        <v>197</v>
      </c>
      <c r="C164" s="6" t="s">
        <v>16</v>
      </c>
      <c r="D164" s="6" t="s">
        <v>54</v>
      </c>
      <c r="E164" s="6" t="s">
        <v>42</v>
      </c>
      <c r="F164" s="6" t="s">
        <v>14</v>
      </c>
      <c r="G164" s="7">
        <v>46179</v>
      </c>
      <c r="H164" s="6">
        <v>5</v>
      </c>
      <c r="I164" s="7">
        <v>46188</v>
      </c>
      <c r="J164" s="7">
        <f t="shared" si="7"/>
        <v>46184</v>
      </c>
      <c r="K164" s="8">
        <v>75</v>
      </c>
      <c r="L164" s="9">
        <f t="shared" si="6"/>
        <v>4</v>
      </c>
      <c r="M164" s="9" t="str" cm="1">
        <f t="array" ref="M164">_xlfn.IFS(L164&gt;=10,"HIGH",L164=0,"LOW",L164&lt;=9,"MEDIUM")</f>
        <v>MEDIUM</v>
      </c>
      <c r="N164" s="9" cm="1">
        <f t="array" ref="N164">_xlfn.IFS(M164="HIGH",K164*L164,M164="MEDIUM",K164*L164,M164="LOW","NA")</f>
        <v>300</v>
      </c>
      <c r="O164" s="18" t="str">
        <f t="shared" si="8"/>
        <v>cleared</v>
      </c>
    </row>
    <row r="165" spans="1:15" x14ac:dyDescent="0.25">
      <c r="A165" s="17">
        <v>161</v>
      </c>
      <c r="B165" s="6" t="s">
        <v>198</v>
      </c>
      <c r="C165" s="6" t="s">
        <v>16</v>
      </c>
      <c r="D165" s="6" t="s">
        <v>54</v>
      </c>
      <c r="E165" s="6" t="s">
        <v>44</v>
      </c>
      <c r="F165" s="6" t="s">
        <v>27</v>
      </c>
      <c r="G165" s="7">
        <v>46170</v>
      </c>
      <c r="H165" s="6">
        <v>4</v>
      </c>
      <c r="I165" s="7">
        <v>46173</v>
      </c>
      <c r="J165" s="7">
        <f t="shared" si="7"/>
        <v>46174</v>
      </c>
      <c r="K165" s="8">
        <v>130</v>
      </c>
      <c r="L165" s="9">
        <f t="shared" si="6"/>
        <v>0</v>
      </c>
      <c r="M165" s="9" t="str" cm="1">
        <f t="array" ref="M165">_xlfn.IFS(L165&gt;=10,"HIGH",L165=0,"LOW",L165&lt;=9,"MEDIUM")</f>
        <v>LOW</v>
      </c>
      <c r="N165" s="9" t="str" cm="1">
        <f t="array" ref="N165">_xlfn.IFS(M165="HIGH",K165*L165,M165="MEDIUM",K165*L165,M165="LOW","NA")</f>
        <v>NA</v>
      </c>
      <c r="O165" s="18" t="str">
        <f t="shared" si="8"/>
        <v>cleared</v>
      </c>
    </row>
    <row r="166" spans="1:15" x14ac:dyDescent="0.25">
      <c r="A166" s="17">
        <v>162</v>
      </c>
      <c r="B166" s="6" t="s">
        <v>199</v>
      </c>
      <c r="C166" s="6" t="s">
        <v>11</v>
      </c>
      <c r="D166" s="6" t="s">
        <v>20</v>
      </c>
      <c r="E166" s="6" t="s">
        <v>61</v>
      </c>
      <c r="F166" s="6" t="s">
        <v>14</v>
      </c>
      <c r="G166" s="7">
        <v>46209</v>
      </c>
      <c r="H166" s="6">
        <v>4</v>
      </c>
      <c r="I166" s="6"/>
      <c r="J166" s="7">
        <f t="shared" si="7"/>
        <v>46213</v>
      </c>
      <c r="K166" s="8">
        <v>75</v>
      </c>
      <c r="L166" s="9">
        <f t="shared" si="6"/>
        <v>46</v>
      </c>
      <c r="M166" s="9" t="str" cm="1">
        <f t="array" ref="M166">_xlfn.IFS(L166&gt;=10,"HIGH",L166=0,"LOW",L166&lt;=9,"MEDIUM")</f>
        <v>HIGH</v>
      </c>
      <c r="N166" s="9" cm="1">
        <f t="array" ref="N166">_xlfn.IFS(M166="HIGH",K166*L166,M166="MEDIUM",K166*L166,M166="LOW","NA")</f>
        <v>3450</v>
      </c>
      <c r="O166" s="18" t="str">
        <f t="shared" si="8"/>
        <v>still in yard</v>
      </c>
    </row>
    <row r="167" spans="1:15" x14ac:dyDescent="0.25">
      <c r="A167" s="17">
        <v>163</v>
      </c>
      <c r="B167" s="6" t="s">
        <v>200</v>
      </c>
      <c r="C167" s="6" t="s">
        <v>16</v>
      </c>
      <c r="D167" s="6" t="s">
        <v>54</v>
      </c>
      <c r="E167" s="6" t="s">
        <v>44</v>
      </c>
      <c r="F167" s="6" t="s">
        <v>14</v>
      </c>
      <c r="G167" s="7">
        <v>46178</v>
      </c>
      <c r="H167" s="6">
        <v>5</v>
      </c>
      <c r="I167" s="7">
        <v>46181</v>
      </c>
      <c r="J167" s="7">
        <f t="shared" si="7"/>
        <v>46183</v>
      </c>
      <c r="K167" s="8">
        <v>75</v>
      </c>
      <c r="L167" s="9">
        <f t="shared" si="6"/>
        <v>0</v>
      </c>
      <c r="M167" s="9" t="str" cm="1">
        <f t="array" ref="M167">_xlfn.IFS(L167&gt;=10,"HIGH",L167=0,"LOW",L167&lt;=9,"MEDIUM")</f>
        <v>LOW</v>
      </c>
      <c r="N167" s="9" t="str" cm="1">
        <f t="array" ref="N167">_xlfn.IFS(M167="HIGH",K167*L167,M167="MEDIUM",K167*L167,M167="LOW","NA")</f>
        <v>NA</v>
      </c>
      <c r="O167" s="18" t="str">
        <f t="shared" si="8"/>
        <v>cleared</v>
      </c>
    </row>
    <row r="168" spans="1:15" x14ac:dyDescent="0.25">
      <c r="A168" s="17">
        <v>164</v>
      </c>
      <c r="B168" s="6" t="s">
        <v>201</v>
      </c>
      <c r="C168" s="6" t="s">
        <v>16</v>
      </c>
      <c r="D168" s="6" t="s">
        <v>20</v>
      </c>
      <c r="E168" s="6" t="s">
        <v>46</v>
      </c>
      <c r="F168" s="6" t="s">
        <v>24</v>
      </c>
      <c r="G168" s="7">
        <v>46215</v>
      </c>
      <c r="H168" s="6">
        <v>6</v>
      </c>
      <c r="I168" s="6"/>
      <c r="J168" s="7">
        <f t="shared" si="7"/>
        <v>46221</v>
      </c>
      <c r="K168" s="8">
        <v>90</v>
      </c>
      <c r="L168" s="9">
        <f t="shared" si="6"/>
        <v>38</v>
      </c>
      <c r="M168" s="9" t="str" cm="1">
        <f t="array" ref="M168">_xlfn.IFS(L168&gt;=10,"HIGH",L168=0,"LOW",L168&lt;=9,"MEDIUM")</f>
        <v>HIGH</v>
      </c>
      <c r="N168" s="9" cm="1">
        <f t="array" ref="N168">_xlfn.IFS(M168="HIGH",K168*L168,M168="MEDIUM",K168*L168,M168="LOW","NA")</f>
        <v>3420</v>
      </c>
      <c r="O168" s="18" t="str">
        <f t="shared" si="8"/>
        <v>still in yard</v>
      </c>
    </row>
    <row r="169" spans="1:15" x14ac:dyDescent="0.25">
      <c r="A169" s="17">
        <v>165</v>
      </c>
      <c r="B169" s="6" t="s">
        <v>202</v>
      </c>
      <c r="C169" s="6" t="s">
        <v>11</v>
      </c>
      <c r="D169" s="6" t="s">
        <v>31</v>
      </c>
      <c r="E169" s="6" t="s">
        <v>44</v>
      </c>
      <c r="F169" s="6" t="s">
        <v>24</v>
      </c>
      <c r="G169" s="7">
        <v>46217</v>
      </c>
      <c r="H169" s="6">
        <v>7</v>
      </c>
      <c r="I169" s="7">
        <v>46227</v>
      </c>
      <c r="J169" s="7">
        <f t="shared" si="7"/>
        <v>46224</v>
      </c>
      <c r="K169" s="8">
        <v>60</v>
      </c>
      <c r="L169" s="9">
        <f t="shared" si="6"/>
        <v>3</v>
      </c>
      <c r="M169" s="9" t="str" cm="1">
        <f t="array" ref="M169">_xlfn.IFS(L169&gt;=10,"HIGH",L169=0,"LOW",L169&lt;=9,"MEDIUM")</f>
        <v>MEDIUM</v>
      </c>
      <c r="N169" s="9" cm="1">
        <f t="array" ref="N169">_xlfn.IFS(M169="HIGH",K169*L169,M169="MEDIUM",K169*L169,M169="LOW","NA")</f>
        <v>180</v>
      </c>
      <c r="O169" s="18" t="str">
        <f t="shared" si="8"/>
        <v>cleared</v>
      </c>
    </row>
    <row r="170" spans="1:15" x14ac:dyDescent="0.25">
      <c r="A170" s="17">
        <v>166</v>
      </c>
      <c r="B170" s="6" t="s">
        <v>203</v>
      </c>
      <c r="C170" s="6" t="s">
        <v>33</v>
      </c>
      <c r="D170" s="6" t="s">
        <v>54</v>
      </c>
      <c r="E170" s="6" t="s">
        <v>13</v>
      </c>
      <c r="F170" s="6" t="s">
        <v>14</v>
      </c>
      <c r="G170" s="7">
        <v>46214</v>
      </c>
      <c r="H170" s="6">
        <v>6</v>
      </c>
      <c r="I170" s="7">
        <v>46215</v>
      </c>
      <c r="J170" s="7">
        <f t="shared" si="7"/>
        <v>46220</v>
      </c>
      <c r="K170" s="8">
        <v>130</v>
      </c>
      <c r="L170" s="9">
        <f t="shared" si="6"/>
        <v>0</v>
      </c>
      <c r="M170" s="9" t="str" cm="1">
        <f t="array" ref="M170">_xlfn.IFS(L170&gt;=10,"HIGH",L170=0,"LOW",L170&lt;=9,"MEDIUM")</f>
        <v>LOW</v>
      </c>
      <c r="N170" s="9" t="str" cm="1">
        <f t="array" ref="N170">_xlfn.IFS(M170="HIGH",K170*L170,M170="MEDIUM",K170*L170,M170="LOW","NA")</f>
        <v>NA</v>
      </c>
      <c r="O170" s="18" t="str">
        <f t="shared" si="8"/>
        <v>cleared</v>
      </c>
    </row>
    <row r="171" spans="1:15" x14ac:dyDescent="0.25">
      <c r="A171" s="17">
        <v>167</v>
      </c>
      <c r="B171" s="6" t="s">
        <v>204</v>
      </c>
      <c r="C171" s="6" t="s">
        <v>37</v>
      </c>
      <c r="D171" s="6" t="s">
        <v>56</v>
      </c>
      <c r="E171" s="6" t="s">
        <v>21</v>
      </c>
      <c r="F171" s="6" t="s">
        <v>24</v>
      </c>
      <c r="G171" s="7">
        <v>46237</v>
      </c>
      <c r="H171" s="6">
        <v>6</v>
      </c>
      <c r="I171" s="6"/>
      <c r="J171" s="7">
        <f t="shared" si="7"/>
        <v>46243</v>
      </c>
      <c r="K171" s="8">
        <v>75</v>
      </c>
      <c r="L171" s="9">
        <f t="shared" si="6"/>
        <v>16</v>
      </c>
      <c r="M171" s="9" t="str" cm="1">
        <f t="array" ref="M171">_xlfn.IFS(L171&gt;=10,"HIGH",L171=0,"LOW",L171&lt;=9,"MEDIUM")</f>
        <v>HIGH</v>
      </c>
      <c r="N171" s="9" cm="1">
        <f t="array" ref="N171">_xlfn.IFS(M171="HIGH",K171*L171,M171="MEDIUM",K171*L171,M171="LOW","NA")</f>
        <v>1200</v>
      </c>
      <c r="O171" s="18" t="str">
        <f t="shared" si="8"/>
        <v>still in yard</v>
      </c>
    </row>
    <row r="172" spans="1:15" x14ac:dyDescent="0.25">
      <c r="A172" s="17">
        <v>168</v>
      </c>
      <c r="B172" s="6" t="s">
        <v>205</v>
      </c>
      <c r="C172" s="6" t="s">
        <v>11</v>
      </c>
      <c r="D172" s="6" t="s">
        <v>54</v>
      </c>
      <c r="E172" s="6" t="s">
        <v>44</v>
      </c>
      <c r="F172" s="6" t="s">
        <v>24</v>
      </c>
      <c r="G172" s="7">
        <v>46196</v>
      </c>
      <c r="H172" s="6">
        <v>4</v>
      </c>
      <c r="I172" s="7">
        <v>46200</v>
      </c>
      <c r="J172" s="7">
        <f t="shared" si="7"/>
        <v>46200</v>
      </c>
      <c r="K172" s="8">
        <v>110</v>
      </c>
      <c r="L172" s="9">
        <f t="shared" si="6"/>
        <v>0</v>
      </c>
      <c r="M172" s="9" t="str" cm="1">
        <f t="array" ref="M172">_xlfn.IFS(L172&gt;=10,"HIGH",L172=0,"LOW",L172&lt;=9,"MEDIUM")</f>
        <v>LOW</v>
      </c>
      <c r="N172" s="9" t="str" cm="1">
        <f t="array" ref="N172">_xlfn.IFS(M172="HIGH",K172*L172,M172="MEDIUM",K172*L172,M172="LOW","NA")</f>
        <v>NA</v>
      </c>
      <c r="O172" s="18" t="str">
        <f t="shared" si="8"/>
        <v>cleared</v>
      </c>
    </row>
    <row r="173" spans="1:15" x14ac:dyDescent="0.25">
      <c r="A173" s="17">
        <v>169</v>
      </c>
      <c r="B173" s="6" t="s">
        <v>206</v>
      </c>
      <c r="C173" s="6" t="s">
        <v>11</v>
      </c>
      <c r="D173" s="6" t="s">
        <v>17</v>
      </c>
      <c r="E173" s="6" t="s">
        <v>46</v>
      </c>
      <c r="F173" s="6" t="s">
        <v>27</v>
      </c>
      <c r="G173" s="7">
        <v>46222</v>
      </c>
      <c r="H173" s="6">
        <v>5</v>
      </c>
      <c r="I173" s="7">
        <v>46224</v>
      </c>
      <c r="J173" s="7">
        <f t="shared" si="7"/>
        <v>46227</v>
      </c>
      <c r="K173" s="8">
        <v>75</v>
      </c>
      <c r="L173" s="9">
        <f t="shared" si="6"/>
        <v>0</v>
      </c>
      <c r="M173" s="9" t="str" cm="1">
        <f t="array" ref="M173">_xlfn.IFS(L173&gt;=10,"HIGH",L173=0,"LOW",L173&lt;=9,"MEDIUM")</f>
        <v>LOW</v>
      </c>
      <c r="N173" s="9" t="str" cm="1">
        <f t="array" ref="N173">_xlfn.IFS(M173="HIGH",K173*L173,M173="MEDIUM",K173*L173,M173="LOW","NA")</f>
        <v>NA</v>
      </c>
      <c r="O173" s="18" t="str">
        <f t="shared" si="8"/>
        <v>cleared</v>
      </c>
    </row>
    <row r="174" spans="1:15" x14ac:dyDescent="0.25">
      <c r="A174" s="17">
        <v>170</v>
      </c>
      <c r="B174" s="6" t="s">
        <v>207</v>
      </c>
      <c r="C174" s="6" t="s">
        <v>33</v>
      </c>
      <c r="D174" s="6" t="s">
        <v>12</v>
      </c>
      <c r="E174" s="6" t="s">
        <v>42</v>
      </c>
      <c r="F174" s="6" t="s">
        <v>14</v>
      </c>
      <c r="G174" s="7">
        <v>46196</v>
      </c>
      <c r="H174" s="6">
        <v>7</v>
      </c>
      <c r="I174" s="7">
        <v>46200</v>
      </c>
      <c r="J174" s="7">
        <f t="shared" si="7"/>
        <v>46203</v>
      </c>
      <c r="K174" s="8">
        <v>110</v>
      </c>
      <c r="L174" s="9">
        <f t="shared" si="6"/>
        <v>0</v>
      </c>
      <c r="M174" s="9" t="str" cm="1">
        <f t="array" ref="M174">_xlfn.IFS(L174&gt;=10,"HIGH",L174=0,"LOW",L174&lt;=9,"MEDIUM")</f>
        <v>LOW</v>
      </c>
      <c r="N174" s="9" t="str" cm="1">
        <f t="array" ref="N174">_xlfn.IFS(M174="HIGH",K174*L174,M174="MEDIUM",K174*L174,M174="LOW","NA")</f>
        <v>NA</v>
      </c>
      <c r="O174" s="18" t="str">
        <f t="shared" si="8"/>
        <v>cleared</v>
      </c>
    </row>
    <row r="175" spans="1:15" x14ac:dyDescent="0.25">
      <c r="A175" s="17">
        <v>171</v>
      </c>
      <c r="B175" s="6" t="s">
        <v>208</v>
      </c>
      <c r="C175" s="6" t="s">
        <v>33</v>
      </c>
      <c r="D175" s="6" t="s">
        <v>56</v>
      </c>
      <c r="E175" s="6" t="s">
        <v>13</v>
      </c>
      <c r="F175" s="6" t="s">
        <v>14</v>
      </c>
      <c r="G175" s="7">
        <v>46211</v>
      </c>
      <c r="H175" s="6">
        <v>5</v>
      </c>
      <c r="I175" s="7">
        <v>46213</v>
      </c>
      <c r="J175" s="7">
        <f t="shared" si="7"/>
        <v>46216</v>
      </c>
      <c r="K175" s="8">
        <v>110</v>
      </c>
      <c r="L175" s="9">
        <f t="shared" si="6"/>
        <v>0</v>
      </c>
      <c r="M175" s="9" t="str" cm="1">
        <f t="array" ref="M175">_xlfn.IFS(L175&gt;=10,"HIGH",L175=0,"LOW",L175&lt;=9,"MEDIUM")</f>
        <v>LOW</v>
      </c>
      <c r="N175" s="9" t="str" cm="1">
        <f t="array" ref="N175">_xlfn.IFS(M175="HIGH",K175*L175,M175="MEDIUM",K175*L175,M175="LOW","NA")</f>
        <v>NA</v>
      </c>
      <c r="O175" s="18" t="str">
        <f t="shared" si="8"/>
        <v>cleared</v>
      </c>
    </row>
    <row r="176" spans="1:15" x14ac:dyDescent="0.25">
      <c r="A176" s="17">
        <v>172</v>
      </c>
      <c r="B176" s="6" t="s">
        <v>209</v>
      </c>
      <c r="C176" s="6" t="s">
        <v>37</v>
      </c>
      <c r="D176" s="6" t="s">
        <v>49</v>
      </c>
      <c r="E176" s="6" t="s">
        <v>18</v>
      </c>
      <c r="F176" s="6" t="s">
        <v>29</v>
      </c>
      <c r="G176" s="7">
        <v>46242</v>
      </c>
      <c r="H176" s="6">
        <v>4</v>
      </c>
      <c r="I176" s="7">
        <v>46243</v>
      </c>
      <c r="J176" s="7">
        <f t="shared" si="7"/>
        <v>46246</v>
      </c>
      <c r="K176" s="8">
        <v>120</v>
      </c>
      <c r="L176" s="9">
        <f t="shared" si="6"/>
        <v>0</v>
      </c>
      <c r="M176" s="9" t="str" cm="1">
        <f t="array" ref="M176">_xlfn.IFS(L176&gt;=10,"HIGH",L176=0,"LOW",L176&lt;=9,"MEDIUM")</f>
        <v>LOW</v>
      </c>
      <c r="N176" s="9" t="str" cm="1">
        <f t="array" ref="N176">_xlfn.IFS(M176="HIGH",K176*L176,M176="MEDIUM",K176*L176,M176="LOW","NA")</f>
        <v>NA</v>
      </c>
      <c r="O176" s="18" t="str">
        <f t="shared" si="8"/>
        <v>cleared</v>
      </c>
    </row>
    <row r="177" spans="1:15" x14ac:dyDescent="0.25">
      <c r="A177" s="17">
        <v>173</v>
      </c>
      <c r="B177" s="6" t="s">
        <v>210</v>
      </c>
      <c r="C177" s="6" t="s">
        <v>11</v>
      </c>
      <c r="D177" s="6" t="s">
        <v>26</v>
      </c>
      <c r="E177" s="6" t="s">
        <v>39</v>
      </c>
      <c r="F177" s="6" t="s">
        <v>27</v>
      </c>
      <c r="G177" s="7">
        <v>46201</v>
      </c>
      <c r="H177" s="6">
        <v>7</v>
      </c>
      <c r="I177" s="7">
        <v>46202</v>
      </c>
      <c r="J177" s="7">
        <f t="shared" si="7"/>
        <v>46208</v>
      </c>
      <c r="K177" s="8">
        <v>75</v>
      </c>
      <c r="L177" s="9">
        <f t="shared" si="6"/>
        <v>0</v>
      </c>
      <c r="M177" s="9" t="str" cm="1">
        <f t="array" ref="M177">_xlfn.IFS(L177&gt;=10,"HIGH",L177=0,"LOW",L177&lt;=9,"MEDIUM")</f>
        <v>LOW</v>
      </c>
      <c r="N177" s="9" t="str" cm="1">
        <f t="array" ref="N177">_xlfn.IFS(M177="HIGH",K177*L177,M177="MEDIUM",K177*L177,M177="LOW","NA")</f>
        <v>NA</v>
      </c>
      <c r="O177" s="18" t="str">
        <f t="shared" si="8"/>
        <v>cleared</v>
      </c>
    </row>
    <row r="178" spans="1:15" x14ac:dyDescent="0.25">
      <c r="A178" s="17">
        <v>174</v>
      </c>
      <c r="B178" s="6" t="s">
        <v>211</v>
      </c>
      <c r="C178" s="6" t="s">
        <v>33</v>
      </c>
      <c r="D178" s="6" t="s">
        <v>41</v>
      </c>
      <c r="E178" s="6" t="s">
        <v>46</v>
      </c>
      <c r="F178" s="6" t="s">
        <v>27</v>
      </c>
      <c r="G178" s="7">
        <v>46242</v>
      </c>
      <c r="H178" s="6">
        <v>5</v>
      </c>
      <c r="I178" s="7">
        <v>46249</v>
      </c>
      <c r="J178" s="7">
        <f t="shared" si="7"/>
        <v>46247</v>
      </c>
      <c r="K178" s="8">
        <v>75</v>
      </c>
      <c r="L178" s="9">
        <f t="shared" si="6"/>
        <v>2</v>
      </c>
      <c r="M178" s="9" t="str" cm="1">
        <f t="array" ref="M178">_xlfn.IFS(L178&gt;=10,"HIGH",L178=0,"LOW",L178&lt;=9,"MEDIUM")</f>
        <v>MEDIUM</v>
      </c>
      <c r="N178" s="9" cm="1">
        <f t="array" ref="N178">_xlfn.IFS(M178="HIGH",K178*L178,M178="MEDIUM",K178*L178,M178="LOW","NA")</f>
        <v>150</v>
      </c>
      <c r="O178" s="18" t="str">
        <f t="shared" si="8"/>
        <v>cleared</v>
      </c>
    </row>
    <row r="179" spans="1:15" x14ac:dyDescent="0.25">
      <c r="A179" s="17">
        <v>175</v>
      </c>
      <c r="B179" s="6" t="s">
        <v>212</v>
      </c>
      <c r="C179" s="6" t="s">
        <v>11</v>
      </c>
      <c r="D179" s="6" t="s">
        <v>31</v>
      </c>
      <c r="E179" s="6" t="s">
        <v>21</v>
      </c>
      <c r="F179" s="6" t="s">
        <v>27</v>
      </c>
      <c r="G179" s="7">
        <v>46239</v>
      </c>
      <c r="H179" s="6">
        <v>5</v>
      </c>
      <c r="I179" s="7">
        <v>46242</v>
      </c>
      <c r="J179" s="7">
        <f t="shared" si="7"/>
        <v>46244</v>
      </c>
      <c r="K179" s="8">
        <v>130</v>
      </c>
      <c r="L179" s="9">
        <f t="shared" si="6"/>
        <v>0</v>
      </c>
      <c r="M179" s="9" t="str" cm="1">
        <f t="array" ref="M179">_xlfn.IFS(L179&gt;=10,"HIGH",L179=0,"LOW",L179&lt;=9,"MEDIUM")</f>
        <v>LOW</v>
      </c>
      <c r="N179" s="9" t="str" cm="1">
        <f t="array" ref="N179">_xlfn.IFS(M179="HIGH",K179*L179,M179="MEDIUM",K179*L179,M179="LOW","NA")</f>
        <v>NA</v>
      </c>
      <c r="O179" s="18" t="str">
        <f t="shared" si="8"/>
        <v>cleared</v>
      </c>
    </row>
    <row r="180" spans="1:15" x14ac:dyDescent="0.25">
      <c r="A180" s="17">
        <v>176</v>
      </c>
      <c r="B180" s="6" t="s">
        <v>213</v>
      </c>
      <c r="C180" s="6" t="s">
        <v>11</v>
      </c>
      <c r="D180" s="6" t="s">
        <v>12</v>
      </c>
      <c r="E180" s="6" t="s">
        <v>18</v>
      </c>
      <c r="F180" s="6" t="s">
        <v>24</v>
      </c>
      <c r="G180" s="7">
        <v>46234</v>
      </c>
      <c r="H180" s="6">
        <v>5</v>
      </c>
      <c r="I180" s="7">
        <v>46238</v>
      </c>
      <c r="J180" s="7">
        <f t="shared" si="7"/>
        <v>46239</v>
      </c>
      <c r="K180" s="8">
        <v>60</v>
      </c>
      <c r="L180" s="9">
        <f t="shared" si="6"/>
        <v>0</v>
      </c>
      <c r="M180" s="9" t="str" cm="1">
        <f t="array" ref="M180">_xlfn.IFS(L180&gt;=10,"HIGH",L180=0,"LOW",L180&lt;=9,"MEDIUM")</f>
        <v>LOW</v>
      </c>
      <c r="N180" s="9" t="str" cm="1">
        <f t="array" ref="N180">_xlfn.IFS(M180="HIGH",K180*L180,M180="MEDIUM",K180*L180,M180="LOW","NA")</f>
        <v>NA</v>
      </c>
      <c r="O180" s="18" t="str">
        <f t="shared" si="8"/>
        <v>cleared</v>
      </c>
    </row>
    <row r="181" spans="1:15" x14ac:dyDescent="0.25">
      <c r="A181" s="17">
        <v>177</v>
      </c>
      <c r="B181" s="6" t="s">
        <v>214</v>
      </c>
      <c r="C181" s="6" t="s">
        <v>37</v>
      </c>
      <c r="D181" s="6" t="s">
        <v>49</v>
      </c>
      <c r="E181" s="6" t="s">
        <v>23</v>
      </c>
      <c r="F181" s="6" t="s">
        <v>27</v>
      </c>
      <c r="G181" s="7">
        <v>46220</v>
      </c>
      <c r="H181" s="6">
        <v>5</v>
      </c>
      <c r="I181" s="7">
        <v>46223</v>
      </c>
      <c r="J181" s="7">
        <f t="shared" si="7"/>
        <v>46225</v>
      </c>
      <c r="K181" s="8">
        <v>75</v>
      </c>
      <c r="L181" s="9">
        <f t="shared" si="6"/>
        <v>0</v>
      </c>
      <c r="M181" s="9" t="str" cm="1">
        <f t="array" ref="M181">_xlfn.IFS(L181&gt;=10,"HIGH",L181=0,"LOW",L181&lt;=9,"MEDIUM")</f>
        <v>LOW</v>
      </c>
      <c r="N181" s="9" t="str" cm="1">
        <f t="array" ref="N181">_xlfn.IFS(M181="HIGH",K181*L181,M181="MEDIUM",K181*L181,M181="LOW","NA")</f>
        <v>NA</v>
      </c>
      <c r="O181" s="18" t="str">
        <f t="shared" si="8"/>
        <v>cleared</v>
      </c>
    </row>
    <row r="182" spans="1:15" x14ac:dyDescent="0.25">
      <c r="A182" s="17">
        <v>178</v>
      </c>
      <c r="B182" s="6" t="s">
        <v>215</v>
      </c>
      <c r="C182" s="6" t="s">
        <v>16</v>
      </c>
      <c r="D182" s="6" t="s">
        <v>56</v>
      </c>
      <c r="E182" s="6" t="s">
        <v>46</v>
      </c>
      <c r="F182" s="6" t="s">
        <v>27</v>
      </c>
      <c r="G182" s="7">
        <v>46209</v>
      </c>
      <c r="H182" s="6">
        <v>6</v>
      </c>
      <c r="I182" s="6"/>
      <c r="J182" s="7">
        <f t="shared" si="7"/>
        <v>46215</v>
      </c>
      <c r="K182" s="8">
        <v>110</v>
      </c>
      <c r="L182" s="9">
        <f t="shared" si="6"/>
        <v>44</v>
      </c>
      <c r="M182" s="9" t="str" cm="1">
        <f t="array" ref="M182">_xlfn.IFS(L182&gt;=10,"HIGH",L182=0,"LOW",L182&lt;=9,"MEDIUM")</f>
        <v>HIGH</v>
      </c>
      <c r="N182" s="9" cm="1">
        <f t="array" ref="N182">_xlfn.IFS(M182="HIGH",K182*L182,M182="MEDIUM",K182*L182,M182="LOW","NA")</f>
        <v>4840</v>
      </c>
      <c r="O182" s="18" t="str">
        <f t="shared" si="8"/>
        <v>still in yard</v>
      </c>
    </row>
    <row r="183" spans="1:15" x14ac:dyDescent="0.25">
      <c r="A183" s="17">
        <v>179</v>
      </c>
      <c r="B183" s="6" t="s">
        <v>216</v>
      </c>
      <c r="C183" s="6" t="s">
        <v>33</v>
      </c>
      <c r="D183" s="6" t="s">
        <v>20</v>
      </c>
      <c r="E183" s="6" t="s">
        <v>61</v>
      </c>
      <c r="F183" s="6" t="s">
        <v>24</v>
      </c>
      <c r="G183" s="7">
        <v>46199</v>
      </c>
      <c r="H183" s="6">
        <v>4</v>
      </c>
      <c r="I183" s="6"/>
      <c r="J183" s="7">
        <f t="shared" si="7"/>
        <v>46203</v>
      </c>
      <c r="K183" s="8">
        <v>130</v>
      </c>
      <c r="L183" s="9">
        <f t="shared" si="6"/>
        <v>56</v>
      </c>
      <c r="M183" s="9" t="str" cm="1">
        <f t="array" ref="M183">_xlfn.IFS(L183&gt;=10,"HIGH",L183=0,"LOW",L183&lt;=9,"MEDIUM")</f>
        <v>HIGH</v>
      </c>
      <c r="N183" s="9" cm="1">
        <f t="array" ref="N183">_xlfn.IFS(M183="HIGH",K183*L183,M183="MEDIUM",K183*L183,M183="LOW","NA")</f>
        <v>7280</v>
      </c>
      <c r="O183" s="18" t="str">
        <f t="shared" si="8"/>
        <v>still in yard</v>
      </c>
    </row>
    <row r="184" spans="1:15" x14ac:dyDescent="0.25">
      <c r="A184" s="17">
        <v>180</v>
      </c>
      <c r="B184" s="6" t="s">
        <v>217</v>
      </c>
      <c r="C184" s="6" t="s">
        <v>33</v>
      </c>
      <c r="D184" s="6" t="s">
        <v>54</v>
      </c>
      <c r="E184" s="6" t="s">
        <v>18</v>
      </c>
      <c r="F184" s="6" t="s">
        <v>29</v>
      </c>
      <c r="G184" s="7">
        <v>46169</v>
      </c>
      <c r="H184" s="6">
        <v>4</v>
      </c>
      <c r="I184" s="7">
        <v>46170</v>
      </c>
      <c r="J184" s="7">
        <f t="shared" si="7"/>
        <v>46173</v>
      </c>
      <c r="K184" s="8">
        <v>180</v>
      </c>
      <c r="L184" s="9">
        <f t="shared" si="6"/>
        <v>0</v>
      </c>
      <c r="M184" s="9" t="str" cm="1">
        <f t="array" ref="M184">_xlfn.IFS(L184&gt;=10,"HIGH",L184=0,"LOW",L184&lt;=9,"MEDIUM")</f>
        <v>LOW</v>
      </c>
      <c r="N184" s="9" t="str" cm="1">
        <f t="array" ref="N184">_xlfn.IFS(M184="HIGH",K184*L184,M184="MEDIUM",K184*L184,M184="LOW","NA")</f>
        <v>NA</v>
      </c>
      <c r="O184" s="18" t="str">
        <f t="shared" si="8"/>
        <v>cleared</v>
      </c>
    </row>
    <row r="185" spans="1:15" x14ac:dyDescent="0.25">
      <c r="A185" s="17">
        <v>181</v>
      </c>
      <c r="B185" s="6" t="s">
        <v>218</v>
      </c>
      <c r="C185" s="6" t="s">
        <v>37</v>
      </c>
      <c r="D185" s="6" t="s">
        <v>12</v>
      </c>
      <c r="E185" s="6" t="s">
        <v>42</v>
      </c>
      <c r="F185" s="6" t="s">
        <v>29</v>
      </c>
      <c r="G185" s="7">
        <v>46203</v>
      </c>
      <c r="H185" s="6">
        <v>4</v>
      </c>
      <c r="I185" s="6"/>
      <c r="J185" s="7">
        <f t="shared" si="7"/>
        <v>46207</v>
      </c>
      <c r="K185" s="8">
        <v>180</v>
      </c>
      <c r="L185" s="9">
        <f t="shared" si="6"/>
        <v>52</v>
      </c>
      <c r="M185" s="9" t="str" cm="1">
        <f t="array" ref="M185">_xlfn.IFS(L185&gt;=10,"HIGH",L185=0,"LOW",L185&lt;=9,"MEDIUM")</f>
        <v>HIGH</v>
      </c>
      <c r="N185" s="9" cm="1">
        <f t="array" ref="N185">_xlfn.IFS(M185="HIGH",K185*L185,M185="MEDIUM",K185*L185,M185="LOW","NA")</f>
        <v>9360</v>
      </c>
      <c r="O185" s="18" t="str">
        <f t="shared" si="8"/>
        <v>still in yard</v>
      </c>
    </row>
    <row r="186" spans="1:15" x14ac:dyDescent="0.25">
      <c r="A186" s="17">
        <v>182</v>
      </c>
      <c r="B186" s="6" t="s">
        <v>219</v>
      </c>
      <c r="C186" s="6" t="s">
        <v>16</v>
      </c>
      <c r="D186" s="6" t="s">
        <v>49</v>
      </c>
      <c r="E186" s="6" t="s">
        <v>18</v>
      </c>
      <c r="F186" s="6" t="s">
        <v>29</v>
      </c>
      <c r="G186" s="7">
        <v>46178</v>
      </c>
      <c r="H186" s="6">
        <v>3</v>
      </c>
      <c r="I186" s="6"/>
      <c r="J186" s="7">
        <f t="shared" si="7"/>
        <v>46181</v>
      </c>
      <c r="K186" s="8">
        <v>150</v>
      </c>
      <c r="L186" s="9">
        <f t="shared" si="6"/>
        <v>78</v>
      </c>
      <c r="M186" s="9" t="str" cm="1">
        <f t="array" ref="M186">_xlfn.IFS(L186&gt;=10,"HIGH",L186=0,"LOW",L186&lt;=9,"MEDIUM")</f>
        <v>HIGH</v>
      </c>
      <c r="N186" s="9" cm="1">
        <f t="array" ref="N186">_xlfn.IFS(M186="HIGH",K186*L186,M186="MEDIUM",K186*L186,M186="LOW","NA")</f>
        <v>11700</v>
      </c>
      <c r="O186" s="18" t="str">
        <f t="shared" si="8"/>
        <v>still in yard</v>
      </c>
    </row>
    <row r="187" spans="1:15" x14ac:dyDescent="0.25">
      <c r="A187" s="17">
        <v>183</v>
      </c>
      <c r="B187" s="6" t="s">
        <v>220</v>
      </c>
      <c r="C187" s="6" t="s">
        <v>33</v>
      </c>
      <c r="D187" s="6" t="s">
        <v>41</v>
      </c>
      <c r="E187" s="6" t="s">
        <v>44</v>
      </c>
      <c r="F187" s="6" t="s">
        <v>29</v>
      </c>
      <c r="G187" s="7">
        <v>46192</v>
      </c>
      <c r="H187" s="6">
        <v>4</v>
      </c>
      <c r="I187" s="7">
        <v>46193</v>
      </c>
      <c r="J187" s="7">
        <f t="shared" si="7"/>
        <v>46196</v>
      </c>
      <c r="K187" s="8">
        <v>120</v>
      </c>
      <c r="L187" s="9">
        <f t="shared" si="6"/>
        <v>0</v>
      </c>
      <c r="M187" s="9" t="str" cm="1">
        <f t="array" ref="M187">_xlfn.IFS(L187&gt;=10,"HIGH",L187=0,"LOW",L187&lt;=9,"MEDIUM")</f>
        <v>LOW</v>
      </c>
      <c r="N187" s="9" t="str" cm="1">
        <f t="array" ref="N187">_xlfn.IFS(M187="HIGH",K187*L187,M187="MEDIUM",K187*L187,M187="LOW","NA")</f>
        <v>NA</v>
      </c>
      <c r="O187" s="18" t="str">
        <f t="shared" si="8"/>
        <v>cleared</v>
      </c>
    </row>
    <row r="188" spans="1:15" x14ac:dyDescent="0.25">
      <c r="A188" s="17">
        <v>184</v>
      </c>
      <c r="B188" s="6" t="s">
        <v>221</v>
      </c>
      <c r="C188" s="6" t="s">
        <v>11</v>
      </c>
      <c r="D188" s="6" t="s">
        <v>54</v>
      </c>
      <c r="E188" s="6" t="s">
        <v>13</v>
      </c>
      <c r="F188" s="6" t="s">
        <v>29</v>
      </c>
      <c r="G188" s="7">
        <v>46245</v>
      </c>
      <c r="H188" s="6">
        <v>3</v>
      </c>
      <c r="I188" s="6"/>
      <c r="J188" s="7">
        <f t="shared" si="7"/>
        <v>46248</v>
      </c>
      <c r="K188" s="8">
        <v>120</v>
      </c>
      <c r="L188" s="9">
        <f t="shared" si="6"/>
        <v>11</v>
      </c>
      <c r="M188" s="9" t="str" cm="1">
        <f t="array" ref="M188">_xlfn.IFS(L188&gt;=10,"HIGH",L188=0,"LOW",L188&lt;=9,"MEDIUM")</f>
        <v>HIGH</v>
      </c>
      <c r="N188" s="9" cm="1">
        <f t="array" ref="N188">_xlfn.IFS(M188="HIGH",K188*L188,M188="MEDIUM",K188*L188,M188="LOW","NA")</f>
        <v>1320</v>
      </c>
      <c r="O188" s="18" t="str">
        <f t="shared" si="8"/>
        <v>still in yard</v>
      </c>
    </row>
    <row r="189" spans="1:15" x14ac:dyDescent="0.25">
      <c r="A189" s="17">
        <v>185</v>
      </c>
      <c r="B189" s="6" t="s">
        <v>222</v>
      </c>
      <c r="C189" s="6" t="s">
        <v>37</v>
      </c>
      <c r="D189" s="6" t="s">
        <v>20</v>
      </c>
      <c r="E189" s="6" t="s">
        <v>61</v>
      </c>
      <c r="F189" s="6" t="s">
        <v>24</v>
      </c>
      <c r="G189" s="7">
        <v>46246</v>
      </c>
      <c r="H189" s="6">
        <v>7</v>
      </c>
      <c r="I189" s="7">
        <v>46254</v>
      </c>
      <c r="J189" s="7">
        <f t="shared" si="7"/>
        <v>46253</v>
      </c>
      <c r="K189" s="8">
        <v>60</v>
      </c>
      <c r="L189" s="9">
        <f t="shared" si="6"/>
        <v>1</v>
      </c>
      <c r="M189" s="9" t="str" cm="1">
        <f t="array" ref="M189">_xlfn.IFS(L189&gt;=10,"HIGH",L189=0,"LOW",L189&lt;=9,"MEDIUM")</f>
        <v>MEDIUM</v>
      </c>
      <c r="N189" s="9" cm="1">
        <f t="array" ref="N189">_xlfn.IFS(M189="HIGH",K189*L189,M189="MEDIUM",K189*L189,M189="LOW","NA")</f>
        <v>60</v>
      </c>
      <c r="O189" s="18" t="str">
        <f t="shared" si="8"/>
        <v>cleared</v>
      </c>
    </row>
    <row r="190" spans="1:15" x14ac:dyDescent="0.25">
      <c r="A190" s="17">
        <v>186</v>
      </c>
      <c r="B190" s="6" t="s">
        <v>223</v>
      </c>
      <c r="C190" s="6" t="s">
        <v>11</v>
      </c>
      <c r="D190" s="6" t="s">
        <v>17</v>
      </c>
      <c r="E190" s="6" t="s">
        <v>39</v>
      </c>
      <c r="F190" s="6" t="s">
        <v>29</v>
      </c>
      <c r="G190" s="7">
        <v>46200</v>
      </c>
      <c r="H190" s="6">
        <v>3</v>
      </c>
      <c r="I190" s="7">
        <v>46207</v>
      </c>
      <c r="J190" s="7">
        <f t="shared" si="7"/>
        <v>46203</v>
      </c>
      <c r="K190" s="8">
        <v>120</v>
      </c>
      <c r="L190" s="9">
        <f t="shared" si="6"/>
        <v>4</v>
      </c>
      <c r="M190" s="9" t="str" cm="1">
        <f t="array" ref="M190">_xlfn.IFS(L190&gt;=10,"HIGH",L190=0,"LOW",L190&lt;=9,"MEDIUM")</f>
        <v>MEDIUM</v>
      </c>
      <c r="N190" s="9" cm="1">
        <f t="array" ref="N190">_xlfn.IFS(M190="HIGH",K190*L190,M190="MEDIUM",K190*L190,M190="LOW","NA")</f>
        <v>480</v>
      </c>
      <c r="O190" s="18" t="str">
        <f t="shared" si="8"/>
        <v>cleared</v>
      </c>
    </row>
    <row r="191" spans="1:15" x14ac:dyDescent="0.25">
      <c r="A191" s="17">
        <v>187</v>
      </c>
      <c r="B191" s="6" t="s">
        <v>224</v>
      </c>
      <c r="C191" s="6" t="s">
        <v>33</v>
      </c>
      <c r="D191" s="6" t="s">
        <v>17</v>
      </c>
      <c r="E191" s="6" t="s">
        <v>42</v>
      </c>
      <c r="F191" s="6" t="s">
        <v>24</v>
      </c>
      <c r="G191" s="7">
        <v>46177</v>
      </c>
      <c r="H191" s="6">
        <v>4</v>
      </c>
      <c r="I191" s="6"/>
      <c r="J191" s="7">
        <f t="shared" si="7"/>
        <v>46181</v>
      </c>
      <c r="K191" s="8">
        <v>110</v>
      </c>
      <c r="L191" s="9">
        <f t="shared" si="6"/>
        <v>78</v>
      </c>
      <c r="M191" s="9" t="str" cm="1">
        <f t="array" ref="M191">_xlfn.IFS(L191&gt;=10,"HIGH",L191=0,"LOW",L191&lt;=9,"MEDIUM")</f>
        <v>HIGH</v>
      </c>
      <c r="N191" s="9" cm="1">
        <f t="array" ref="N191">_xlfn.IFS(M191="HIGH",K191*L191,M191="MEDIUM",K191*L191,M191="LOW","NA")</f>
        <v>8580</v>
      </c>
      <c r="O191" s="18" t="str">
        <f t="shared" si="8"/>
        <v>still in yard</v>
      </c>
    </row>
    <row r="192" spans="1:15" x14ac:dyDescent="0.25">
      <c r="A192" s="17">
        <v>188</v>
      </c>
      <c r="B192" s="6" t="s">
        <v>225</v>
      </c>
      <c r="C192" s="6" t="s">
        <v>33</v>
      </c>
      <c r="D192" s="6" t="s">
        <v>54</v>
      </c>
      <c r="E192" s="6" t="s">
        <v>44</v>
      </c>
      <c r="F192" s="6" t="s">
        <v>14</v>
      </c>
      <c r="G192" s="7">
        <v>46205</v>
      </c>
      <c r="H192" s="6">
        <v>6</v>
      </c>
      <c r="I192" s="7">
        <v>46208</v>
      </c>
      <c r="J192" s="7">
        <f t="shared" si="7"/>
        <v>46211</v>
      </c>
      <c r="K192" s="8">
        <v>60</v>
      </c>
      <c r="L192" s="9">
        <f t="shared" si="6"/>
        <v>0</v>
      </c>
      <c r="M192" s="9" t="str" cm="1">
        <f t="array" ref="M192">_xlfn.IFS(L192&gt;=10,"HIGH",L192=0,"LOW",L192&lt;=9,"MEDIUM")</f>
        <v>LOW</v>
      </c>
      <c r="N192" s="9" t="str" cm="1">
        <f t="array" ref="N192">_xlfn.IFS(M192="HIGH",K192*L192,M192="MEDIUM",K192*L192,M192="LOW","NA")</f>
        <v>NA</v>
      </c>
      <c r="O192" s="18" t="str">
        <f t="shared" si="8"/>
        <v>cleared</v>
      </c>
    </row>
    <row r="193" spans="1:15" x14ac:dyDescent="0.25">
      <c r="A193" s="17">
        <v>189</v>
      </c>
      <c r="B193" s="6" t="s">
        <v>226</v>
      </c>
      <c r="C193" s="6" t="s">
        <v>37</v>
      </c>
      <c r="D193" s="6" t="s">
        <v>31</v>
      </c>
      <c r="E193" s="6" t="s">
        <v>13</v>
      </c>
      <c r="F193" s="6" t="s">
        <v>27</v>
      </c>
      <c r="G193" s="7">
        <v>46208</v>
      </c>
      <c r="H193" s="6">
        <v>6</v>
      </c>
      <c r="I193" s="6"/>
      <c r="J193" s="7">
        <f t="shared" si="7"/>
        <v>46214</v>
      </c>
      <c r="K193" s="8">
        <v>75</v>
      </c>
      <c r="L193" s="9">
        <f t="shared" si="6"/>
        <v>45</v>
      </c>
      <c r="M193" s="9" t="str" cm="1">
        <f t="array" ref="M193">_xlfn.IFS(L193&gt;=10,"HIGH",L193=0,"LOW",L193&lt;=9,"MEDIUM")</f>
        <v>HIGH</v>
      </c>
      <c r="N193" s="9" cm="1">
        <f t="array" ref="N193">_xlfn.IFS(M193="HIGH",K193*L193,M193="MEDIUM",K193*L193,M193="LOW","NA")</f>
        <v>3375</v>
      </c>
      <c r="O193" s="18" t="str">
        <f t="shared" si="8"/>
        <v>still in yard</v>
      </c>
    </row>
    <row r="194" spans="1:15" x14ac:dyDescent="0.25">
      <c r="A194" s="17">
        <v>190</v>
      </c>
      <c r="B194" s="6" t="s">
        <v>227</v>
      </c>
      <c r="C194" s="6" t="s">
        <v>16</v>
      </c>
      <c r="D194" s="6" t="s">
        <v>20</v>
      </c>
      <c r="E194" s="6" t="s">
        <v>35</v>
      </c>
      <c r="F194" s="6" t="s">
        <v>27</v>
      </c>
      <c r="G194" s="7">
        <v>46240</v>
      </c>
      <c r="H194" s="6">
        <v>5</v>
      </c>
      <c r="I194" s="7">
        <v>46241</v>
      </c>
      <c r="J194" s="7">
        <f t="shared" si="7"/>
        <v>46245</v>
      </c>
      <c r="K194" s="8">
        <v>110</v>
      </c>
      <c r="L194" s="9">
        <f t="shared" si="6"/>
        <v>0</v>
      </c>
      <c r="M194" s="9" t="str" cm="1">
        <f t="array" ref="M194">_xlfn.IFS(L194&gt;=10,"HIGH",L194=0,"LOW",L194&lt;=9,"MEDIUM")</f>
        <v>LOW</v>
      </c>
      <c r="N194" s="9" t="str" cm="1">
        <f t="array" ref="N194">_xlfn.IFS(M194="HIGH",K194*L194,M194="MEDIUM",K194*L194,M194="LOW","NA")</f>
        <v>NA</v>
      </c>
      <c r="O194" s="18" t="str">
        <f t="shared" si="8"/>
        <v>cleared</v>
      </c>
    </row>
    <row r="195" spans="1:15" x14ac:dyDescent="0.25">
      <c r="A195" s="17">
        <v>191</v>
      </c>
      <c r="B195" s="6" t="s">
        <v>228</v>
      </c>
      <c r="C195" s="6" t="s">
        <v>33</v>
      </c>
      <c r="D195" s="6" t="s">
        <v>31</v>
      </c>
      <c r="E195" s="6" t="s">
        <v>61</v>
      </c>
      <c r="F195" s="6" t="s">
        <v>27</v>
      </c>
      <c r="G195" s="7">
        <v>46198</v>
      </c>
      <c r="H195" s="6">
        <v>5</v>
      </c>
      <c r="I195" s="7">
        <v>46203</v>
      </c>
      <c r="J195" s="7">
        <f t="shared" si="7"/>
        <v>46203</v>
      </c>
      <c r="K195" s="8">
        <v>90</v>
      </c>
      <c r="L195" s="9">
        <f t="shared" si="6"/>
        <v>0</v>
      </c>
      <c r="M195" s="9" t="str" cm="1">
        <f t="array" ref="M195">_xlfn.IFS(L195&gt;=10,"HIGH",L195=0,"LOW",L195&lt;=9,"MEDIUM")</f>
        <v>LOW</v>
      </c>
      <c r="N195" s="9" t="str" cm="1">
        <f t="array" ref="N195">_xlfn.IFS(M195="HIGH",K195*L195,M195="MEDIUM",K195*L195,M195="LOW","NA")</f>
        <v>NA</v>
      </c>
      <c r="O195" s="18" t="str">
        <f t="shared" si="8"/>
        <v>cleared</v>
      </c>
    </row>
    <row r="196" spans="1:15" x14ac:dyDescent="0.25">
      <c r="A196" s="17">
        <v>192</v>
      </c>
      <c r="B196" s="6" t="s">
        <v>229</v>
      </c>
      <c r="C196" s="6" t="s">
        <v>33</v>
      </c>
      <c r="D196" s="6" t="s">
        <v>12</v>
      </c>
      <c r="E196" s="6" t="s">
        <v>35</v>
      </c>
      <c r="F196" s="6" t="s">
        <v>14</v>
      </c>
      <c r="G196" s="7">
        <v>46223</v>
      </c>
      <c r="H196" s="6">
        <v>5</v>
      </c>
      <c r="I196" s="6"/>
      <c r="J196" s="7">
        <f t="shared" si="7"/>
        <v>46228</v>
      </c>
      <c r="K196" s="8">
        <v>90</v>
      </c>
      <c r="L196" s="9">
        <f t="shared" si="6"/>
        <v>31</v>
      </c>
      <c r="M196" s="9" t="str" cm="1">
        <f t="array" ref="M196">_xlfn.IFS(L196&gt;=10,"HIGH",L196=0,"LOW",L196&lt;=9,"MEDIUM")</f>
        <v>HIGH</v>
      </c>
      <c r="N196" s="9" cm="1">
        <f t="array" ref="N196">_xlfn.IFS(M196="HIGH",K196*L196,M196="MEDIUM",K196*L196,M196="LOW","NA")</f>
        <v>2790</v>
      </c>
      <c r="O196" s="18" t="str">
        <f t="shared" si="8"/>
        <v>still in yard</v>
      </c>
    </row>
    <row r="197" spans="1:15" x14ac:dyDescent="0.25">
      <c r="A197" s="17">
        <v>193</v>
      </c>
      <c r="B197" s="6" t="s">
        <v>230</v>
      </c>
      <c r="C197" s="6" t="s">
        <v>11</v>
      </c>
      <c r="D197" s="6" t="s">
        <v>41</v>
      </c>
      <c r="E197" s="6" t="s">
        <v>35</v>
      </c>
      <c r="F197" s="6" t="s">
        <v>29</v>
      </c>
      <c r="G197" s="7">
        <v>46179</v>
      </c>
      <c r="H197" s="6">
        <v>4</v>
      </c>
      <c r="I197" s="6"/>
      <c r="J197" s="7">
        <f t="shared" si="7"/>
        <v>46183</v>
      </c>
      <c r="K197" s="8">
        <v>150</v>
      </c>
      <c r="L197" s="9">
        <f t="shared" ref="L197:L260" si="9">MAX(0, IF(I197="", $C$2-J197, I197-J197))</f>
        <v>76</v>
      </c>
      <c r="M197" s="9" t="str" cm="1">
        <f t="array" ref="M197">_xlfn.IFS(L197&gt;=10,"HIGH",L197=0,"LOW",L197&lt;=9,"MEDIUM")</f>
        <v>HIGH</v>
      </c>
      <c r="N197" s="9" cm="1">
        <f t="array" ref="N197">_xlfn.IFS(M197="HIGH",K197*L197,M197="MEDIUM",K197*L197,M197="LOW","NA")</f>
        <v>11400</v>
      </c>
      <c r="O197" s="18" t="str">
        <f t="shared" si="8"/>
        <v>still in yard</v>
      </c>
    </row>
    <row r="198" spans="1:15" x14ac:dyDescent="0.25">
      <c r="A198" s="17">
        <v>194</v>
      </c>
      <c r="B198" s="6" t="s">
        <v>231</v>
      </c>
      <c r="C198" s="6" t="s">
        <v>37</v>
      </c>
      <c r="D198" s="6" t="s">
        <v>31</v>
      </c>
      <c r="E198" s="6" t="s">
        <v>13</v>
      </c>
      <c r="F198" s="6" t="s">
        <v>14</v>
      </c>
      <c r="G198" s="7">
        <v>46248</v>
      </c>
      <c r="H198" s="6">
        <v>7</v>
      </c>
      <c r="I198" s="7">
        <v>46259</v>
      </c>
      <c r="J198" s="7">
        <f t="shared" ref="J198:J261" si="10">G198+H198</f>
        <v>46255</v>
      </c>
      <c r="K198" s="8">
        <v>75</v>
      </c>
      <c r="L198" s="9">
        <f t="shared" si="9"/>
        <v>4</v>
      </c>
      <c r="M198" s="9" t="str" cm="1">
        <f t="array" ref="M198">_xlfn.IFS(L198&gt;=10,"HIGH",L198=0,"LOW",L198&lt;=9,"MEDIUM")</f>
        <v>MEDIUM</v>
      </c>
      <c r="N198" s="9" cm="1">
        <f t="array" ref="N198">_xlfn.IFS(M198="HIGH",K198*L198,M198="MEDIUM",K198*L198,M198="LOW","NA")</f>
        <v>300</v>
      </c>
      <c r="O198" s="18" t="str">
        <f t="shared" ref="O198:O261" si="11">IF(I198="","still in yard","cleared")</f>
        <v>cleared</v>
      </c>
    </row>
    <row r="199" spans="1:15" x14ac:dyDescent="0.25">
      <c r="A199" s="17">
        <v>195</v>
      </c>
      <c r="B199" s="6" t="s">
        <v>232</v>
      </c>
      <c r="C199" s="6" t="s">
        <v>11</v>
      </c>
      <c r="D199" s="6" t="s">
        <v>26</v>
      </c>
      <c r="E199" s="6" t="s">
        <v>44</v>
      </c>
      <c r="F199" s="6" t="s">
        <v>14</v>
      </c>
      <c r="G199" s="7">
        <v>46232</v>
      </c>
      <c r="H199" s="6">
        <v>4</v>
      </c>
      <c r="I199" s="7">
        <v>46235</v>
      </c>
      <c r="J199" s="7">
        <f t="shared" si="10"/>
        <v>46236</v>
      </c>
      <c r="K199" s="8">
        <v>75</v>
      </c>
      <c r="L199" s="9">
        <f t="shared" si="9"/>
        <v>0</v>
      </c>
      <c r="M199" s="9" t="str" cm="1">
        <f t="array" ref="M199">_xlfn.IFS(L199&gt;=10,"HIGH",L199=0,"LOW",L199&lt;=9,"MEDIUM")</f>
        <v>LOW</v>
      </c>
      <c r="N199" s="9" t="str" cm="1">
        <f t="array" ref="N199">_xlfn.IFS(M199="HIGH",K199*L199,M199="MEDIUM",K199*L199,M199="LOW","NA")</f>
        <v>NA</v>
      </c>
      <c r="O199" s="18" t="str">
        <f t="shared" si="11"/>
        <v>cleared</v>
      </c>
    </row>
    <row r="200" spans="1:15" x14ac:dyDescent="0.25">
      <c r="A200" s="17">
        <v>196</v>
      </c>
      <c r="B200" s="6" t="s">
        <v>233</v>
      </c>
      <c r="C200" s="6" t="s">
        <v>37</v>
      </c>
      <c r="D200" s="6" t="s">
        <v>12</v>
      </c>
      <c r="E200" s="6" t="s">
        <v>35</v>
      </c>
      <c r="F200" s="6" t="s">
        <v>24</v>
      </c>
      <c r="G200" s="7">
        <v>46239</v>
      </c>
      <c r="H200" s="6">
        <v>5</v>
      </c>
      <c r="I200" s="7">
        <v>46245</v>
      </c>
      <c r="J200" s="7">
        <f t="shared" si="10"/>
        <v>46244</v>
      </c>
      <c r="K200" s="8">
        <v>130</v>
      </c>
      <c r="L200" s="9">
        <f t="shared" si="9"/>
        <v>1</v>
      </c>
      <c r="M200" s="9" t="str" cm="1">
        <f t="array" ref="M200">_xlfn.IFS(L200&gt;=10,"HIGH",L200=0,"LOW",L200&lt;=9,"MEDIUM")</f>
        <v>MEDIUM</v>
      </c>
      <c r="N200" s="9" cm="1">
        <f t="array" ref="N200">_xlfn.IFS(M200="HIGH",K200*L200,M200="MEDIUM",K200*L200,M200="LOW","NA")</f>
        <v>130</v>
      </c>
      <c r="O200" s="18" t="str">
        <f t="shared" si="11"/>
        <v>cleared</v>
      </c>
    </row>
    <row r="201" spans="1:15" x14ac:dyDescent="0.25">
      <c r="A201" s="17">
        <v>197</v>
      </c>
      <c r="B201" s="6" t="s">
        <v>234</v>
      </c>
      <c r="C201" s="6" t="s">
        <v>37</v>
      </c>
      <c r="D201" s="6" t="s">
        <v>26</v>
      </c>
      <c r="E201" s="6" t="s">
        <v>21</v>
      </c>
      <c r="F201" s="6" t="s">
        <v>14</v>
      </c>
      <c r="G201" s="7">
        <v>46173</v>
      </c>
      <c r="H201" s="6">
        <v>7</v>
      </c>
      <c r="I201" s="7">
        <v>46181</v>
      </c>
      <c r="J201" s="7">
        <f t="shared" si="10"/>
        <v>46180</v>
      </c>
      <c r="K201" s="8">
        <v>75</v>
      </c>
      <c r="L201" s="9">
        <f t="shared" si="9"/>
        <v>1</v>
      </c>
      <c r="M201" s="9" t="str" cm="1">
        <f t="array" ref="M201">_xlfn.IFS(L201&gt;=10,"HIGH",L201=0,"LOW",L201&lt;=9,"MEDIUM")</f>
        <v>MEDIUM</v>
      </c>
      <c r="N201" s="9" cm="1">
        <f t="array" ref="N201">_xlfn.IFS(M201="HIGH",K201*L201,M201="MEDIUM",K201*L201,M201="LOW","NA")</f>
        <v>75</v>
      </c>
      <c r="O201" s="18" t="str">
        <f t="shared" si="11"/>
        <v>cleared</v>
      </c>
    </row>
    <row r="202" spans="1:15" x14ac:dyDescent="0.25">
      <c r="A202" s="17">
        <v>198</v>
      </c>
      <c r="B202" s="6" t="s">
        <v>235</v>
      </c>
      <c r="C202" s="6" t="s">
        <v>16</v>
      </c>
      <c r="D202" s="6" t="s">
        <v>41</v>
      </c>
      <c r="E202" s="6" t="s">
        <v>42</v>
      </c>
      <c r="F202" s="6" t="s">
        <v>14</v>
      </c>
      <c r="G202" s="7">
        <v>46225</v>
      </c>
      <c r="H202" s="6">
        <v>6</v>
      </c>
      <c r="I202" s="6"/>
      <c r="J202" s="7">
        <f t="shared" si="10"/>
        <v>46231</v>
      </c>
      <c r="K202" s="8">
        <v>75</v>
      </c>
      <c r="L202" s="9">
        <f t="shared" si="9"/>
        <v>28</v>
      </c>
      <c r="M202" s="9" t="str" cm="1">
        <f t="array" ref="M202">_xlfn.IFS(L202&gt;=10,"HIGH",L202=0,"LOW",L202&lt;=9,"MEDIUM")</f>
        <v>HIGH</v>
      </c>
      <c r="N202" s="9" cm="1">
        <f t="array" ref="N202">_xlfn.IFS(M202="HIGH",K202*L202,M202="MEDIUM",K202*L202,M202="LOW","NA")</f>
        <v>2100</v>
      </c>
      <c r="O202" s="18" t="str">
        <f t="shared" si="11"/>
        <v>still in yard</v>
      </c>
    </row>
    <row r="203" spans="1:15" x14ac:dyDescent="0.25">
      <c r="A203" s="17">
        <v>199</v>
      </c>
      <c r="B203" s="6" t="s">
        <v>236</v>
      </c>
      <c r="C203" s="6" t="s">
        <v>33</v>
      </c>
      <c r="D203" s="6" t="s">
        <v>41</v>
      </c>
      <c r="E203" s="6" t="s">
        <v>61</v>
      </c>
      <c r="F203" s="6" t="s">
        <v>14</v>
      </c>
      <c r="G203" s="7">
        <v>46197</v>
      </c>
      <c r="H203" s="6">
        <v>6</v>
      </c>
      <c r="I203" s="7">
        <v>46200</v>
      </c>
      <c r="J203" s="7">
        <f t="shared" si="10"/>
        <v>46203</v>
      </c>
      <c r="K203" s="8">
        <v>110</v>
      </c>
      <c r="L203" s="9">
        <f t="shared" si="9"/>
        <v>0</v>
      </c>
      <c r="M203" s="9" t="str" cm="1">
        <f t="array" ref="M203">_xlfn.IFS(L203&gt;=10,"HIGH",L203=0,"LOW",L203&lt;=9,"MEDIUM")</f>
        <v>LOW</v>
      </c>
      <c r="N203" s="9" t="str" cm="1">
        <f t="array" ref="N203">_xlfn.IFS(M203="HIGH",K203*L203,M203="MEDIUM",K203*L203,M203="LOW","NA")</f>
        <v>NA</v>
      </c>
      <c r="O203" s="18" t="str">
        <f t="shared" si="11"/>
        <v>cleared</v>
      </c>
    </row>
    <row r="204" spans="1:15" x14ac:dyDescent="0.25">
      <c r="A204" s="17">
        <v>200</v>
      </c>
      <c r="B204" s="6" t="s">
        <v>237</v>
      </c>
      <c r="C204" s="6" t="s">
        <v>37</v>
      </c>
      <c r="D204" s="6" t="s">
        <v>41</v>
      </c>
      <c r="E204" s="6" t="s">
        <v>23</v>
      </c>
      <c r="F204" s="6" t="s">
        <v>14</v>
      </c>
      <c r="G204" s="7">
        <v>46238</v>
      </c>
      <c r="H204" s="6">
        <v>5</v>
      </c>
      <c r="I204" s="7">
        <v>46239</v>
      </c>
      <c r="J204" s="7">
        <f t="shared" si="10"/>
        <v>46243</v>
      </c>
      <c r="K204" s="8">
        <v>110</v>
      </c>
      <c r="L204" s="9">
        <f t="shared" si="9"/>
        <v>0</v>
      </c>
      <c r="M204" s="9" t="str" cm="1">
        <f t="array" ref="M204">_xlfn.IFS(L204&gt;=10,"HIGH",L204=0,"LOW",L204&lt;=9,"MEDIUM")</f>
        <v>LOW</v>
      </c>
      <c r="N204" s="9" t="str" cm="1">
        <f t="array" ref="N204">_xlfn.IFS(M204="HIGH",K204*L204,M204="MEDIUM",K204*L204,M204="LOW","NA")</f>
        <v>NA</v>
      </c>
      <c r="O204" s="18" t="str">
        <f t="shared" si="11"/>
        <v>cleared</v>
      </c>
    </row>
    <row r="205" spans="1:15" x14ac:dyDescent="0.25">
      <c r="A205" s="17">
        <v>201</v>
      </c>
      <c r="B205" s="6" t="s">
        <v>238</v>
      </c>
      <c r="C205" s="6" t="s">
        <v>11</v>
      </c>
      <c r="D205" s="6" t="s">
        <v>49</v>
      </c>
      <c r="E205" s="6" t="s">
        <v>13</v>
      </c>
      <c r="F205" s="6" t="s">
        <v>14</v>
      </c>
      <c r="G205" s="7">
        <v>46235</v>
      </c>
      <c r="H205" s="6">
        <v>5</v>
      </c>
      <c r="I205" s="7">
        <v>46237</v>
      </c>
      <c r="J205" s="7">
        <f t="shared" si="10"/>
        <v>46240</v>
      </c>
      <c r="K205" s="8">
        <v>60</v>
      </c>
      <c r="L205" s="9">
        <f t="shared" si="9"/>
        <v>0</v>
      </c>
      <c r="M205" s="9" t="str" cm="1">
        <f t="array" ref="M205">_xlfn.IFS(L205&gt;=10,"HIGH",L205=0,"LOW",L205&lt;=9,"MEDIUM")</f>
        <v>LOW</v>
      </c>
      <c r="N205" s="9" t="str" cm="1">
        <f t="array" ref="N205">_xlfn.IFS(M205="HIGH",K205*L205,M205="MEDIUM",K205*L205,M205="LOW","NA")</f>
        <v>NA</v>
      </c>
      <c r="O205" s="18" t="str">
        <f t="shared" si="11"/>
        <v>cleared</v>
      </c>
    </row>
    <row r="206" spans="1:15" x14ac:dyDescent="0.25">
      <c r="A206" s="17">
        <v>202</v>
      </c>
      <c r="B206" s="6" t="s">
        <v>239</v>
      </c>
      <c r="C206" s="6" t="s">
        <v>16</v>
      </c>
      <c r="D206" s="6" t="s">
        <v>26</v>
      </c>
      <c r="E206" s="6" t="s">
        <v>44</v>
      </c>
      <c r="F206" s="6" t="s">
        <v>24</v>
      </c>
      <c r="G206" s="7">
        <v>46246</v>
      </c>
      <c r="H206" s="6">
        <v>7</v>
      </c>
      <c r="I206" s="7">
        <v>46253</v>
      </c>
      <c r="J206" s="7">
        <f t="shared" si="10"/>
        <v>46253</v>
      </c>
      <c r="K206" s="8">
        <v>75</v>
      </c>
      <c r="L206" s="9">
        <f t="shared" si="9"/>
        <v>0</v>
      </c>
      <c r="M206" s="9" t="str" cm="1">
        <f t="array" ref="M206">_xlfn.IFS(L206&gt;=10,"HIGH",L206=0,"LOW",L206&lt;=9,"MEDIUM")</f>
        <v>LOW</v>
      </c>
      <c r="N206" s="9" t="str" cm="1">
        <f t="array" ref="N206">_xlfn.IFS(M206="HIGH",K206*L206,M206="MEDIUM",K206*L206,M206="LOW","NA")</f>
        <v>NA</v>
      </c>
      <c r="O206" s="18" t="str">
        <f t="shared" si="11"/>
        <v>cleared</v>
      </c>
    </row>
    <row r="207" spans="1:15" x14ac:dyDescent="0.25">
      <c r="A207" s="17">
        <v>203</v>
      </c>
      <c r="B207" s="6" t="s">
        <v>240</v>
      </c>
      <c r="C207" s="6" t="s">
        <v>33</v>
      </c>
      <c r="D207" s="6" t="s">
        <v>12</v>
      </c>
      <c r="E207" s="6" t="s">
        <v>39</v>
      </c>
      <c r="F207" s="6" t="s">
        <v>14</v>
      </c>
      <c r="G207" s="7">
        <v>46174</v>
      </c>
      <c r="H207" s="6">
        <v>5</v>
      </c>
      <c r="I207" s="7">
        <v>46176</v>
      </c>
      <c r="J207" s="7">
        <f t="shared" si="10"/>
        <v>46179</v>
      </c>
      <c r="K207" s="8">
        <v>130</v>
      </c>
      <c r="L207" s="9">
        <f t="shared" si="9"/>
        <v>0</v>
      </c>
      <c r="M207" s="9" t="str" cm="1">
        <f t="array" ref="M207">_xlfn.IFS(L207&gt;=10,"HIGH",L207=0,"LOW",L207&lt;=9,"MEDIUM")</f>
        <v>LOW</v>
      </c>
      <c r="N207" s="9" t="str" cm="1">
        <f t="array" ref="N207">_xlfn.IFS(M207="HIGH",K207*L207,M207="MEDIUM",K207*L207,M207="LOW","NA")</f>
        <v>NA</v>
      </c>
      <c r="O207" s="18" t="str">
        <f t="shared" si="11"/>
        <v>cleared</v>
      </c>
    </row>
    <row r="208" spans="1:15" x14ac:dyDescent="0.25">
      <c r="A208" s="17">
        <v>204</v>
      </c>
      <c r="B208" s="6" t="s">
        <v>241</v>
      </c>
      <c r="C208" s="6" t="s">
        <v>37</v>
      </c>
      <c r="D208" s="6" t="s">
        <v>31</v>
      </c>
      <c r="E208" s="6" t="s">
        <v>13</v>
      </c>
      <c r="F208" s="6" t="s">
        <v>24</v>
      </c>
      <c r="G208" s="7">
        <v>46204</v>
      </c>
      <c r="H208" s="6">
        <v>5</v>
      </c>
      <c r="I208" s="7">
        <v>46210</v>
      </c>
      <c r="J208" s="7">
        <f t="shared" si="10"/>
        <v>46209</v>
      </c>
      <c r="K208" s="8">
        <v>110</v>
      </c>
      <c r="L208" s="9">
        <f t="shared" si="9"/>
        <v>1</v>
      </c>
      <c r="M208" s="9" t="str" cm="1">
        <f t="array" ref="M208">_xlfn.IFS(L208&gt;=10,"HIGH",L208=0,"LOW",L208&lt;=9,"MEDIUM")</f>
        <v>MEDIUM</v>
      </c>
      <c r="N208" s="9" cm="1">
        <f t="array" ref="N208">_xlfn.IFS(M208="HIGH",K208*L208,M208="MEDIUM",K208*L208,M208="LOW","NA")</f>
        <v>110</v>
      </c>
      <c r="O208" s="18" t="str">
        <f t="shared" si="11"/>
        <v>cleared</v>
      </c>
    </row>
    <row r="209" spans="1:15" x14ac:dyDescent="0.25">
      <c r="A209" s="17">
        <v>205</v>
      </c>
      <c r="B209" s="6" t="s">
        <v>242</v>
      </c>
      <c r="C209" s="6" t="s">
        <v>33</v>
      </c>
      <c r="D209" s="6" t="s">
        <v>34</v>
      </c>
      <c r="E209" s="6" t="s">
        <v>61</v>
      </c>
      <c r="F209" s="6" t="s">
        <v>24</v>
      </c>
      <c r="G209" s="7">
        <v>46194</v>
      </c>
      <c r="H209" s="6">
        <v>5</v>
      </c>
      <c r="I209" s="7">
        <v>46196</v>
      </c>
      <c r="J209" s="7">
        <f t="shared" si="10"/>
        <v>46199</v>
      </c>
      <c r="K209" s="8">
        <v>110</v>
      </c>
      <c r="L209" s="9">
        <f t="shared" si="9"/>
        <v>0</v>
      </c>
      <c r="M209" s="9" t="str" cm="1">
        <f t="array" ref="M209">_xlfn.IFS(L209&gt;=10,"HIGH",L209=0,"LOW",L209&lt;=9,"MEDIUM")</f>
        <v>LOW</v>
      </c>
      <c r="N209" s="9" t="str" cm="1">
        <f t="array" ref="N209">_xlfn.IFS(M209="HIGH",K209*L209,M209="MEDIUM",K209*L209,M209="LOW","NA")</f>
        <v>NA</v>
      </c>
      <c r="O209" s="18" t="str">
        <f t="shared" si="11"/>
        <v>cleared</v>
      </c>
    </row>
    <row r="210" spans="1:15" x14ac:dyDescent="0.25">
      <c r="A210" s="17">
        <v>206</v>
      </c>
      <c r="B210" s="6" t="s">
        <v>243</v>
      </c>
      <c r="C210" s="6" t="s">
        <v>16</v>
      </c>
      <c r="D210" s="6" t="s">
        <v>34</v>
      </c>
      <c r="E210" s="6" t="s">
        <v>18</v>
      </c>
      <c r="F210" s="6" t="s">
        <v>24</v>
      </c>
      <c r="G210" s="7">
        <v>46220</v>
      </c>
      <c r="H210" s="6">
        <v>5</v>
      </c>
      <c r="I210" s="7">
        <v>46221</v>
      </c>
      <c r="J210" s="7">
        <f t="shared" si="10"/>
        <v>46225</v>
      </c>
      <c r="K210" s="8">
        <v>60</v>
      </c>
      <c r="L210" s="9">
        <f t="shared" si="9"/>
        <v>0</v>
      </c>
      <c r="M210" s="9" t="str" cm="1">
        <f t="array" ref="M210">_xlfn.IFS(L210&gt;=10,"HIGH",L210=0,"LOW",L210&lt;=9,"MEDIUM")</f>
        <v>LOW</v>
      </c>
      <c r="N210" s="9" t="str" cm="1">
        <f t="array" ref="N210">_xlfn.IFS(M210="HIGH",K210*L210,M210="MEDIUM",K210*L210,M210="LOW","NA")</f>
        <v>NA</v>
      </c>
      <c r="O210" s="18" t="str">
        <f t="shared" si="11"/>
        <v>cleared</v>
      </c>
    </row>
    <row r="211" spans="1:15" x14ac:dyDescent="0.25">
      <c r="A211" s="17">
        <v>207</v>
      </c>
      <c r="B211" s="6" t="s">
        <v>244</v>
      </c>
      <c r="C211" s="6" t="s">
        <v>33</v>
      </c>
      <c r="D211" s="6" t="s">
        <v>17</v>
      </c>
      <c r="E211" s="6" t="s">
        <v>13</v>
      </c>
      <c r="F211" s="6" t="s">
        <v>14</v>
      </c>
      <c r="G211" s="7">
        <v>46207</v>
      </c>
      <c r="H211" s="6">
        <v>5</v>
      </c>
      <c r="I211" s="6"/>
      <c r="J211" s="7">
        <f t="shared" si="10"/>
        <v>46212</v>
      </c>
      <c r="K211" s="8">
        <v>60</v>
      </c>
      <c r="L211" s="9">
        <f t="shared" si="9"/>
        <v>47</v>
      </c>
      <c r="M211" s="9" t="str" cm="1">
        <f t="array" ref="M211">_xlfn.IFS(L211&gt;=10,"HIGH",L211=0,"LOW",L211&lt;=9,"MEDIUM")</f>
        <v>HIGH</v>
      </c>
      <c r="N211" s="9" cm="1">
        <f t="array" ref="N211">_xlfn.IFS(M211="HIGH",K211*L211,M211="MEDIUM",K211*L211,M211="LOW","NA")</f>
        <v>2820</v>
      </c>
      <c r="O211" s="18" t="str">
        <f t="shared" si="11"/>
        <v>still in yard</v>
      </c>
    </row>
    <row r="212" spans="1:15" x14ac:dyDescent="0.25">
      <c r="A212" s="17">
        <v>208</v>
      </c>
      <c r="B212" s="6" t="s">
        <v>245</v>
      </c>
      <c r="C212" s="6" t="s">
        <v>37</v>
      </c>
      <c r="D212" s="6" t="s">
        <v>41</v>
      </c>
      <c r="E212" s="6" t="s">
        <v>21</v>
      </c>
      <c r="F212" s="6" t="s">
        <v>14</v>
      </c>
      <c r="G212" s="7">
        <v>46194</v>
      </c>
      <c r="H212" s="6">
        <v>7</v>
      </c>
      <c r="I212" s="7">
        <v>46195</v>
      </c>
      <c r="J212" s="7">
        <f t="shared" si="10"/>
        <v>46201</v>
      </c>
      <c r="K212" s="8">
        <v>130</v>
      </c>
      <c r="L212" s="9">
        <f t="shared" si="9"/>
        <v>0</v>
      </c>
      <c r="M212" s="9" t="str" cm="1">
        <f t="array" ref="M212">_xlfn.IFS(L212&gt;=10,"HIGH",L212=0,"LOW",L212&lt;=9,"MEDIUM")</f>
        <v>LOW</v>
      </c>
      <c r="N212" s="9" t="str" cm="1">
        <f t="array" ref="N212">_xlfn.IFS(M212="HIGH",K212*L212,M212="MEDIUM",K212*L212,M212="LOW","NA")</f>
        <v>NA</v>
      </c>
      <c r="O212" s="18" t="str">
        <f t="shared" si="11"/>
        <v>cleared</v>
      </c>
    </row>
    <row r="213" spans="1:15" x14ac:dyDescent="0.25">
      <c r="A213" s="17">
        <v>209</v>
      </c>
      <c r="B213" s="6" t="s">
        <v>246</v>
      </c>
      <c r="C213" s="6" t="s">
        <v>37</v>
      </c>
      <c r="D213" s="6" t="s">
        <v>26</v>
      </c>
      <c r="E213" s="6" t="s">
        <v>42</v>
      </c>
      <c r="F213" s="6" t="s">
        <v>27</v>
      </c>
      <c r="G213" s="7">
        <v>46253</v>
      </c>
      <c r="H213" s="6">
        <v>6</v>
      </c>
      <c r="I213" s="7">
        <v>46259</v>
      </c>
      <c r="J213" s="7">
        <f t="shared" si="10"/>
        <v>46259</v>
      </c>
      <c r="K213" s="8">
        <v>60</v>
      </c>
      <c r="L213" s="9">
        <f t="shared" si="9"/>
        <v>0</v>
      </c>
      <c r="M213" s="9" t="str" cm="1">
        <f t="array" ref="M213">_xlfn.IFS(L213&gt;=10,"HIGH",L213=0,"LOW",L213&lt;=9,"MEDIUM")</f>
        <v>LOW</v>
      </c>
      <c r="N213" s="9" t="str" cm="1">
        <f t="array" ref="N213">_xlfn.IFS(M213="HIGH",K213*L213,M213="MEDIUM",K213*L213,M213="LOW","NA")</f>
        <v>NA</v>
      </c>
      <c r="O213" s="18" t="str">
        <f t="shared" si="11"/>
        <v>cleared</v>
      </c>
    </row>
    <row r="214" spans="1:15" x14ac:dyDescent="0.25">
      <c r="A214" s="17">
        <v>210</v>
      </c>
      <c r="B214" s="6" t="s">
        <v>247</v>
      </c>
      <c r="C214" s="6" t="s">
        <v>33</v>
      </c>
      <c r="D214" s="6" t="s">
        <v>56</v>
      </c>
      <c r="E214" s="6" t="s">
        <v>44</v>
      </c>
      <c r="F214" s="6" t="s">
        <v>24</v>
      </c>
      <c r="G214" s="7">
        <v>46241</v>
      </c>
      <c r="H214" s="6">
        <v>5</v>
      </c>
      <c r="I214" s="7">
        <v>46251</v>
      </c>
      <c r="J214" s="7">
        <f t="shared" si="10"/>
        <v>46246</v>
      </c>
      <c r="K214" s="8">
        <v>90</v>
      </c>
      <c r="L214" s="9">
        <f t="shared" si="9"/>
        <v>5</v>
      </c>
      <c r="M214" s="9" t="str" cm="1">
        <f t="array" ref="M214">_xlfn.IFS(L214&gt;=10,"HIGH",L214=0,"LOW",L214&lt;=9,"MEDIUM")</f>
        <v>MEDIUM</v>
      </c>
      <c r="N214" s="9" cm="1">
        <f t="array" ref="N214">_xlfn.IFS(M214="HIGH",K214*L214,M214="MEDIUM",K214*L214,M214="LOW","NA")</f>
        <v>450</v>
      </c>
      <c r="O214" s="18" t="str">
        <f t="shared" si="11"/>
        <v>cleared</v>
      </c>
    </row>
    <row r="215" spans="1:15" x14ac:dyDescent="0.25">
      <c r="A215" s="17">
        <v>211</v>
      </c>
      <c r="B215" s="6" t="s">
        <v>248</v>
      </c>
      <c r="C215" s="6" t="s">
        <v>11</v>
      </c>
      <c r="D215" s="6" t="s">
        <v>12</v>
      </c>
      <c r="E215" s="6" t="s">
        <v>13</v>
      </c>
      <c r="F215" s="6" t="s">
        <v>14</v>
      </c>
      <c r="G215" s="7">
        <v>46218</v>
      </c>
      <c r="H215" s="6">
        <v>4</v>
      </c>
      <c r="I215" s="7">
        <v>46219</v>
      </c>
      <c r="J215" s="7">
        <f t="shared" si="10"/>
        <v>46222</v>
      </c>
      <c r="K215" s="8">
        <v>60</v>
      </c>
      <c r="L215" s="9">
        <f t="shared" si="9"/>
        <v>0</v>
      </c>
      <c r="M215" s="9" t="str" cm="1">
        <f t="array" ref="M215">_xlfn.IFS(L215&gt;=10,"HIGH",L215=0,"LOW",L215&lt;=9,"MEDIUM")</f>
        <v>LOW</v>
      </c>
      <c r="N215" s="9" t="str" cm="1">
        <f t="array" ref="N215">_xlfn.IFS(M215="HIGH",K215*L215,M215="MEDIUM",K215*L215,M215="LOW","NA")</f>
        <v>NA</v>
      </c>
      <c r="O215" s="18" t="str">
        <f t="shared" si="11"/>
        <v>cleared</v>
      </c>
    </row>
    <row r="216" spans="1:15" x14ac:dyDescent="0.25">
      <c r="A216" s="17">
        <v>212</v>
      </c>
      <c r="B216" s="6" t="s">
        <v>249</v>
      </c>
      <c r="C216" s="6" t="s">
        <v>33</v>
      </c>
      <c r="D216" s="6" t="s">
        <v>26</v>
      </c>
      <c r="E216" s="6" t="s">
        <v>61</v>
      </c>
      <c r="F216" s="6" t="s">
        <v>14</v>
      </c>
      <c r="G216" s="7">
        <v>46243</v>
      </c>
      <c r="H216" s="6">
        <v>6</v>
      </c>
      <c r="I216" s="7">
        <v>46244</v>
      </c>
      <c r="J216" s="7">
        <f t="shared" si="10"/>
        <v>46249</v>
      </c>
      <c r="K216" s="8">
        <v>110</v>
      </c>
      <c r="L216" s="9">
        <f t="shared" si="9"/>
        <v>0</v>
      </c>
      <c r="M216" s="9" t="str" cm="1">
        <f t="array" ref="M216">_xlfn.IFS(L216&gt;=10,"HIGH",L216=0,"LOW",L216&lt;=9,"MEDIUM")</f>
        <v>LOW</v>
      </c>
      <c r="N216" s="9" t="str" cm="1">
        <f t="array" ref="N216">_xlfn.IFS(M216="HIGH",K216*L216,M216="MEDIUM",K216*L216,M216="LOW","NA")</f>
        <v>NA</v>
      </c>
      <c r="O216" s="18" t="str">
        <f t="shared" si="11"/>
        <v>cleared</v>
      </c>
    </row>
    <row r="217" spans="1:15" x14ac:dyDescent="0.25">
      <c r="A217" s="17">
        <v>213</v>
      </c>
      <c r="B217" s="6" t="s">
        <v>250</v>
      </c>
      <c r="C217" s="6" t="s">
        <v>33</v>
      </c>
      <c r="D217" s="6" t="s">
        <v>56</v>
      </c>
      <c r="E217" s="6" t="s">
        <v>44</v>
      </c>
      <c r="F217" s="6" t="s">
        <v>29</v>
      </c>
      <c r="G217" s="7">
        <v>46182</v>
      </c>
      <c r="H217" s="6">
        <v>4</v>
      </c>
      <c r="I217" s="7">
        <v>46184</v>
      </c>
      <c r="J217" s="7">
        <f t="shared" si="10"/>
        <v>46186</v>
      </c>
      <c r="K217" s="8">
        <v>150</v>
      </c>
      <c r="L217" s="9">
        <f t="shared" si="9"/>
        <v>0</v>
      </c>
      <c r="M217" s="9" t="str" cm="1">
        <f t="array" ref="M217">_xlfn.IFS(L217&gt;=10,"HIGH",L217=0,"LOW",L217&lt;=9,"MEDIUM")</f>
        <v>LOW</v>
      </c>
      <c r="N217" s="9" t="str" cm="1">
        <f t="array" ref="N217">_xlfn.IFS(M217="HIGH",K217*L217,M217="MEDIUM",K217*L217,M217="LOW","NA")</f>
        <v>NA</v>
      </c>
      <c r="O217" s="18" t="str">
        <f t="shared" si="11"/>
        <v>cleared</v>
      </c>
    </row>
    <row r="218" spans="1:15" x14ac:dyDescent="0.25">
      <c r="A218" s="17">
        <v>214</v>
      </c>
      <c r="B218" s="6" t="s">
        <v>251</v>
      </c>
      <c r="C218" s="6" t="s">
        <v>16</v>
      </c>
      <c r="D218" s="6" t="s">
        <v>56</v>
      </c>
      <c r="E218" s="6" t="s">
        <v>35</v>
      </c>
      <c r="F218" s="6" t="s">
        <v>27</v>
      </c>
      <c r="G218" s="7">
        <v>46239</v>
      </c>
      <c r="H218" s="6">
        <v>4</v>
      </c>
      <c r="I218" s="7">
        <v>46241</v>
      </c>
      <c r="J218" s="7">
        <f t="shared" si="10"/>
        <v>46243</v>
      </c>
      <c r="K218" s="8">
        <v>60</v>
      </c>
      <c r="L218" s="9">
        <f t="shared" si="9"/>
        <v>0</v>
      </c>
      <c r="M218" s="9" t="str" cm="1">
        <f t="array" ref="M218">_xlfn.IFS(L218&gt;=10,"HIGH",L218=0,"LOW",L218&lt;=9,"MEDIUM")</f>
        <v>LOW</v>
      </c>
      <c r="N218" s="9" t="str" cm="1">
        <f t="array" ref="N218">_xlfn.IFS(M218="HIGH",K218*L218,M218="MEDIUM",K218*L218,M218="LOW","NA")</f>
        <v>NA</v>
      </c>
      <c r="O218" s="18" t="str">
        <f t="shared" si="11"/>
        <v>cleared</v>
      </c>
    </row>
    <row r="219" spans="1:15" x14ac:dyDescent="0.25">
      <c r="A219" s="17">
        <v>215</v>
      </c>
      <c r="B219" s="6" t="s">
        <v>252</v>
      </c>
      <c r="C219" s="6" t="s">
        <v>16</v>
      </c>
      <c r="D219" s="6" t="s">
        <v>56</v>
      </c>
      <c r="E219" s="6" t="s">
        <v>18</v>
      </c>
      <c r="F219" s="6" t="s">
        <v>14</v>
      </c>
      <c r="G219" s="7">
        <v>46242</v>
      </c>
      <c r="H219" s="6">
        <v>6</v>
      </c>
      <c r="I219" s="6"/>
      <c r="J219" s="7">
        <f t="shared" si="10"/>
        <v>46248</v>
      </c>
      <c r="K219" s="8">
        <v>130</v>
      </c>
      <c r="L219" s="9">
        <f t="shared" si="9"/>
        <v>11</v>
      </c>
      <c r="M219" s="9" t="str" cm="1">
        <f t="array" ref="M219">_xlfn.IFS(L219&gt;=10,"HIGH",L219=0,"LOW",L219&lt;=9,"MEDIUM")</f>
        <v>HIGH</v>
      </c>
      <c r="N219" s="9" cm="1">
        <f t="array" ref="N219">_xlfn.IFS(M219="HIGH",K219*L219,M219="MEDIUM",K219*L219,M219="LOW","NA")</f>
        <v>1430</v>
      </c>
      <c r="O219" s="18" t="str">
        <f t="shared" si="11"/>
        <v>still in yard</v>
      </c>
    </row>
    <row r="220" spans="1:15" x14ac:dyDescent="0.25">
      <c r="A220" s="17">
        <v>216</v>
      </c>
      <c r="B220" s="6" t="s">
        <v>253</v>
      </c>
      <c r="C220" s="6" t="s">
        <v>37</v>
      </c>
      <c r="D220" s="6" t="s">
        <v>41</v>
      </c>
      <c r="E220" s="6" t="s">
        <v>23</v>
      </c>
      <c r="F220" s="6" t="s">
        <v>14</v>
      </c>
      <c r="G220" s="7">
        <v>46212</v>
      </c>
      <c r="H220" s="6">
        <v>5</v>
      </c>
      <c r="I220" s="7">
        <v>46221</v>
      </c>
      <c r="J220" s="7">
        <f t="shared" si="10"/>
        <v>46217</v>
      </c>
      <c r="K220" s="8">
        <v>110</v>
      </c>
      <c r="L220" s="9">
        <f t="shared" si="9"/>
        <v>4</v>
      </c>
      <c r="M220" s="9" t="str" cm="1">
        <f t="array" ref="M220">_xlfn.IFS(L220&gt;=10,"HIGH",L220=0,"LOW",L220&lt;=9,"MEDIUM")</f>
        <v>MEDIUM</v>
      </c>
      <c r="N220" s="9" cm="1">
        <f t="array" ref="N220">_xlfn.IFS(M220="HIGH",K220*L220,M220="MEDIUM",K220*L220,M220="LOW","NA")</f>
        <v>440</v>
      </c>
      <c r="O220" s="18" t="str">
        <f t="shared" si="11"/>
        <v>cleared</v>
      </c>
    </row>
    <row r="221" spans="1:15" x14ac:dyDescent="0.25">
      <c r="A221" s="17">
        <v>217</v>
      </c>
      <c r="B221" s="6" t="s">
        <v>254</v>
      </c>
      <c r="C221" s="6" t="s">
        <v>33</v>
      </c>
      <c r="D221" s="6" t="s">
        <v>31</v>
      </c>
      <c r="E221" s="6" t="s">
        <v>44</v>
      </c>
      <c r="F221" s="6" t="s">
        <v>14</v>
      </c>
      <c r="G221" s="7">
        <v>46257</v>
      </c>
      <c r="H221" s="6">
        <v>4</v>
      </c>
      <c r="I221" s="6"/>
      <c r="J221" s="7">
        <f t="shared" si="10"/>
        <v>46261</v>
      </c>
      <c r="K221" s="8">
        <v>130</v>
      </c>
      <c r="L221" s="9">
        <f t="shared" si="9"/>
        <v>0</v>
      </c>
      <c r="M221" s="9" t="str" cm="1">
        <f t="array" ref="M221">_xlfn.IFS(L221&gt;=10,"HIGH",L221=0,"LOW",L221&lt;=9,"MEDIUM")</f>
        <v>LOW</v>
      </c>
      <c r="N221" s="9" t="str" cm="1">
        <f t="array" ref="N221">_xlfn.IFS(M221="HIGH",K221*L221,M221="MEDIUM",K221*L221,M221="LOW","NA")</f>
        <v>NA</v>
      </c>
      <c r="O221" s="18" t="str">
        <f t="shared" si="11"/>
        <v>still in yard</v>
      </c>
    </row>
    <row r="222" spans="1:15" x14ac:dyDescent="0.25">
      <c r="A222" s="17">
        <v>218</v>
      </c>
      <c r="B222" s="6" t="s">
        <v>255</v>
      </c>
      <c r="C222" s="6" t="s">
        <v>16</v>
      </c>
      <c r="D222" s="6" t="s">
        <v>49</v>
      </c>
      <c r="E222" s="6" t="s">
        <v>46</v>
      </c>
      <c r="F222" s="6" t="s">
        <v>24</v>
      </c>
      <c r="G222" s="7">
        <v>46182</v>
      </c>
      <c r="H222" s="6">
        <v>5</v>
      </c>
      <c r="I222" s="7">
        <v>46189</v>
      </c>
      <c r="J222" s="7">
        <f t="shared" si="10"/>
        <v>46187</v>
      </c>
      <c r="K222" s="8">
        <v>110</v>
      </c>
      <c r="L222" s="9">
        <f t="shared" si="9"/>
        <v>2</v>
      </c>
      <c r="M222" s="9" t="str" cm="1">
        <f t="array" ref="M222">_xlfn.IFS(L222&gt;=10,"HIGH",L222=0,"LOW",L222&lt;=9,"MEDIUM")</f>
        <v>MEDIUM</v>
      </c>
      <c r="N222" s="9" cm="1">
        <f t="array" ref="N222">_xlfn.IFS(M222="HIGH",K222*L222,M222="MEDIUM",K222*L222,M222="LOW","NA")</f>
        <v>220</v>
      </c>
      <c r="O222" s="18" t="str">
        <f t="shared" si="11"/>
        <v>cleared</v>
      </c>
    </row>
    <row r="223" spans="1:15" x14ac:dyDescent="0.25">
      <c r="A223" s="17">
        <v>219</v>
      </c>
      <c r="B223" s="6" t="s">
        <v>256</v>
      </c>
      <c r="C223" s="6" t="s">
        <v>16</v>
      </c>
      <c r="D223" s="6" t="s">
        <v>34</v>
      </c>
      <c r="E223" s="6" t="s">
        <v>39</v>
      </c>
      <c r="F223" s="6" t="s">
        <v>29</v>
      </c>
      <c r="G223" s="7">
        <v>46198</v>
      </c>
      <c r="H223" s="6">
        <v>4</v>
      </c>
      <c r="I223" s="6"/>
      <c r="J223" s="7">
        <f t="shared" si="10"/>
        <v>46202</v>
      </c>
      <c r="K223" s="8">
        <v>120</v>
      </c>
      <c r="L223" s="9">
        <f t="shared" si="9"/>
        <v>57</v>
      </c>
      <c r="M223" s="9" t="str" cm="1">
        <f t="array" ref="M223">_xlfn.IFS(L223&gt;=10,"HIGH",L223=0,"LOW",L223&lt;=9,"MEDIUM")</f>
        <v>HIGH</v>
      </c>
      <c r="N223" s="9" cm="1">
        <f t="array" ref="N223">_xlfn.IFS(M223="HIGH",K223*L223,M223="MEDIUM",K223*L223,M223="LOW","NA")</f>
        <v>6840</v>
      </c>
      <c r="O223" s="18" t="str">
        <f t="shared" si="11"/>
        <v>still in yard</v>
      </c>
    </row>
    <row r="224" spans="1:15" x14ac:dyDescent="0.25">
      <c r="A224" s="17">
        <v>220</v>
      </c>
      <c r="B224" s="6" t="s">
        <v>257</v>
      </c>
      <c r="C224" s="6" t="s">
        <v>11</v>
      </c>
      <c r="D224" s="6" t="s">
        <v>12</v>
      </c>
      <c r="E224" s="6" t="s">
        <v>13</v>
      </c>
      <c r="F224" s="6" t="s">
        <v>29</v>
      </c>
      <c r="G224" s="7">
        <v>46209</v>
      </c>
      <c r="H224" s="6">
        <v>4</v>
      </c>
      <c r="I224" s="7">
        <v>46214</v>
      </c>
      <c r="J224" s="7">
        <f t="shared" si="10"/>
        <v>46213</v>
      </c>
      <c r="K224" s="8">
        <v>150</v>
      </c>
      <c r="L224" s="9">
        <f t="shared" si="9"/>
        <v>1</v>
      </c>
      <c r="M224" s="9" t="str" cm="1">
        <f t="array" ref="M224">_xlfn.IFS(L224&gt;=10,"HIGH",L224=0,"LOW",L224&lt;=9,"MEDIUM")</f>
        <v>MEDIUM</v>
      </c>
      <c r="N224" s="9" cm="1">
        <f t="array" ref="N224">_xlfn.IFS(M224="HIGH",K224*L224,M224="MEDIUM",K224*L224,M224="LOW","NA")</f>
        <v>150</v>
      </c>
      <c r="O224" s="18" t="str">
        <f t="shared" si="11"/>
        <v>cleared</v>
      </c>
    </row>
    <row r="225" spans="1:15" x14ac:dyDescent="0.25">
      <c r="A225" s="17">
        <v>221</v>
      </c>
      <c r="B225" s="6" t="s">
        <v>258</v>
      </c>
      <c r="C225" s="6" t="s">
        <v>11</v>
      </c>
      <c r="D225" s="6" t="s">
        <v>54</v>
      </c>
      <c r="E225" s="6" t="s">
        <v>21</v>
      </c>
      <c r="F225" s="6" t="s">
        <v>24</v>
      </c>
      <c r="G225" s="7">
        <v>46181</v>
      </c>
      <c r="H225" s="6">
        <v>4</v>
      </c>
      <c r="I225" s="7">
        <v>46182</v>
      </c>
      <c r="J225" s="7">
        <f t="shared" si="10"/>
        <v>46185</v>
      </c>
      <c r="K225" s="8">
        <v>130</v>
      </c>
      <c r="L225" s="9">
        <f t="shared" si="9"/>
        <v>0</v>
      </c>
      <c r="M225" s="9" t="str" cm="1">
        <f t="array" ref="M225">_xlfn.IFS(L225&gt;=10,"HIGH",L225=0,"LOW",L225&lt;=9,"MEDIUM")</f>
        <v>LOW</v>
      </c>
      <c r="N225" s="9" t="str" cm="1">
        <f t="array" ref="N225">_xlfn.IFS(M225="HIGH",K225*L225,M225="MEDIUM",K225*L225,M225="LOW","NA")</f>
        <v>NA</v>
      </c>
      <c r="O225" s="18" t="str">
        <f t="shared" si="11"/>
        <v>cleared</v>
      </c>
    </row>
    <row r="226" spans="1:15" x14ac:dyDescent="0.25">
      <c r="A226" s="17">
        <v>222</v>
      </c>
      <c r="B226" s="6" t="s">
        <v>259</v>
      </c>
      <c r="C226" s="6" t="s">
        <v>11</v>
      </c>
      <c r="D226" s="6" t="s">
        <v>26</v>
      </c>
      <c r="E226" s="6" t="s">
        <v>13</v>
      </c>
      <c r="F226" s="6" t="s">
        <v>27</v>
      </c>
      <c r="G226" s="7">
        <v>46210</v>
      </c>
      <c r="H226" s="6">
        <v>6</v>
      </c>
      <c r="I226" s="7">
        <v>46211</v>
      </c>
      <c r="J226" s="7">
        <f t="shared" si="10"/>
        <v>46216</v>
      </c>
      <c r="K226" s="8">
        <v>110</v>
      </c>
      <c r="L226" s="9">
        <f t="shared" si="9"/>
        <v>0</v>
      </c>
      <c r="M226" s="9" t="str" cm="1">
        <f t="array" ref="M226">_xlfn.IFS(L226&gt;=10,"HIGH",L226=0,"LOW",L226&lt;=9,"MEDIUM")</f>
        <v>LOW</v>
      </c>
      <c r="N226" s="9" t="str" cm="1">
        <f t="array" ref="N226">_xlfn.IFS(M226="HIGH",K226*L226,M226="MEDIUM",K226*L226,M226="LOW","NA")</f>
        <v>NA</v>
      </c>
      <c r="O226" s="18" t="str">
        <f t="shared" si="11"/>
        <v>cleared</v>
      </c>
    </row>
    <row r="227" spans="1:15" x14ac:dyDescent="0.25">
      <c r="A227" s="17">
        <v>223</v>
      </c>
      <c r="B227" s="6" t="s">
        <v>260</v>
      </c>
      <c r="C227" s="6" t="s">
        <v>11</v>
      </c>
      <c r="D227" s="6" t="s">
        <v>54</v>
      </c>
      <c r="E227" s="6" t="s">
        <v>39</v>
      </c>
      <c r="F227" s="6" t="s">
        <v>24</v>
      </c>
      <c r="G227" s="7">
        <v>46224</v>
      </c>
      <c r="H227" s="6">
        <v>6</v>
      </c>
      <c r="I227" s="6"/>
      <c r="J227" s="7">
        <f t="shared" si="10"/>
        <v>46230</v>
      </c>
      <c r="K227" s="8">
        <v>60</v>
      </c>
      <c r="L227" s="9">
        <f t="shared" si="9"/>
        <v>29</v>
      </c>
      <c r="M227" s="9" t="str" cm="1">
        <f t="array" ref="M227">_xlfn.IFS(L227&gt;=10,"HIGH",L227=0,"LOW",L227&lt;=9,"MEDIUM")</f>
        <v>HIGH</v>
      </c>
      <c r="N227" s="9" cm="1">
        <f t="array" ref="N227">_xlfn.IFS(M227="HIGH",K227*L227,M227="MEDIUM",K227*L227,M227="LOW","NA")</f>
        <v>1740</v>
      </c>
      <c r="O227" s="18" t="str">
        <f t="shared" si="11"/>
        <v>still in yard</v>
      </c>
    </row>
    <row r="228" spans="1:15" x14ac:dyDescent="0.25">
      <c r="A228" s="17">
        <v>224</v>
      </c>
      <c r="B228" s="6" t="s">
        <v>261</v>
      </c>
      <c r="C228" s="6" t="s">
        <v>11</v>
      </c>
      <c r="D228" s="6" t="s">
        <v>12</v>
      </c>
      <c r="E228" s="6" t="s">
        <v>21</v>
      </c>
      <c r="F228" s="6" t="s">
        <v>27</v>
      </c>
      <c r="G228" s="7">
        <v>46223</v>
      </c>
      <c r="H228" s="6">
        <v>7</v>
      </c>
      <c r="I228" s="7">
        <v>46224</v>
      </c>
      <c r="J228" s="7">
        <f t="shared" si="10"/>
        <v>46230</v>
      </c>
      <c r="K228" s="8">
        <v>110</v>
      </c>
      <c r="L228" s="9">
        <f t="shared" si="9"/>
        <v>0</v>
      </c>
      <c r="M228" s="9" t="str" cm="1">
        <f t="array" ref="M228">_xlfn.IFS(L228&gt;=10,"HIGH",L228=0,"LOW",L228&lt;=9,"MEDIUM")</f>
        <v>LOW</v>
      </c>
      <c r="N228" s="9" t="str" cm="1">
        <f t="array" ref="N228">_xlfn.IFS(M228="HIGH",K228*L228,M228="MEDIUM",K228*L228,M228="LOW","NA")</f>
        <v>NA</v>
      </c>
      <c r="O228" s="18" t="str">
        <f t="shared" si="11"/>
        <v>cleared</v>
      </c>
    </row>
    <row r="229" spans="1:15" x14ac:dyDescent="0.25">
      <c r="A229" s="17">
        <v>225</v>
      </c>
      <c r="B229" s="6" t="s">
        <v>262</v>
      </c>
      <c r="C229" s="6" t="s">
        <v>11</v>
      </c>
      <c r="D229" s="6" t="s">
        <v>17</v>
      </c>
      <c r="E229" s="6" t="s">
        <v>42</v>
      </c>
      <c r="F229" s="6" t="s">
        <v>29</v>
      </c>
      <c r="G229" s="7">
        <v>46210</v>
      </c>
      <c r="H229" s="6">
        <v>3</v>
      </c>
      <c r="I229" s="7">
        <v>46211</v>
      </c>
      <c r="J229" s="7">
        <f t="shared" si="10"/>
        <v>46213</v>
      </c>
      <c r="K229" s="8">
        <v>150</v>
      </c>
      <c r="L229" s="9">
        <f t="shared" si="9"/>
        <v>0</v>
      </c>
      <c r="M229" s="9" t="str" cm="1">
        <f t="array" ref="M229">_xlfn.IFS(L229&gt;=10,"HIGH",L229=0,"LOW",L229&lt;=9,"MEDIUM")</f>
        <v>LOW</v>
      </c>
      <c r="N229" s="9" t="str" cm="1">
        <f t="array" ref="N229">_xlfn.IFS(M229="HIGH",K229*L229,M229="MEDIUM",K229*L229,M229="LOW","NA")</f>
        <v>NA</v>
      </c>
      <c r="O229" s="18" t="str">
        <f t="shared" si="11"/>
        <v>cleared</v>
      </c>
    </row>
    <row r="230" spans="1:15" x14ac:dyDescent="0.25">
      <c r="A230" s="17">
        <v>226</v>
      </c>
      <c r="B230" s="6" t="s">
        <v>263</v>
      </c>
      <c r="C230" s="6" t="s">
        <v>16</v>
      </c>
      <c r="D230" s="6" t="s">
        <v>49</v>
      </c>
      <c r="E230" s="6" t="s">
        <v>35</v>
      </c>
      <c r="F230" s="6" t="s">
        <v>27</v>
      </c>
      <c r="G230" s="7">
        <v>46226</v>
      </c>
      <c r="H230" s="6">
        <v>7</v>
      </c>
      <c r="I230" s="7">
        <v>46227</v>
      </c>
      <c r="J230" s="7">
        <f t="shared" si="10"/>
        <v>46233</v>
      </c>
      <c r="K230" s="8">
        <v>110</v>
      </c>
      <c r="L230" s="9">
        <f t="shared" si="9"/>
        <v>0</v>
      </c>
      <c r="M230" s="9" t="str" cm="1">
        <f t="array" ref="M230">_xlfn.IFS(L230&gt;=10,"HIGH",L230=0,"LOW",L230&lt;=9,"MEDIUM")</f>
        <v>LOW</v>
      </c>
      <c r="N230" s="9" t="str" cm="1">
        <f t="array" ref="N230">_xlfn.IFS(M230="HIGH",K230*L230,M230="MEDIUM",K230*L230,M230="LOW","NA")</f>
        <v>NA</v>
      </c>
      <c r="O230" s="18" t="str">
        <f t="shared" si="11"/>
        <v>cleared</v>
      </c>
    </row>
    <row r="231" spans="1:15" x14ac:dyDescent="0.25">
      <c r="A231" s="17">
        <v>227</v>
      </c>
      <c r="B231" s="6" t="s">
        <v>264</v>
      </c>
      <c r="C231" s="6" t="s">
        <v>33</v>
      </c>
      <c r="D231" s="6" t="s">
        <v>17</v>
      </c>
      <c r="E231" s="6" t="s">
        <v>42</v>
      </c>
      <c r="F231" s="6" t="s">
        <v>24</v>
      </c>
      <c r="G231" s="7">
        <v>46250</v>
      </c>
      <c r="H231" s="6">
        <v>5</v>
      </c>
      <c r="I231" s="7">
        <v>46251</v>
      </c>
      <c r="J231" s="7">
        <f t="shared" si="10"/>
        <v>46255</v>
      </c>
      <c r="K231" s="8">
        <v>130</v>
      </c>
      <c r="L231" s="9">
        <f t="shared" si="9"/>
        <v>0</v>
      </c>
      <c r="M231" s="9" t="str" cm="1">
        <f t="array" ref="M231">_xlfn.IFS(L231&gt;=10,"HIGH",L231=0,"LOW",L231&lt;=9,"MEDIUM")</f>
        <v>LOW</v>
      </c>
      <c r="N231" s="9" t="str" cm="1">
        <f t="array" ref="N231">_xlfn.IFS(M231="HIGH",K231*L231,M231="MEDIUM",K231*L231,M231="LOW","NA")</f>
        <v>NA</v>
      </c>
      <c r="O231" s="18" t="str">
        <f t="shared" si="11"/>
        <v>cleared</v>
      </c>
    </row>
    <row r="232" spans="1:15" x14ac:dyDescent="0.25">
      <c r="A232" s="17">
        <v>228</v>
      </c>
      <c r="B232" s="6" t="s">
        <v>265</v>
      </c>
      <c r="C232" s="6" t="s">
        <v>11</v>
      </c>
      <c r="D232" s="6" t="s">
        <v>41</v>
      </c>
      <c r="E232" s="6" t="s">
        <v>61</v>
      </c>
      <c r="F232" s="6" t="s">
        <v>27</v>
      </c>
      <c r="G232" s="7">
        <v>46234</v>
      </c>
      <c r="H232" s="6">
        <v>5</v>
      </c>
      <c r="I232" s="6"/>
      <c r="J232" s="7">
        <f t="shared" si="10"/>
        <v>46239</v>
      </c>
      <c r="K232" s="8">
        <v>75</v>
      </c>
      <c r="L232" s="9">
        <f t="shared" si="9"/>
        <v>20</v>
      </c>
      <c r="M232" s="9" t="str" cm="1">
        <f t="array" ref="M232">_xlfn.IFS(L232&gt;=10,"HIGH",L232=0,"LOW",L232&lt;=9,"MEDIUM")</f>
        <v>HIGH</v>
      </c>
      <c r="N232" s="9" cm="1">
        <f t="array" ref="N232">_xlfn.IFS(M232="HIGH",K232*L232,M232="MEDIUM",K232*L232,M232="LOW","NA")</f>
        <v>1500</v>
      </c>
      <c r="O232" s="18" t="str">
        <f t="shared" si="11"/>
        <v>still in yard</v>
      </c>
    </row>
    <row r="233" spans="1:15" x14ac:dyDescent="0.25">
      <c r="A233" s="17">
        <v>229</v>
      </c>
      <c r="B233" s="6" t="s">
        <v>266</v>
      </c>
      <c r="C233" s="6" t="s">
        <v>11</v>
      </c>
      <c r="D233" s="6" t="s">
        <v>34</v>
      </c>
      <c r="E233" s="6" t="s">
        <v>21</v>
      </c>
      <c r="F233" s="6" t="s">
        <v>24</v>
      </c>
      <c r="G233" s="7">
        <v>46207</v>
      </c>
      <c r="H233" s="6">
        <v>7</v>
      </c>
      <c r="I233" s="7">
        <v>46213</v>
      </c>
      <c r="J233" s="7">
        <f t="shared" si="10"/>
        <v>46214</v>
      </c>
      <c r="K233" s="8">
        <v>75</v>
      </c>
      <c r="L233" s="9">
        <f t="shared" si="9"/>
        <v>0</v>
      </c>
      <c r="M233" s="9" t="str" cm="1">
        <f t="array" ref="M233">_xlfn.IFS(L233&gt;=10,"HIGH",L233=0,"LOW",L233&lt;=9,"MEDIUM")</f>
        <v>LOW</v>
      </c>
      <c r="N233" s="9" t="str" cm="1">
        <f t="array" ref="N233">_xlfn.IFS(M233="HIGH",K233*L233,M233="MEDIUM",K233*L233,M233="LOW","NA")</f>
        <v>NA</v>
      </c>
      <c r="O233" s="18" t="str">
        <f t="shared" si="11"/>
        <v>cleared</v>
      </c>
    </row>
    <row r="234" spans="1:15" x14ac:dyDescent="0.25">
      <c r="A234" s="17">
        <v>230</v>
      </c>
      <c r="B234" s="6" t="s">
        <v>267</v>
      </c>
      <c r="C234" s="6" t="s">
        <v>16</v>
      </c>
      <c r="D234" s="6" t="s">
        <v>41</v>
      </c>
      <c r="E234" s="6" t="s">
        <v>39</v>
      </c>
      <c r="F234" s="6" t="s">
        <v>14</v>
      </c>
      <c r="G234" s="7">
        <v>46211</v>
      </c>
      <c r="H234" s="6">
        <v>6</v>
      </c>
      <c r="I234" s="7">
        <v>46219</v>
      </c>
      <c r="J234" s="7">
        <f t="shared" si="10"/>
        <v>46217</v>
      </c>
      <c r="K234" s="8">
        <v>90</v>
      </c>
      <c r="L234" s="9">
        <f t="shared" si="9"/>
        <v>2</v>
      </c>
      <c r="M234" s="9" t="str" cm="1">
        <f t="array" ref="M234">_xlfn.IFS(L234&gt;=10,"HIGH",L234=0,"LOW",L234&lt;=9,"MEDIUM")</f>
        <v>MEDIUM</v>
      </c>
      <c r="N234" s="9" cm="1">
        <f t="array" ref="N234">_xlfn.IFS(M234="HIGH",K234*L234,M234="MEDIUM",K234*L234,M234="LOW","NA")</f>
        <v>180</v>
      </c>
      <c r="O234" s="18" t="str">
        <f t="shared" si="11"/>
        <v>cleared</v>
      </c>
    </row>
    <row r="235" spans="1:15" x14ac:dyDescent="0.25">
      <c r="A235" s="17">
        <v>231</v>
      </c>
      <c r="B235" s="6" t="s">
        <v>268</v>
      </c>
      <c r="C235" s="6" t="s">
        <v>11</v>
      </c>
      <c r="D235" s="6" t="s">
        <v>17</v>
      </c>
      <c r="E235" s="6" t="s">
        <v>21</v>
      </c>
      <c r="F235" s="6" t="s">
        <v>14</v>
      </c>
      <c r="G235" s="7">
        <v>46246</v>
      </c>
      <c r="H235" s="6">
        <v>4</v>
      </c>
      <c r="I235" s="6"/>
      <c r="J235" s="7">
        <f t="shared" si="10"/>
        <v>46250</v>
      </c>
      <c r="K235" s="8">
        <v>130</v>
      </c>
      <c r="L235" s="9">
        <f t="shared" si="9"/>
        <v>9</v>
      </c>
      <c r="M235" s="9" t="str" cm="1">
        <f t="array" ref="M235">_xlfn.IFS(L235&gt;=10,"HIGH",L235=0,"LOW",L235&lt;=9,"MEDIUM")</f>
        <v>MEDIUM</v>
      </c>
      <c r="N235" s="9" cm="1">
        <f t="array" ref="N235">_xlfn.IFS(M235="HIGH",K235*L235,M235="MEDIUM",K235*L235,M235="LOW","NA")</f>
        <v>1170</v>
      </c>
      <c r="O235" s="18" t="str">
        <f t="shared" si="11"/>
        <v>still in yard</v>
      </c>
    </row>
    <row r="236" spans="1:15" x14ac:dyDescent="0.25">
      <c r="A236" s="17">
        <v>232</v>
      </c>
      <c r="B236" s="6" t="s">
        <v>269</v>
      </c>
      <c r="C236" s="6" t="s">
        <v>33</v>
      </c>
      <c r="D236" s="6" t="s">
        <v>26</v>
      </c>
      <c r="E236" s="6" t="s">
        <v>21</v>
      </c>
      <c r="F236" s="6" t="s">
        <v>27</v>
      </c>
      <c r="G236" s="7">
        <v>46225</v>
      </c>
      <c r="H236" s="6">
        <v>5</v>
      </c>
      <c r="I236" s="7">
        <v>46234</v>
      </c>
      <c r="J236" s="7">
        <f t="shared" si="10"/>
        <v>46230</v>
      </c>
      <c r="K236" s="8">
        <v>110</v>
      </c>
      <c r="L236" s="9">
        <f t="shared" si="9"/>
        <v>4</v>
      </c>
      <c r="M236" s="9" t="str" cm="1">
        <f t="array" ref="M236">_xlfn.IFS(L236&gt;=10,"HIGH",L236=0,"LOW",L236&lt;=9,"MEDIUM")</f>
        <v>MEDIUM</v>
      </c>
      <c r="N236" s="9" cm="1">
        <f t="array" ref="N236">_xlfn.IFS(M236="HIGH",K236*L236,M236="MEDIUM",K236*L236,M236="LOW","NA")</f>
        <v>440</v>
      </c>
      <c r="O236" s="18" t="str">
        <f t="shared" si="11"/>
        <v>cleared</v>
      </c>
    </row>
    <row r="237" spans="1:15" x14ac:dyDescent="0.25">
      <c r="A237" s="17">
        <v>233</v>
      </c>
      <c r="B237" s="6" t="s">
        <v>270</v>
      </c>
      <c r="C237" s="6" t="s">
        <v>37</v>
      </c>
      <c r="D237" s="6" t="s">
        <v>31</v>
      </c>
      <c r="E237" s="6" t="s">
        <v>44</v>
      </c>
      <c r="F237" s="6" t="s">
        <v>24</v>
      </c>
      <c r="G237" s="7">
        <v>46233</v>
      </c>
      <c r="H237" s="6">
        <v>5</v>
      </c>
      <c r="I237" s="7">
        <v>46239</v>
      </c>
      <c r="J237" s="7">
        <f t="shared" si="10"/>
        <v>46238</v>
      </c>
      <c r="K237" s="8">
        <v>90</v>
      </c>
      <c r="L237" s="9">
        <f t="shared" si="9"/>
        <v>1</v>
      </c>
      <c r="M237" s="9" t="str" cm="1">
        <f t="array" ref="M237">_xlfn.IFS(L237&gt;=10,"HIGH",L237=0,"LOW",L237&lt;=9,"MEDIUM")</f>
        <v>MEDIUM</v>
      </c>
      <c r="N237" s="9" cm="1">
        <f t="array" ref="N237">_xlfn.IFS(M237="HIGH",K237*L237,M237="MEDIUM",K237*L237,M237="LOW","NA")</f>
        <v>90</v>
      </c>
      <c r="O237" s="18" t="str">
        <f t="shared" si="11"/>
        <v>cleared</v>
      </c>
    </row>
    <row r="238" spans="1:15" x14ac:dyDescent="0.25">
      <c r="A238" s="17">
        <v>234</v>
      </c>
      <c r="B238" s="6" t="s">
        <v>271</v>
      </c>
      <c r="C238" s="6" t="s">
        <v>33</v>
      </c>
      <c r="D238" s="6" t="s">
        <v>41</v>
      </c>
      <c r="E238" s="6" t="s">
        <v>42</v>
      </c>
      <c r="F238" s="6" t="s">
        <v>29</v>
      </c>
      <c r="G238" s="7">
        <v>46243</v>
      </c>
      <c r="H238" s="6">
        <v>4</v>
      </c>
      <c r="I238" s="7">
        <v>46247</v>
      </c>
      <c r="J238" s="7">
        <f t="shared" si="10"/>
        <v>46247</v>
      </c>
      <c r="K238" s="8">
        <v>150</v>
      </c>
      <c r="L238" s="9">
        <f t="shared" si="9"/>
        <v>0</v>
      </c>
      <c r="M238" s="9" t="str" cm="1">
        <f t="array" ref="M238">_xlfn.IFS(L238&gt;=10,"HIGH",L238=0,"LOW",L238&lt;=9,"MEDIUM")</f>
        <v>LOW</v>
      </c>
      <c r="N238" s="9" t="str" cm="1">
        <f t="array" ref="N238">_xlfn.IFS(M238="HIGH",K238*L238,M238="MEDIUM",K238*L238,M238="LOW","NA")</f>
        <v>NA</v>
      </c>
      <c r="O238" s="18" t="str">
        <f t="shared" si="11"/>
        <v>cleared</v>
      </c>
    </row>
    <row r="239" spans="1:15" x14ac:dyDescent="0.25">
      <c r="A239" s="17">
        <v>235</v>
      </c>
      <c r="B239" s="6" t="s">
        <v>272</v>
      </c>
      <c r="C239" s="6" t="s">
        <v>11</v>
      </c>
      <c r="D239" s="6" t="s">
        <v>26</v>
      </c>
      <c r="E239" s="6" t="s">
        <v>18</v>
      </c>
      <c r="F239" s="6" t="s">
        <v>14</v>
      </c>
      <c r="G239" s="7">
        <v>46173</v>
      </c>
      <c r="H239" s="6">
        <v>7</v>
      </c>
      <c r="I239" s="7">
        <v>46177</v>
      </c>
      <c r="J239" s="7">
        <f t="shared" si="10"/>
        <v>46180</v>
      </c>
      <c r="K239" s="8">
        <v>75</v>
      </c>
      <c r="L239" s="9">
        <f t="shared" si="9"/>
        <v>0</v>
      </c>
      <c r="M239" s="9" t="str" cm="1">
        <f t="array" ref="M239">_xlfn.IFS(L239&gt;=10,"HIGH",L239=0,"LOW",L239&lt;=9,"MEDIUM")</f>
        <v>LOW</v>
      </c>
      <c r="N239" s="9" t="str" cm="1">
        <f t="array" ref="N239">_xlfn.IFS(M239="HIGH",K239*L239,M239="MEDIUM",K239*L239,M239="LOW","NA")</f>
        <v>NA</v>
      </c>
      <c r="O239" s="18" t="str">
        <f t="shared" si="11"/>
        <v>cleared</v>
      </c>
    </row>
    <row r="240" spans="1:15" x14ac:dyDescent="0.25">
      <c r="A240" s="17">
        <v>236</v>
      </c>
      <c r="B240" s="6" t="s">
        <v>273</v>
      </c>
      <c r="C240" s="6" t="s">
        <v>37</v>
      </c>
      <c r="D240" s="6" t="s">
        <v>12</v>
      </c>
      <c r="E240" s="6" t="s">
        <v>44</v>
      </c>
      <c r="F240" s="6" t="s">
        <v>24</v>
      </c>
      <c r="G240" s="7">
        <v>46213</v>
      </c>
      <c r="H240" s="6">
        <v>4</v>
      </c>
      <c r="I240" s="7">
        <v>46217</v>
      </c>
      <c r="J240" s="7">
        <f t="shared" si="10"/>
        <v>46217</v>
      </c>
      <c r="K240" s="8">
        <v>60</v>
      </c>
      <c r="L240" s="9">
        <f t="shared" si="9"/>
        <v>0</v>
      </c>
      <c r="M240" s="9" t="str" cm="1">
        <f t="array" ref="M240">_xlfn.IFS(L240&gt;=10,"HIGH",L240=0,"LOW",L240&lt;=9,"MEDIUM")</f>
        <v>LOW</v>
      </c>
      <c r="N240" s="9" t="str" cm="1">
        <f t="array" ref="N240">_xlfn.IFS(M240="HIGH",K240*L240,M240="MEDIUM",K240*L240,M240="LOW","NA")</f>
        <v>NA</v>
      </c>
      <c r="O240" s="18" t="str">
        <f t="shared" si="11"/>
        <v>cleared</v>
      </c>
    </row>
    <row r="241" spans="1:15" x14ac:dyDescent="0.25">
      <c r="A241" s="17">
        <v>237</v>
      </c>
      <c r="B241" s="6" t="s">
        <v>274</v>
      </c>
      <c r="C241" s="6" t="s">
        <v>16</v>
      </c>
      <c r="D241" s="6" t="s">
        <v>31</v>
      </c>
      <c r="E241" s="6" t="s">
        <v>61</v>
      </c>
      <c r="F241" s="6" t="s">
        <v>29</v>
      </c>
      <c r="G241" s="7">
        <v>46251</v>
      </c>
      <c r="H241" s="6">
        <v>3</v>
      </c>
      <c r="I241" s="6"/>
      <c r="J241" s="7">
        <f t="shared" si="10"/>
        <v>46254</v>
      </c>
      <c r="K241" s="8">
        <v>120</v>
      </c>
      <c r="L241" s="9">
        <f t="shared" si="9"/>
        <v>5</v>
      </c>
      <c r="M241" s="9" t="str" cm="1">
        <f t="array" ref="M241">_xlfn.IFS(L241&gt;=10,"HIGH",L241=0,"LOW",L241&lt;=9,"MEDIUM")</f>
        <v>MEDIUM</v>
      </c>
      <c r="N241" s="9" cm="1">
        <f t="array" ref="N241">_xlfn.IFS(M241="HIGH",K241*L241,M241="MEDIUM",K241*L241,M241="LOW","NA")</f>
        <v>600</v>
      </c>
      <c r="O241" s="18" t="str">
        <f t="shared" si="11"/>
        <v>still in yard</v>
      </c>
    </row>
    <row r="242" spans="1:15" x14ac:dyDescent="0.25">
      <c r="A242" s="17">
        <v>238</v>
      </c>
      <c r="B242" s="6" t="s">
        <v>275</v>
      </c>
      <c r="C242" s="6" t="s">
        <v>37</v>
      </c>
      <c r="D242" s="6" t="s">
        <v>31</v>
      </c>
      <c r="E242" s="6" t="s">
        <v>21</v>
      </c>
      <c r="F242" s="6" t="s">
        <v>29</v>
      </c>
      <c r="G242" s="7">
        <v>46175</v>
      </c>
      <c r="H242" s="6">
        <v>3</v>
      </c>
      <c r="I242" s="7">
        <v>46176</v>
      </c>
      <c r="J242" s="7">
        <f t="shared" si="10"/>
        <v>46178</v>
      </c>
      <c r="K242" s="8">
        <v>150</v>
      </c>
      <c r="L242" s="9">
        <f t="shared" si="9"/>
        <v>0</v>
      </c>
      <c r="M242" s="9" t="str" cm="1">
        <f t="array" ref="M242">_xlfn.IFS(L242&gt;=10,"HIGH",L242=0,"LOW",L242&lt;=9,"MEDIUM")</f>
        <v>LOW</v>
      </c>
      <c r="N242" s="9" t="str" cm="1">
        <f t="array" ref="N242">_xlfn.IFS(M242="HIGH",K242*L242,M242="MEDIUM",K242*L242,M242="LOW","NA")</f>
        <v>NA</v>
      </c>
      <c r="O242" s="18" t="str">
        <f t="shared" si="11"/>
        <v>cleared</v>
      </c>
    </row>
    <row r="243" spans="1:15" x14ac:dyDescent="0.25">
      <c r="A243" s="17">
        <v>239</v>
      </c>
      <c r="B243" s="6" t="s">
        <v>276</v>
      </c>
      <c r="C243" s="6" t="s">
        <v>33</v>
      </c>
      <c r="D243" s="6" t="s">
        <v>49</v>
      </c>
      <c r="E243" s="6" t="s">
        <v>23</v>
      </c>
      <c r="F243" s="6" t="s">
        <v>29</v>
      </c>
      <c r="G243" s="7">
        <v>46228</v>
      </c>
      <c r="H243" s="6">
        <v>3</v>
      </c>
      <c r="I243" s="7">
        <v>46233</v>
      </c>
      <c r="J243" s="7">
        <f t="shared" si="10"/>
        <v>46231</v>
      </c>
      <c r="K243" s="8">
        <v>120</v>
      </c>
      <c r="L243" s="9">
        <f t="shared" si="9"/>
        <v>2</v>
      </c>
      <c r="M243" s="9" t="str" cm="1">
        <f t="array" ref="M243">_xlfn.IFS(L243&gt;=10,"HIGH",L243=0,"LOW",L243&lt;=9,"MEDIUM")</f>
        <v>MEDIUM</v>
      </c>
      <c r="N243" s="9" cm="1">
        <f t="array" ref="N243">_xlfn.IFS(M243="HIGH",K243*L243,M243="MEDIUM",K243*L243,M243="LOW","NA")</f>
        <v>240</v>
      </c>
      <c r="O243" s="18" t="str">
        <f t="shared" si="11"/>
        <v>cleared</v>
      </c>
    </row>
    <row r="244" spans="1:15" x14ac:dyDescent="0.25">
      <c r="A244" s="17">
        <v>240</v>
      </c>
      <c r="B244" s="6" t="s">
        <v>277</v>
      </c>
      <c r="C244" s="6" t="s">
        <v>33</v>
      </c>
      <c r="D244" s="6" t="s">
        <v>20</v>
      </c>
      <c r="E244" s="6" t="s">
        <v>44</v>
      </c>
      <c r="F244" s="6" t="s">
        <v>27</v>
      </c>
      <c r="G244" s="7">
        <v>46230</v>
      </c>
      <c r="H244" s="6">
        <v>4</v>
      </c>
      <c r="I244" s="7">
        <v>46239</v>
      </c>
      <c r="J244" s="7">
        <f t="shared" si="10"/>
        <v>46234</v>
      </c>
      <c r="K244" s="8">
        <v>75</v>
      </c>
      <c r="L244" s="9">
        <f t="shared" si="9"/>
        <v>5</v>
      </c>
      <c r="M244" s="9" t="str" cm="1">
        <f t="array" ref="M244">_xlfn.IFS(L244&gt;=10,"HIGH",L244=0,"LOW",L244&lt;=9,"MEDIUM")</f>
        <v>MEDIUM</v>
      </c>
      <c r="N244" s="9" cm="1">
        <f t="array" ref="N244">_xlfn.IFS(M244="HIGH",K244*L244,M244="MEDIUM",K244*L244,M244="LOW","NA")</f>
        <v>375</v>
      </c>
      <c r="O244" s="18" t="str">
        <f t="shared" si="11"/>
        <v>cleared</v>
      </c>
    </row>
    <row r="245" spans="1:15" x14ac:dyDescent="0.25">
      <c r="A245" s="17">
        <v>241</v>
      </c>
      <c r="B245" s="6" t="s">
        <v>278</v>
      </c>
      <c r="C245" s="6" t="s">
        <v>33</v>
      </c>
      <c r="D245" s="6" t="s">
        <v>56</v>
      </c>
      <c r="E245" s="6" t="s">
        <v>13</v>
      </c>
      <c r="F245" s="6" t="s">
        <v>14</v>
      </c>
      <c r="G245" s="7">
        <v>46178</v>
      </c>
      <c r="H245" s="6">
        <v>4</v>
      </c>
      <c r="I245" s="7">
        <v>46179</v>
      </c>
      <c r="J245" s="7">
        <f t="shared" si="10"/>
        <v>46182</v>
      </c>
      <c r="K245" s="8">
        <v>90</v>
      </c>
      <c r="L245" s="9">
        <f t="shared" si="9"/>
        <v>0</v>
      </c>
      <c r="M245" s="9" t="str" cm="1">
        <f t="array" ref="M245">_xlfn.IFS(L245&gt;=10,"HIGH",L245=0,"LOW",L245&lt;=9,"MEDIUM")</f>
        <v>LOW</v>
      </c>
      <c r="N245" s="9" t="str" cm="1">
        <f t="array" ref="N245">_xlfn.IFS(M245="HIGH",K245*L245,M245="MEDIUM",K245*L245,M245="LOW","NA")</f>
        <v>NA</v>
      </c>
      <c r="O245" s="18" t="str">
        <f t="shared" si="11"/>
        <v>cleared</v>
      </c>
    </row>
    <row r="246" spans="1:15" x14ac:dyDescent="0.25">
      <c r="A246" s="17">
        <v>242</v>
      </c>
      <c r="B246" s="6" t="s">
        <v>279</v>
      </c>
      <c r="C246" s="6" t="s">
        <v>11</v>
      </c>
      <c r="D246" s="6" t="s">
        <v>20</v>
      </c>
      <c r="E246" s="6" t="s">
        <v>35</v>
      </c>
      <c r="F246" s="6" t="s">
        <v>14</v>
      </c>
      <c r="G246" s="7">
        <v>46178</v>
      </c>
      <c r="H246" s="6">
        <v>5</v>
      </c>
      <c r="I246" s="6"/>
      <c r="J246" s="7">
        <f t="shared" si="10"/>
        <v>46183</v>
      </c>
      <c r="K246" s="8">
        <v>75</v>
      </c>
      <c r="L246" s="9">
        <f t="shared" si="9"/>
        <v>76</v>
      </c>
      <c r="M246" s="9" t="str" cm="1">
        <f t="array" ref="M246">_xlfn.IFS(L246&gt;=10,"HIGH",L246=0,"LOW",L246&lt;=9,"MEDIUM")</f>
        <v>HIGH</v>
      </c>
      <c r="N246" s="9" cm="1">
        <f t="array" ref="N246">_xlfn.IFS(M246="HIGH",K246*L246,M246="MEDIUM",K246*L246,M246="LOW","NA")</f>
        <v>5700</v>
      </c>
      <c r="O246" s="18" t="str">
        <f t="shared" si="11"/>
        <v>still in yard</v>
      </c>
    </row>
    <row r="247" spans="1:15" x14ac:dyDescent="0.25">
      <c r="A247" s="17">
        <v>243</v>
      </c>
      <c r="B247" s="6" t="s">
        <v>280</v>
      </c>
      <c r="C247" s="6" t="s">
        <v>16</v>
      </c>
      <c r="D247" s="6" t="s">
        <v>12</v>
      </c>
      <c r="E247" s="6" t="s">
        <v>35</v>
      </c>
      <c r="F247" s="6" t="s">
        <v>27</v>
      </c>
      <c r="G247" s="7">
        <v>46202</v>
      </c>
      <c r="H247" s="6">
        <v>5</v>
      </c>
      <c r="I247" s="6"/>
      <c r="J247" s="7">
        <f t="shared" si="10"/>
        <v>46207</v>
      </c>
      <c r="K247" s="8">
        <v>110</v>
      </c>
      <c r="L247" s="9">
        <f t="shared" si="9"/>
        <v>52</v>
      </c>
      <c r="M247" s="9" t="str" cm="1">
        <f t="array" ref="M247">_xlfn.IFS(L247&gt;=10,"HIGH",L247=0,"LOW",L247&lt;=9,"MEDIUM")</f>
        <v>HIGH</v>
      </c>
      <c r="N247" s="9" cm="1">
        <f t="array" ref="N247">_xlfn.IFS(M247="HIGH",K247*L247,M247="MEDIUM",K247*L247,M247="LOW","NA")</f>
        <v>5720</v>
      </c>
      <c r="O247" s="18" t="str">
        <f t="shared" si="11"/>
        <v>still in yard</v>
      </c>
    </row>
    <row r="248" spans="1:15" x14ac:dyDescent="0.25">
      <c r="A248" s="17">
        <v>244</v>
      </c>
      <c r="B248" s="6" t="s">
        <v>281</v>
      </c>
      <c r="C248" s="6" t="s">
        <v>37</v>
      </c>
      <c r="D248" s="6" t="s">
        <v>12</v>
      </c>
      <c r="E248" s="6" t="s">
        <v>44</v>
      </c>
      <c r="F248" s="6" t="s">
        <v>24</v>
      </c>
      <c r="G248" s="7">
        <v>46185</v>
      </c>
      <c r="H248" s="6">
        <v>5</v>
      </c>
      <c r="I248" s="7">
        <v>46192</v>
      </c>
      <c r="J248" s="7">
        <f t="shared" si="10"/>
        <v>46190</v>
      </c>
      <c r="K248" s="8">
        <v>90</v>
      </c>
      <c r="L248" s="9">
        <f t="shared" si="9"/>
        <v>2</v>
      </c>
      <c r="M248" s="9" t="str" cm="1">
        <f t="array" ref="M248">_xlfn.IFS(L248&gt;=10,"HIGH",L248=0,"LOW",L248&lt;=9,"MEDIUM")</f>
        <v>MEDIUM</v>
      </c>
      <c r="N248" s="9" cm="1">
        <f t="array" ref="N248">_xlfn.IFS(M248="HIGH",K248*L248,M248="MEDIUM",K248*L248,M248="LOW","NA")</f>
        <v>180</v>
      </c>
      <c r="O248" s="18" t="str">
        <f t="shared" si="11"/>
        <v>cleared</v>
      </c>
    </row>
    <row r="249" spans="1:15" x14ac:dyDescent="0.25">
      <c r="A249" s="17">
        <v>245</v>
      </c>
      <c r="B249" s="6" t="s">
        <v>282</v>
      </c>
      <c r="C249" s="6" t="s">
        <v>33</v>
      </c>
      <c r="D249" s="6" t="s">
        <v>41</v>
      </c>
      <c r="E249" s="6" t="s">
        <v>42</v>
      </c>
      <c r="F249" s="6" t="s">
        <v>27</v>
      </c>
      <c r="G249" s="7">
        <v>46193</v>
      </c>
      <c r="H249" s="6">
        <v>4</v>
      </c>
      <c r="I249" s="7">
        <v>46201</v>
      </c>
      <c r="J249" s="7">
        <f t="shared" si="10"/>
        <v>46197</v>
      </c>
      <c r="K249" s="8">
        <v>75</v>
      </c>
      <c r="L249" s="9">
        <f t="shared" si="9"/>
        <v>4</v>
      </c>
      <c r="M249" s="9" t="str" cm="1">
        <f t="array" ref="M249">_xlfn.IFS(L249&gt;=10,"HIGH",L249=0,"LOW",L249&lt;=9,"MEDIUM")</f>
        <v>MEDIUM</v>
      </c>
      <c r="N249" s="9" cm="1">
        <f t="array" ref="N249">_xlfn.IFS(M249="HIGH",K249*L249,M249="MEDIUM",K249*L249,M249="LOW","NA")</f>
        <v>300</v>
      </c>
      <c r="O249" s="18" t="str">
        <f t="shared" si="11"/>
        <v>cleared</v>
      </c>
    </row>
    <row r="250" spans="1:15" x14ac:dyDescent="0.25">
      <c r="A250" s="17">
        <v>246</v>
      </c>
      <c r="B250" s="6" t="s">
        <v>283</v>
      </c>
      <c r="C250" s="6" t="s">
        <v>33</v>
      </c>
      <c r="D250" s="6" t="s">
        <v>31</v>
      </c>
      <c r="E250" s="6" t="s">
        <v>42</v>
      </c>
      <c r="F250" s="6" t="s">
        <v>24</v>
      </c>
      <c r="G250" s="7">
        <v>46233</v>
      </c>
      <c r="H250" s="6">
        <v>5</v>
      </c>
      <c r="I250" s="7">
        <v>46237</v>
      </c>
      <c r="J250" s="7">
        <f t="shared" si="10"/>
        <v>46238</v>
      </c>
      <c r="K250" s="8">
        <v>75</v>
      </c>
      <c r="L250" s="9">
        <f t="shared" si="9"/>
        <v>0</v>
      </c>
      <c r="M250" s="9" t="str" cm="1">
        <f t="array" ref="M250">_xlfn.IFS(L250&gt;=10,"HIGH",L250=0,"LOW",L250&lt;=9,"MEDIUM")</f>
        <v>LOW</v>
      </c>
      <c r="N250" s="9" t="str" cm="1">
        <f t="array" ref="N250">_xlfn.IFS(M250="HIGH",K250*L250,M250="MEDIUM",K250*L250,M250="LOW","NA")</f>
        <v>NA</v>
      </c>
      <c r="O250" s="18" t="str">
        <f t="shared" si="11"/>
        <v>cleared</v>
      </c>
    </row>
    <row r="251" spans="1:15" x14ac:dyDescent="0.25">
      <c r="A251" s="17">
        <v>247</v>
      </c>
      <c r="B251" s="6" t="s">
        <v>284</v>
      </c>
      <c r="C251" s="6" t="s">
        <v>16</v>
      </c>
      <c r="D251" s="6" t="s">
        <v>49</v>
      </c>
      <c r="E251" s="6" t="s">
        <v>46</v>
      </c>
      <c r="F251" s="6" t="s">
        <v>29</v>
      </c>
      <c r="G251" s="7">
        <v>46238</v>
      </c>
      <c r="H251" s="6">
        <v>3</v>
      </c>
      <c r="I251" s="7">
        <v>46243</v>
      </c>
      <c r="J251" s="7">
        <f t="shared" si="10"/>
        <v>46241</v>
      </c>
      <c r="K251" s="8">
        <v>150</v>
      </c>
      <c r="L251" s="9">
        <f t="shared" si="9"/>
        <v>2</v>
      </c>
      <c r="M251" s="9" t="str" cm="1">
        <f t="array" ref="M251">_xlfn.IFS(L251&gt;=10,"HIGH",L251=0,"LOW",L251&lt;=9,"MEDIUM")</f>
        <v>MEDIUM</v>
      </c>
      <c r="N251" s="9" cm="1">
        <f t="array" ref="N251">_xlfn.IFS(M251="HIGH",K251*L251,M251="MEDIUM",K251*L251,M251="LOW","NA")</f>
        <v>300</v>
      </c>
      <c r="O251" s="18" t="str">
        <f t="shared" si="11"/>
        <v>cleared</v>
      </c>
    </row>
    <row r="252" spans="1:15" x14ac:dyDescent="0.25">
      <c r="A252" s="17">
        <v>248</v>
      </c>
      <c r="B252" s="6" t="s">
        <v>285</v>
      </c>
      <c r="C252" s="6" t="s">
        <v>37</v>
      </c>
      <c r="D252" s="6" t="s">
        <v>54</v>
      </c>
      <c r="E252" s="6" t="s">
        <v>35</v>
      </c>
      <c r="F252" s="6" t="s">
        <v>24</v>
      </c>
      <c r="G252" s="7">
        <v>46193</v>
      </c>
      <c r="H252" s="6">
        <v>5</v>
      </c>
      <c r="I252" s="7">
        <v>46200</v>
      </c>
      <c r="J252" s="7">
        <f t="shared" si="10"/>
        <v>46198</v>
      </c>
      <c r="K252" s="8">
        <v>90</v>
      </c>
      <c r="L252" s="9">
        <f t="shared" si="9"/>
        <v>2</v>
      </c>
      <c r="M252" s="9" t="str" cm="1">
        <f t="array" ref="M252">_xlfn.IFS(L252&gt;=10,"HIGH",L252=0,"LOW",L252&lt;=9,"MEDIUM")</f>
        <v>MEDIUM</v>
      </c>
      <c r="N252" s="9" cm="1">
        <f t="array" ref="N252">_xlfn.IFS(M252="HIGH",K252*L252,M252="MEDIUM",K252*L252,M252="LOW","NA")</f>
        <v>180</v>
      </c>
      <c r="O252" s="18" t="str">
        <f t="shared" si="11"/>
        <v>cleared</v>
      </c>
    </row>
    <row r="253" spans="1:15" x14ac:dyDescent="0.25">
      <c r="A253" s="17">
        <v>249</v>
      </c>
      <c r="B253" s="6" t="s">
        <v>286</v>
      </c>
      <c r="C253" s="6" t="s">
        <v>37</v>
      </c>
      <c r="D253" s="6" t="s">
        <v>34</v>
      </c>
      <c r="E253" s="6" t="s">
        <v>13</v>
      </c>
      <c r="F253" s="6" t="s">
        <v>14</v>
      </c>
      <c r="G253" s="7">
        <v>46206</v>
      </c>
      <c r="H253" s="6">
        <v>5</v>
      </c>
      <c r="I253" s="6"/>
      <c r="J253" s="7">
        <f t="shared" si="10"/>
        <v>46211</v>
      </c>
      <c r="K253" s="8">
        <v>75</v>
      </c>
      <c r="L253" s="9">
        <f t="shared" si="9"/>
        <v>48</v>
      </c>
      <c r="M253" s="9" t="str" cm="1">
        <f t="array" ref="M253">_xlfn.IFS(L253&gt;=10,"HIGH",L253=0,"LOW",L253&lt;=9,"MEDIUM")</f>
        <v>HIGH</v>
      </c>
      <c r="N253" s="9" cm="1">
        <f t="array" ref="N253">_xlfn.IFS(M253="HIGH",K253*L253,M253="MEDIUM",K253*L253,M253="LOW","NA")</f>
        <v>3600</v>
      </c>
      <c r="O253" s="18" t="str">
        <f t="shared" si="11"/>
        <v>still in yard</v>
      </c>
    </row>
    <row r="254" spans="1:15" x14ac:dyDescent="0.25">
      <c r="A254" s="17">
        <v>250</v>
      </c>
      <c r="B254" s="6" t="s">
        <v>287</v>
      </c>
      <c r="C254" s="6" t="s">
        <v>37</v>
      </c>
      <c r="D254" s="6" t="s">
        <v>12</v>
      </c>
      <c r="E254" s="6" t="s">
        <v>61</v>
      </c>
      <c r="F254" s="6" t="s">
        <v>27</v>
      </c>
      <c r="G254" s="7">
        <v>46236</v>
      </c>
      <c r="H254" s="6">
        <v>5</v>
      </c>
      <c r="I254" s="7">
        <v>46237</v>
      </c>
      <c r="J254" s="7">
        <f t="shared" si="10"/>
        <v>46241</v>
      </c>
      <c r="K254" s="8">
        <v>60</v>
      </c>
      <c r="L254" s="9">
        <f t="shared" si="9"/>
        <v>0</v>
      </c>
      <c r="M254" s="9" t="str" cm="1">
        <f t="array" ref="M254">_xlfn.IFS(L254&gt;=10,"HIGH",L254=0,"LOW",L254&lt;=9,"MEDIUM")</f>
        <v>LOW</v>
      </c>
      <c r="N254" s="9" t="str" cm="1">
        <f t="array" ref="N254">_xlfn.IFS(M254="HIGH",K254*L254,M254="MEDIUM",K254*L254,M254="LOW","NA")</f>
        <v>NA</v>
      </c>
      <c r="O254" s="18" t="str">
        <f t="shared" si="11"/>
        <v>cleared</v>
      </c>
    </row>
    <row r="255" spans="1:15" x14ac:dyDescent="0.25">
      <c r="A255" s="17">
        <v>251</v>
      </c>
      <c r="B255" s="6" t="s">
        <v>288</v>
      </c>
      <c r="C255" s="6" t="s">
        <v>33</v>
      </c>
      <c r="D255" s="6" t="s">
        <v>31</v>
      </c>
      <c r="E255" s="6" t="s">
        <v>23</v>
      </c>
      <c r="F255" s="6" t="s">
        <v>27</v>
      </c>
      <c r="G255" s="7">
        <v>46241</v>
      </c>
      <c r="H255" s="6">
        <v>7</v>
      </c>
      <c r="I255" s="7">
        <v>46246</v>
      </c>
      <c r="J255" s="7">
        <f t="shared" si="10"/>
        <v>46248</v>
      </c>
      <c r="K255" s="8">
        <v>90</v>
      </c>
      <c r="L255" s="9">
        <f t="shared" si="9"/>
        <v>0</v>
      </c>
      <c r="M255" s="9" t="str" cm="1">
        <f t="array" ref="M255">_xlfn.IFS(L255&gt;=10,"HIGH",L255=0,"LOW",L255&lt;=9,"MEDIUM")</f>
        <v>LOW</v>
      </c>
      <c r="N255" s="9" t="str" cm="1">
        <f t="array" ref="N255">_xlfn.IFS(M255="HIGH",K255*L255,M255="MEDIUM",K255*L255,M255="LOW","NA")</f>
        <v>NA</v>
      </c>
      <c r="O255" s="18" t="str">
        <f t="shared" si="11"/>
        <v>cleared</v>
      </c>
    </row>
    <row r="256" spans="1:15" x14ac:dyDescent="0.25">
      <c r="A256" s="17">
        <v>252</v>
      </c>
      <c r="B256" s="6" t="s">
        <v>289</v>
      </c>
      <c r="C256" s="6" t="s">
        <v>37</v>
      </c>
      <c r="D256" s="6" t="s">
        <v>54</v>
      </c>
      <c r="E256" s="6" t="s">
        <v>42</v>
      </c>
      <c r="F256" s="6" t="s">
        <v>29</v>
      </c>
      <c r="G256" s="7">
        <v>46251</v>
      </c>
      <c r="H256" s="6">
        <v>4</v>
      </c>
      <c r="I256" s="7">
        <v>46253</v>
      </c>
      <c r="J256" s="7">
        <f t="shared" si="10"/>
        <v>46255</v>
      </c>
      <c r="K256" s="8">
        <v>150</v>
      </c>
      <c r="L256" s="9">
        <f t="shared" si="9"/>
        <v>0</v>
      </c>
      <c r="M256" s="9" t="str" cm="1">
        <f t="array" ref="M256">_xlfn.IFS(L256&gt;=10,"HIGH",L256=0,"LOW",L256&lt;=9,"MEDIUM")</f>
        <v>LOW</v>
      </c>
      <c r="N256" s="9" t="str" cm="1">
        <f t="array" ref="N256">_xlfn.IFS(M256="HIGH",K256*L256,M256="MEDIUM",K256*L256,M256="LOW","NA")</f>
        <v>NA</v>
      </c>
      <c r="O256" s="18" t="str">
        <f t="shared" si="11"/>
        <v>cleared</v>
      </c>
    </row>
    <row r="257" spans="1:15" x14ac:dyDescent="0.25">
      <c r="A257" s="17">
        <v>253</v>
      </c>
      <c r="B257" s="6" t="s">
        <v>290</v>
      </c>
      <c r="C257" s="6" t="s">
        <v>11</v>
      </c>
      <c r="D257" s="6" t="s">
        <v>41</v>
      </c>
      <c r="E257" s="6" t="s">
        <v>42</v>
      </c>
      <c r="F257" s="6" t="s">
        <v>14</v>
      </c>
      <c r="G257" s="7">
        <v>46206</v>
      </c>
      <c r="H257" s="6">
        <v>6</v>
      </c>
      <c r="I257" s="6"/>
      <c r="J257" s="7">
        <f t="shared" si="10"/>
        <v>46212</v>
      </c>
      <c r="K257" s="8">
        <v>90</v>
      </c>
      <c r="L257" s="9">
        <f t="shared" si="9"/>
        <v>47</v>
      </c>
      <c r="M257" s="9" t="str" cm="1">
        <f t="array" ref="M257">_xlfn.IFS(L257&gt;=10,"HIGH",L257=0,"LOW",L257&lt;=9,"MEDIUM")</f>
        <v>HIGH</v>
      </c>
      <c r="N257" s="9" cm="1">
        <f t="array" ref="N257">_xlfn.IFS(M257="HIGH",K257*L257,M257="MEDIUM",K257*L257,M257="LOW","NA")</f>
        <v>4230</v>
      </c>
      <c r="O257" s="18" t="str">
        <f t="shared" si="11"/>
        <v>still in yard</v>
      </c>
    </row>
    <row r="258" spans="1:15" x14ac:dyDescent="0.25">
      <c r="A258" s="17">
        <v>254</v>
      </c>
      <c r="B258" s="6" t="s">
        <v>291</v>
      </c>
      <c r="C258" s="6" t="s">
        <v>37</v>
      </c>
      <c r="D258" s="6" t="s">
        <v>12</v>
      </c>
      <c r="E258" s="6" t="s">
        <v>21</v>
      </c>
      <c r="F258" s="6" t="s">
        <v>24</v>
      </c>
      <c r="G258" s="7">
        <v>46254</v>
      </c>
      <c r="H258" s="6">
        <v>5</v>
      </c>
      <c r="I258" s="7">
        <v>46255</v>
      </c>
      <c r="J258" s="7">
        <f t="shared" si="10"/>
        <v>46259</v>
      </c>
      <c r="K258" s="8">
        <v>90</v>
      </c>
      <c r="L258" s="9">
        <f t="shared" si="9"/>
        <v>0</v>
      </c>
      <c r="M258" s="9" t="str" cm="1">
        <f t="array" ref="M258">_xlfn.IFS(L258&gt;=10,"HIGH",L258=0,"LOW",L258&lt;=9,"MEDIUM")</f>
        <v>LOW</v>
      </c>
      <c r="N258" s="9" t="str" cm="1">
        <f t="array" ref="N258">_xlfn.IFS(M258="HIGH",K258*L258,M258="MEDIUM",K258*L258,M258="LOW","NA")</f>
        <v>NA</v>
      </c>
      <c r="O258" s="18" t="str">
        <f t="shared" si="11"/>
        <v>cleared</v>
      </c>
    </row>
    <row r="259" spans="1:15" x14ac:dyDescent="0.25">
      <c r="A259" s="17">
        <v>255</v>
      </c>
      <c r="B259" s="6" t="s">
        <v>292</v>
      </c>
      <c r="C259" s="6" t="s">
        <v>33</v>
      </c>
      <c r="D259" s="6" t="s">
        <v>17</v>
      </c>
      <c r="E259" s="6" t="s">
        <v>42</v>
      </c>
      <c r="F259" s="6" t="s">
        <v>14</v>
      </c>
      <c r="G259" s="7">
        <v>46213</v>
      </c>
      <c r="H259" s="6">
        <v>5</v>
      </c>
      <c r="I259" s="7">
        <v>46214</v>
      </c>
      <c r="J259" s="7">
        <f t="shared" si="10"/>
        <v>46218</v>
      </c>
      <c r="K259" s="8">
        <v>90</v>
      </c>
      <c r="L259" s="9">
        <f t="shared" si="9"/>
        <v>0</v>
      </c>
      <c r="M259" s="9" t="str" cm="1">
        <f t="array" ref="M259">_xlfn.IFS(L259&gt;=10,"HIGH",L259=0,"LOW",L259&lt;=9,"MEDIUM")</f>
        <v>LOW</v>
      </c>
      <c r="N259" s="9" t="str" cm="1">
        <f t="array" ref="N259">_xlfn.IFS(M259="HIGH",K259*L259,M259="MEDIUM",K259*L259,M259="LOW","NA")</f>
        <v>NA</v>
      </c>
      <c r="O259" s="18" t="str">
        <f t="shared" si="11"/>
        <v>cleared</v>
      </c>
    </row>
    <row r="260" spans="1:15" x14ac:dyDescent="0.25">
      <c r="A260" s="17">
        <v>256</v>
      </c>
      <c r="B260" s="6" t="s">
        <v>293</v>
      </c>
      <c r="C260" s="6" t="s">
        <v>33</v>
      </c>
      <c r="D260" s="6" t="s">
        <v>26</v>
      </c>
      <c r="E260" s="6" t="s">
        <v>44</v>
      </c>
      <c r="F260" s="6" t="s">
        <v>24</v>
      </c>
      <c r="G260" s="7">
        <v>46245</v>
      </c>
      <c r="H260" s="6">
        <v>6</v>
      </c>
      <c r="I260" s="7">
        <v>46258</v>
      </c>
      <c r="J260" s="7">
        <f t="shared" si="10"/>
        <v>46251</v>
      </c>
      <c r="K260" s="8">
        <v>75</v>
      </c>
      <c r="L260" s="9">
        <f t="shared" si="9"/>
        <v>7</v>
      </c>
      <c r="M260" s="9" t="str" cm="1">
        <f t="array" ref="M260">_xlfn.IFS(L260&gt;=10,"HIGH",L260=0,"LOW",L260&lt;=9,"MEDIUM")</f>
        <v>MEDIUM</v>
      </c>
      <c r="N260" s="9" cm="1">
        <f t="array" ref="N260">_xlfn.IFS(M260="HIGH",K260*L260,M260="MEDIUM",K260*L260,M260="LOW","NA")</f>
        <v>525</v>
      </c>
      <c r="O260" s="18" t="str">
        <f t="shared" si="11"/>
        <v>cleared</v>
      </c>
    </row>
    <row r="261" spans="1:15" x14ac:dyDescent="0.25">
      <c r="A261" s="17">
        <v>257</v>
      </c>
      <c r="B261" s="6" t="s">
        <v>294</v>
      </c>
      <c r="C261" s="6" t="s">
        <v>16</v>
      </c>
      <c r="D261" s="6" t="s">
        <v>20</v>
      </c>
      <c r="E261" s="6" t="s">
        <v>42</v>
      </c>
      <c r="F261" s="6" t="s">
        <v>27</v>
      </c>
      <c r="G261" s="7">
        <v>46179</v>
      </c>
      <c r="H261" s="6">
        <v>5</v>
      </c>
      <c r="I261" s="6"/>
      <c r="J261" s="7">
        <f t="shared" si="10"/>
        <v>46184</v>
      </c>
      <c r="K261" s="8">
        <v>90</v>
      </c>
      <c r="L261" s="9">
        <f t="shared" ref="L261:L324" si="12">MAX(0, IF(I261="", $C$2-J261, I261-J261))</f>
        <v>75</v>
      </c>
      <c r="M261" s="9" t="str" cm="1">
        <f t="array" ref="M261">_xlfn.IFS(L261&gt;=10,"HIGH",L261=0,"LOW",L261&lt;=9,"MEDIUM")</f>
        <v>HIGH</v>
      </c>
      <c r="N261" s="9" cm="1">
        <f t="array" ref="N261">_xlfn.IFS(M261="HIGH",K261*L261,M261="MEDIUM",K261*L261,M261="LOW","NA")</f>
        <v>6750</v>
      </c>
      <c r="O261" s="18" t="str">
        <f t="shared" si="11"/>
        <v>still in yard</v>
      </c>
    </row>
    <row r="262" spans="1:15" x14ac:dyDescent="0.25">
      <c r="A262" s="17">
        <v>258</v>
      </c>
      <c r="B262" s="6" t="s">
        <v>295</v>
      </c>
      <c r="C262" s="6" t="s">
        <v>11</v>
      </c>
      <c r="D262" s="6" t="s">
        <v>17</v>
      </c>
      <c r="E262" s="6" t="s">
        <v>44</v>
      </c>
      <c r="F262" s="6" t="s">
        <v>14</v>
      </c>
      <c r="G262" s="7">
        <v>46246</v>
      </c>
      <c r="H262" s="6">
        <v>5</v>
      </c>
      <c r="I262" s="6"/>
      <c r="J262" s="7">
        <f t="shared" ref="J262:J325" si="13">G262+H262</f>
        <v>46251</v>
      </c>
      <c r="K262" s="8">
        <v>130</v>
      </c>
      <c r="L262" s="9">
        <f t="shared" si="12"/>
        <v>8</v>
      </c>
      <c r="M262" s="9" t="str" cm="1">
        <f t="array" ref="M262">_xlfn.IFS(L262&gt;=10,"HIGH",L262=0,"LOW",L262&lt;=9,"MEDIUM")</f>
        <v>MEDIUM</v>
      </c>
      <c r="N262" s="9" cm="1">
        <f t="array" ref="N262">_xlfn.IFS(M262="HIGH",K262*L262,M262="MEDIUM",K262*L262,M262="LOW","NA")</f>
        <v>1040</v>
      </c>
      <c r="O262" s="18" t="str">
        <f t="shared" ref="O262:O325" si="14">IF(I262="","still in yard","cleared")</f>
        <v>still in yard</v>
      </c>
    </row>
    <row r="263" spans="1:15" x14ac:dyDescent="0.25">
      <c r="A263" s="17">
        <v>259</v>
      </c>
      <c r="B263" s="6" t="s">
        <v>296</v>
      </c>
      <c r="C263" s="6" t="s">
        <v>33</v>
      </c>
      <c r="D263" s="6" t="s">
        <v>17</v>
      </c>
      <c r="E263" s="6" t="s">
        <v>18</v>
      </c>
      <c r="F263" s="6" t="s">
        <v>29</v>
      </c>
      <c r="G263" s="7">
        <v>46245</v>
      </c>
      <c r="H263" s="6">
        <v>4</v>
      </c>
      <c r="I263" s="7">
        <v>46250</v>
      </c>
      <c r="J263" s="7">
        <f t="shared" si="13"/>
        <v>46249</v>
      </c>
      <c r="K263" s="8">
        <v>180</v>
      </c>
      <c r="L263" s="9">
        <f t="shared" si="12"/>
        <v>1</v>
      </c>
      <c r="M263" s="9" t="str" cm="1">
        <f t="array" ref="M263">_xlfn.IFS(L263&gt;=10,"HIGH",L263=0,"LOW",L263&lt;=9,"MEDIUM")</f>
        <v>MEDIUM</v>
      </c>
      <c r="N263" s="9" cm="1">
        <f t="array" ref="N263">_xlfn.IFS(M263="HIGH",K263*L263,M263="MEDIUM",K263*L263,M263="LOW","NA")</f>
        <v>180</v>
      </c>
      <c r="O263" s="18" t="str">
        <f t="shared" si="14"/>
        <v>cleared</v>
      </c>
    </row>
    <row r="264" spans="1:15" x14ac:dyDescent="0.25">
      <c r="A264" s="17">
        <v>260</v>
      </c>
      <c r="B264" s="6" t="s">
        <v>297</v>
      </c>
      <c r="C264" s="6" t="s">
        <v>37</v>
      </c>
      <c r="D264" s="6" t="s">
        <v>54</v>
      </c>
      <c r="E264" s="6" t="s">
        <v>46</v>
      </c>
      <c r="F264" s="6" t="s">
        <v>14</v>
      </c>
      <c r="G264" s="7">
        <v>46199</v>
      </c>
      <c r="H264" s="6">
        <v>6</v>
      </c>
      <c r="I264" s="7">
        <v>46205</v>
      </c>
      <c r="J264" s="7">
        <f t="shared" si="13"/>
        <v>46205</v>
      </c>
      <c r="K264" s="8">
        <v>60</v>
      </c>
      <c r="L264" s="9">
        <f t="shared" si="12"/>
        <v>0</v>
      </c>
      <c r="M264" s="9" t="str" cm="1">
        <f t="array" ref="M264">_xlfn.IFS(L264&gt;=10,"HIGH",L264=0,"LOW",L264&lt;=9,"MEDIUM")</f>
        <v>LOW</v>
      </c>
      <c r="N264" s="9" t="str" cm="1">
        <f t="array" ref="N264">_xlfn.IFS(M264="HIGH",K264*L264,M264="MEDIUM",K264*L264,M264="LOW","NA")</f>
        <v>NA</v>
      </c>
      <c r="O264" s="18" t="str">
        <f t="shared" si="14"/>
        <v>cleared</v>
      </c>
    </row>
    <row r="265" spans="1:15" x14ac:dyDescent="0.25">
      <c r="A265" s="17">
        <v>261</v>
      </c>
      <c r="B265" s="6" t="s">
        <v>298</v>
      </c>
      <c r="C265" s="6" t="s">
        <v>33</v>
      </c>
      <c r="D265" s="6" t="s">
        <v>12</v>
      </c>
      <c r="E265" s="6" t="s">
        <v>61</v>
      </c>
      <c r="F265" s="6" t="s">
        <v>27</v>
      </c>
      <c r="G265" s="7">
        <v>46229</v>
      </c>
      <c r="H265" s="6">
        <v>5</v>
      </c>
      <c r="I265" s="7">
        <v>46232</v>
      </c>
      <c r="J265" s="7">
        <f t="shared" si="13"/>
        <v>46234</v>
      </c>
      <c r="K265" s="8">
        <v>110</v>
      </c>
      <c r="L265" s="9">
        <f t="shared" si="12"/>
        <v>0</v>
      </c>
      <c r="M265" s="9" t="str" cm="1">
        <f t="array" ref="M265">_xlfn.IFS(L265&gt;=10,"HIGH",L265=0,"LOW",L265&lt;=9,"MEDIUM")</f>
        <v>LOW</v>
      </c>
      <c r="N265" s="9" t="str" cm="1">
        <f t="array" ref="N265">_xlfn.IFS(M265="HIGH",K265*L265,M265="MEDIUM",K265*L265,M265="LOW","NA")</f>
        <v>NA</v>
      </c>
      <c r="O265" s="18" t="str">
        <f t="shared" si="14"/>
        <v>cleared</v>
      </c>
    </row>
    <row r="266" spans="1:15" x14ac:dyDescent="0.25">
      <c r="A266" s="17">
        <v>262</v>
      </c>
      <c r="B266" s="6" t="s">
        <v>299</v>
      </c>
      <c r="C266" s="6" t="s">
        <v>33</v>
      </c>
      <c r="D266" s="6" t="s">
        <v>12</v>
      </c>
      <c r="E266" s="6" t="s">
        <v>44</v>
      </c>
      <c r="F266" s="6" t="s">
        <v>29</v>
      </c>
      <c r="G266" s="7">
        <v>46170</v>
      </c>
      <c r="H266" s="6">
        <v>4</v>
      </c>
      <c r="I266" s="7">
        <v>46173</v>
      </c>
      <c r="J266" s="7">
        <f t="shared" si="13"/>
        <v>46174</v>
      </c>
      <c r="K266" s="8">
        <v>120</v>
      </c>
      <c r="L266" s="9">
        <f t="shared" si="12"/>
        <v>0</v>
      </c>
      <c r="M266" s="9" t="str" cm="1">
        <f t="array" ref="M266">_xlfn.IFS(L266&gt;=10,"HIGH",L266=0,"LOW",L266&lt;=9,"MEDIUM")</f>
        <v>LOW</v>
      </c>
      <c r="N266" s="9" t="str" cm="1">
        <f t="array" ref="N266">_xlfn.IFS(M266="HIGH",K266*L266,M266="MEDIUM",K266*L266,M266="LOW","NA")</f>
        <v>NA</v>
      </c>
      <c r="O266" s="18" t="str">
        <f t="shared" si="14"/>
        <v>cleared</v>
      </c>
    </row>
    <row r="267" spans="1:15" x14ac:dyDescent="0.25">
      <c r="A267" s="17">
        <v>263</v>
      </c>
      <c r="B267" s="6" t="s">
        <v>300</v>
      </c>
      <c r="C267" s="6" t="s">
        <v>11</v>
      </c>
      <c r="D267" s="6" t="s">
        <v>34</v>
      </c>
      <c r="E267" s="6" t="s">
        <v>13</v>
      </c>
      <c r="F267" s="6" t="s">
        <v>27</v>
      </c>
      <c r="G267" s="7">
        <v>46216</v>
      </c>
      <c r="H267" s="6">
        <v>6</v>
      </c>
      <c r="I267" s="7">
        <v>46221</v>
      </c>
      <c r="J267" s="7">
        <f t="shared" si="13"/>
        <v>46222</v>
      </c>
      <c r="K267" s="8">
        <v>130</v>
      </c>
      <c r="L267" s="9">
        <f t="shared" si="12"/>
        <v>0</v>
      </c>
      <c r="M267" s="9" t="str" cm="1">
        <f t="array" ref="M267">_xlfn.IFS(L267&gt;=10,"HIGH",L267=0,"LOW",L267&lt;=9,"MEDIUM")</f>
        <v>LOW</v>
      </c>
      <c r="N267" s="9" t="str" cm="1">
        <f t="array" ref="N267">_xlfn.IFS(M267="HIGH",K267*L267,M267="MEDIUM",K267*L267,M267="LOW","NA")</f>
        <v>NA</v>
      </c>
      <c r="O267" s="18" t="str">
        <f t="shared" si="14"/>
        <v>cleared</v>
      </c>
    </row>
    <row r="268" spans="1:15" x14ac:dyDescent="0.25">
      <c r="A268" s="17">
        <v>264</v>
      </c>
      <c r="B268" s="6" t="s">
        <v>301</v>
      </c>
      <c r="C268" s="6" t="s">
        <v>11</v>
      </c>
      <c r="D268" s="6" t="s">
        <v>49</v>
      </c>
      <c r="E268" s="6" t="s">
        <v>61</v>
      </c>
      <c r="F268" s="6" t="s">
        <v>14</v>
      </c>
      <c r="G268" s="7">
        <v>46217</v>
      </c>
      <c r="H268" s="6">
        <v>7</v>
      </c>
      <c r="I268" s="6"/>
      <c r="J268" s="7">
        <f t="shared" si="13"/>
        <v>46224</v>
      </c>
      <c r="K268" s="8">
        <v>90</v>
      </c>
      <c r="L268" s="9">
        <f t="shared" si="12"/>
        <v>35</v>
      </c>
      <c r="M268" s="9" t="str" cm="1">
        <f t="array" ref="M268">_xlfn.IFS(L268&gt;=10,"HIGH",L268=0,"LOW",L268&lt;=9,"MEDIUM")</f>
        <v>HIGH</v>
      </c>
      <c r="N268" s="9" cm="1">
        <f t="array" ref="N268">_xlfn.IFS(M268="HIGH",K268*L268,M268="MEDIUM",K268*L268,M268="LOW","NA")</f>
        <v>3150</v>
      </c>
      <c r="O268" s="18" t="str">
        <f t="shared" si="14"/>
        <v>still in yard</v>
      </c>
    </row>
    <row r="269" spans="1:15" x14ac:dyDescent="0.25">
      <c r="A269" s="17">
        <v>265</v>
      </c>
      <c r="B269" s="6" t="s">
        <v>302</v>
      </c>
      <c r="C269" s="6" t="s">
        <v>37</v>
      </c>
      <c r="D269" s="6" t="s">
        <v>49</v>
      </c>
      <c r="E269" s="6" t="s">
        <v>44</v>
      </c>
      <c r="F269" s="6" t="s">
        <v>24</v>
      </c>
      <c r="G269" s="7">
        <v>46245</v>
      </c>
      <c r="H269" s="6">
        <v>7</v>
      </c>
      <c r="I269" s="6"/>
      <c r="J269" s="7">
        <f t="shared" si="13"/>
        <v>46252</v>
      </c>
      <c r="K269" s="8">
        <v>90</v>
      </c>
      <c r="L269" s="9">
        <f t="shared" si="12"/>
        <v>7</v>
      </c>
      <c r="M269" s="9" t="str" cm="1">
        <f t="array" ref="M269">_xlfn.IFS(L269&gt;=10,"HIGH",L269=0,"LOW",L269&lt;=9,"MEDIUM")</f>
        <v>MEDIUM</v>
      </c>
      <c r="N269" s="9" cm="1">
        <f t="array" ref="N269">_xlfn.IFS(M269="HIGH",K269*L269,M269="MEDIUM",K269*L269,M269="LOW","NA")</f>
        <v>630</v>
      </c>
      <c r="O269" s="18" t="str">
        <f t="shared" si="14"/>
        <v>still in yard</v>
      </c>
    </row>
    <row r="270" spans="1:15" x14ac:dyDescent="0.25">
      <c r="A270" s="17">
        <v>266</v>
      </c>
      <c r="B270" s="6" t="s">
        <v>303</v>
      </c>
      <c r="C270" s="6" t="s">
        <v>33</v>
      </c>
      <c r="D270" s="6" t="s">
        <v>20</v>
      </c>
      <c r="E270" s="6" t="s">
        <v>61</v>
      </c>
      <c r="F270" s="6" t="s">
        <v>14</v>
      </c>
      <c r="G270" s="7">
        <v>46230</v>
      </c>
      <c r="H270" s="6">
        <v>5</v>
      </c>
      <c r="I270" s="7">
        <v>46231</v>
      </c>
      <c r="J270" s="7">
        <f t="shared" si="13"/>
        <v>46235</v>
      </c>
      <c r="K270" s="8">
        <v>110</v>
      </c>
      <c r="L270" s="9">
        <f t="shared" si="12"/>
        <v>0</v>
      </c>
      <c r="M270" s="9" t="str" cm="1">
        <f t="array" ref="M270">_xlfn.IFS(L270&gt;=10,"HIGH",L270=0,"LOW",L270&lt;=9,"MEDIUM")</f>
        <v>LOW</v>
      </c>
      <c r="N270" s="9" t="str" cm="1">
        <f t="array" ref="N270">_xlfn.IFS(M270="HIGH",K270*L270,M270="MEDIUM",K270*L270,M270="LOW","NA")</f>
        <v>NA</v>
      </c>
      <c r="O270" s="18" t="str">
        <f t="shared" si="14"/>
        <v>cleared</v>
      </c>
    </row>
    <row r="271" spans="1:15" x14ac:dyDescent="0.25">
      <c r="A271" s="17">
        <v>267</v>
      </c>
      <c r="B271" s="6" t="s">
        <v>304</v>
      </c>
      <c r="C271" s="6" t="s">
        <v>16</v>
      </c>
      <c r="D271" s="6" t="s">
        <v>54</v>
      </c>
      <c r="E271" s="6" t="s">
        <v>44</v>
      </c>
      <c r="F271" s="6" t="s">
        <v>24</v>
      </c>
      <c r="G271" s="7">
        <v>46172</v>
      </c>
      <c r="H271" s="6">
        <v>7</v>
      </c>
      <c r="I271" s="6"/>
      <c r="J271" s="7">
        <f t="shared" si="13"/>
        <v>46179</v>
      </c>
      <c r="K271" s="8">
        <v>130</v>
      </c>
      <c r="L271" s="9">
        <f t="shared" si="12"/>
        <v>80</v>
      </c>
      <c r="M271" s="9" t="str" cm="1">
        <f t="array" ref="M271">_xlfn.IFS(L271&gt;=10,"HIGH",L271=0,"LOW",L271&lt;=9,"MEDIUM")</f>
        <v>HIGH</v>
      </c>
      <c r="N271" s="9" cm="1">
        <f t="array" ref="N271">_xlfn.IFS(M271="HIGH",K271*L271,M271="MEDIUM",K271*L271,M271="LOW","NA")</f>
        <v>10400</v>
      </c>
      <c r="O271" s="18" t="str">
        <f t="shared" si="14"/>
        <v>still in yard</v>
      </c>
    </row>
    <row r="272" spans="1:15" x14ac:dyDescent="0.25">
      <c r="A272" s="17">
        <v>268</v>
      </c>
      <c r="B272" s="6" t="s">
        <v>305</v>
      </c>
      <c r="C272" s="6" t="s">
        <v>16</v>
      </c>
      <c r="D272" s="6" t="s">
        <v>26</v>
      </c>
      <c r="E272" s="6" t="s">
        <v>42</v>
      </c>
      <c r="F272" s="6" t="s">
        <v>24</v>
      </c>
      <c r="G272" s="7">
        <v>46243</v>
      </c>
      <c r="H272" s="6">
        <v>7</v>
      </c>
      <c r="I272" s="6"/>
      <c r="J272" s="7">
        <f t="shared" si="13"/>
        <v>46250</v>
      </c>
      <c r="K272" s="8">
        <v>75</v>
      </c>
      <c r="L272" s="9">
        <f t="shared" si="12"/>
        <v>9</v>
      </c>
      <c r="M272" s="9" t="str" cm="1">
        <f t="array" ref="M272">_xlfn.IFS(L272&gt;=10,"HIGH",L272=0,"LOW",L272&lt;=9,"MEDIUM")</f>
        <v>MEDIUM</v>
      </c>
      <c r="N272" s="9" cm="1">
        <f t="array" ref="N272">_xlfn.IFS(M272="HIGH",K272*L272,M272="MEDIUM",K272*L272,M272="LOW","NA")</f>
        <v>675</v>
      </c>
      <c r="O272" s="18" t="str">
        <f t="shared" si="14"/>
        <v>still in yard</v>
      </c>
    </row>
    <row r="273" spans="1:15" x14ac:dyDescent="0.25">
      <c r="A273" s="17">
        <v>269</v>
      </c>
      <c r="B273" s="6" t="s">
        <v>306</v>
      </c>
      <c r="C273" s="6" t="s">
        <v>16</v>
      </c>
      <c r="D273" s="6" t="s">
        <v>31</v>
      </c>
      <c r="E273" s="6" t="s">
        <v>42</v>
      </c>
      <c r="F273" s="6" t="s">
        <v>24</v>
      </c>
      <c r="G273" s="7">
        <v>46214</v>
      </c>
      <c r="H273" s="6">
        <v>5</v>
      </c>
      <c r="I273" s="6"/>
      <c r="J273" s="7">
        <f t="shared" si="13"/>
        <v>46219</v>
      </c>
      <c r="K273" s="8">
        <v>130</v>
      </c>
      <c r="L273" s="9">
        <f t="shared" si="12"/>
        <v>40</v>
      </c>
      <c r="M273" s="9" t="str" cm="1">
        <f t="array" ref="M273">_xlfn.IFS(L273&gt;=10,"HIGH",L273=0,"LOW",L273&lt;=9,"MEDIUM")</f>
        <v>HIGH</v>
      </c>
      <c r="N273" s="9" cm="1">
        <f t="array" ref="N273">_xlfn.IFS(M273="HIGH",K273*L273,M273="MEDIUM",K273*L273,M273="LOW","NA")</f>
        <v>5200</v>
      </c>
      <c r="O273" s="18" t="str">
        <f t="shared" si="14"/>
        <v>still in yard</v>
      </c>
    </row>
    <row r="274" spans="1:15" x14ac:dyDescent="0.25">
      <c r="A274" s="17">
        <v>270</v>
      </c>
      <c r="B274" s="6" t="s">
        <v>307</v>
      </c>
      <c r="C274" s="6" t="s">
        <v>11</v>
      </c>
      <c r="D274" s="6" t="s">
        <v>56</v>
      </c>
      <c r="E274" s="6" t="s">
        <v>35</v>
      </c>
      <c r="F274" s="6" t="s">
        <v>27</v>
      </c>
      <c r="G274" s="7">
        <v>46202</v>
      </c>
      <c r="H274" s="6">
        <v>4</v>
      </c>
      <c r="I274" s="7">
        <v>46214</v>
      </c>
      <c r="J274" s="7">
        <f t="shared" si="13"/>
        <v>46206</v>
      </c>
      <c r="K274" s="8">
        <v>90</v>
      </c>
      <c r="L274" s="9">
        <f t="shared" si="12"/>
        <v>8</v>
      </c>
      <c r="M274" s="9" t="str" cm="1">
        <f t="array" ref="M274">_xlfn.IFS(L274&gt;=10,"HIGH",L274=0,"LOW",L274&lt;=9,"MEDIUM")</f>
        <v>MEDIUM</v>
      </c>
      <c r="N274" s="9" cm="1">
        <f t="array" ref="N274">_xlfn.IFS(M274="HIGH",K274*L274,M274="MEDIUM",K274*L274,M274="LOW","NA")</f>
        <v>720</v>
      </c>
      <c r="O274" s="18" t="str">
        <f t="shared" si="14"/>
        <v>cleared</v>
      </c>
    </row>
    <row r="275" spans="1:15" x14ac:dyDescent="0.25">
      <c r="A275" s="17">
        <v>271</v>
      </c>
      <c r="B275" s="6" t="s">
        <v>308</v>
      </c>
      <c r="C275" s="6" t="s">
        <v>33</v>
      </c>
      <c r="D275" s="6" t="s">
        <v>26</v>
      </c>
      <c r="E275" s="6" t="s">
        <v>46</v>
      </c>
      <c r="F275" s="6" t="s">
        <v>24</v>
      </c>
      <c r="G275" s="7">
        <v>46227</v>
      </c>
      <c r="H275" s="6">
        <v>4</v>
      </c>
      <c r="I275" s="7">
        <v>46229</v>
      </c>
      <c r="J275" s="7">
        <f t="shared" si="13"/>
        <v>46231</v>
      </c>
      <c r="K275" s="8">
        <v>130</v>
      </c>
      <c r="L275" s="9">
        <f t="shared" si="12"/>
        <v>0</v>
      </c>
      <c r="M275" s="9" t="str" cm="1">
        <f t="array" ref="M275">_xlfn.IFS(L275&gt;=10,"HIGH",L275=0,"LOW",L275&lt;=9,"MEDIUM")</f>
        <v>LOW</v>
      </c>
      <c r="N275" s="9" t="str" cm="1">
        <f t="array" ref="N275">_xlfn.IFS(M275="HIGH",K275*L275,M275="MEDIUM",K275*L275,M275="LOW","NA")</f>
        <v>NA</v>
      </c>
      <c r="O275" s="18" t="str">
        <f t="shared" si="14"/>
        <v>cleared</v>
      </c>
    </row>
    <row r="276" spans="1:15" x14ac:dyDescent="0.25">
      <c r="A276" s="17">
        <v>272</v>
      </c>
      <c r="B276" s="6" t="s">
        <v>309</v>
      </c>
      <c r="C276" s="6" t="s">
        <v>37</v>
      </c>
      <c r="D276" s="6" t="s">
        <v>49</v>
      </c>
      <c r="E276" s="6" t="s">
        <v>18</v>
      </c>
      <c r="F276" s="6" t="s">
        <v>24</v>
      </c>
      <c r="G276" s="7">
        <v>46200</v>
      </c>
      <c r="H276" s="6">
        <v>7</v>
      </c>
      <c r="I276" s="7">
        <v>46211</v>
      </c>
      <c r="J276" s="7">
        <f t="shared" si="13"/>
        <v>46207</v>
      </c>
      <c r="K276" s="8">
        <v>110</v>
      </c>
      <c r="L276" s="9">
        <f t="shared" si="12"/>
        <v>4</v>
      </c>
      <c r="M276" s="9" t="str" cm="1">
        <f t="array" ref="M276">_xlfn.IFS(L276&gt;=10,"HIGH",L276=0,"LOW",L276&lt;=9,"MEDIUM")</f>
        <v>MEDIUM</v>
      </c>
      <c r="N276" s="9" cm="1">
        <f t="array" ref="N276">_xlfn.IFS(M276="HIGH",K276*L276,M276="MEDIUM",K276*L276,M276="LOW","NA")</f>
        <v>440</v>
      </c>
      <c r="O276" s="18" t="str">
        <f t="shared" si="14"/>
        <v>cleared</v>
      </c>
    </row>
    <row r="277" spans="1:15" x14ac:dyDescent="0.25">
      <c r="A277" s="17">
        <v>273</v>
      </c>
      <c r="B277" s="6" t="s">
        <v>310</v>
      </c>
      <c r="C277" s="6" t="s">
        <v>33</v>
      </c>
      <c r="D277" s="6" t="s">
        <v>31</v>
      </c>
      <c r="E277" s="6" t="s">
        <v>44</v>
      </c>
      <c r="F277" s="6" t="s">
        <v>27</v>
      </c>
      <c r="G277" s="7">
        <v>46216</v>
      </c>
      <c r="H277" s="6">
        <v>5</v>
      </c>
      <c r="I277" s="6"/>
      <c r="J277" s="7">
        <f t="shared" si="13"/>
        <v>46221</v>
      </c>
      <c r="K277" s="8">
        <v>130</v>
      </c>
      <c r="L277" s="9">
        <f t="shared" si="12"/>
        <v>38</v>
      </c>
      <c r="M277" s="9" t="str" cm="1">
        <f t="array" ref="M277">_xlfn.IFS(L277&gt;=10,"HIGH",L277=0,"LOW",L277&lt;=9,"MEDIUM")</f>
        <v>HIGH</v>
      </c>
      <c r="N277" s="9" cm="1">
        <f t="array" ref="N277">_xlfn.IFS(M277="HIGH",K277*L277,M277="MEDIUM",K277*L277,M277="LOW","NA")</f>
        <v>4940</v>
      </c>
      <c r="O277" s="18" t="str">
        <f t="shared" si="14"/>
        <v>still in yard</v>
      </c>
    </row>
    <row r="278" spans="1:15" x14ac:dyDescent="0.25">
      <c r="A278" s="17">
        <v>274</v>
      </c>
      <c r="B278" s="6" t="s">
        <v>311</v>
      </c>
      <c r="C278" s="6" t="s">
        <v>33</v>
      </c>
      <c r="D278" s="6" t="s">
        <v>26</v>
      </c>
      <c r="E278" s="6" t="s">
        <v>13</v>
      </c>
      <c r="F278" s="6" t="s">
        <v>14</v>
      </c>
      <c r="G278" s="7">
        <v>46213</v>
      </c>
      <c r="H278" s="6">
        <v>5</v>
      </c>
      <c r="I278" s="7">
        <v>46218</v>
      </c>
      <c r="J278" s="7">
        <f t="shared" si="13"/>
        <v>46218</v>
      </c>
      <c r="K278" s="8">
        <v>110</v>
      </c>
      <c r="L278" s="9">
        <f t="shared" si="12"/>
        <v>0</v>
      </c>
      <c r="M278" s="9" t="str" cm="1">
        <f t="array" ref="M278">_xlfn.IFS(L278&gt;=10,"HIGH",L278=0,"LOW",L278&lt;=9,"MEDIUM")</f>
        <v>LOW</v>
      </c>
      <c r="N278" s="9" t="str" cm="1">
        <f t="array" ref="N278">_xlfn.IFS(M278="HIGH",K278*L278,M278="MEDIUM",K278*L278,M278="LOW","NA")</f>
        <v>NA</v>
      </c>
      <c r="O278" s="18" t="str">
        <f t="shared" si="14"/>
        <v>cleared</v>
      </c>
    </row>
    <row r="279" spans="1:15" x14ac:dyDescent="0.25">
      <c r="A279" s="17">
        <v>275</v>
      </c>
      <c r="B279" s="6" t="s">
        <v>312</v>
      </c>
      <c r="C279" s="6" t="s">
        <v>11</v>
      </c>
      <c r="D279" s="6" t="s">
        <v>31</v>
      </c>
      <c r="E279" s="6" t="s">
        <v>18</v>
      </c>
      <c r="F279" s="6" t="s">
        <v>24</v>
      </c>
      <c r="G279" s="7">
        <v>46251</v>
      </c>
      <c r="H279" s="6">
        <v>4</v>
      </c>
      <c r="I279" s="6"/>
      <c r="J279" s="7">
        <f t="shared" si="13"/>
        <v>46255</v>
      </c>
      <c r="K279" s="8">
        <v>60</v>
      </c>
      <c r="L279" s="9">
        <f t="shared" si="12"/>
        <v>4</v>
      </c>
      <c r="M279" s="9" t="str" cm="1">
        <f t="array" ref="M279">_xlfn.IFS(L279&gt;=10,"HIGH",L279=0,"LOW",L279&lt;=9,"MEDIUM")</f>
        <v>MEDIUM</v>
      </c>
      <c r="N279" s="9" cm="1">
        <f t="array" ref="N279">_xlfn.IFS(M279="HIGH",K279*L279,M279="MEDIUM",K279*L279,M279="LOW","NA")</f>
        <v>240</v>
      </c>
      <c r="O279" s="18" t="str">
        <f t="shared" si="14"/>
        <v>still in yard</v>
      </c>
    </row>
    <row r="280" spans="1:15" x14ac:dyDescent="0.25">
      <c r="A280" s="17">
        <v>276</v>
      </c>
      <c r="B280" s="6" t="s">
        <v>313</v>
      </c>
      <c r="C280" s="6" t="s">
        <v>11</v>
      </c>
      <c r="D280" s="6" t="s">
        <v>41</v>
      </c>
      <c r="E280" s="6" t="s">
        <v>44</v>
      </c>
      <c r="F280" s="6" t="s">
        <v>29</v>
      </c>
      <c r="G280" s="7">
        <v>46202</v>
      </c>
      <c r="H280" s="6">
        <v>4</v>
      </c>
      <c r="I280" s="7">
        <v>46211</v>
      </c>
      <c r="J280" s="7">
        <f t="shared" si="13"/>
        <v>46206</v>
      </c>
      <c r="K280" s="8">
        <v>120</v>
      </c>
      <c r="L280" s="9">
        <f t="shared" si="12"/>
        <v>5</v>
      </c>
      <c r="M280" s="9" t="str" cm="1">
        <f t="array" ref="M280">_xlfn.IFS(L280&gt;=10,"HIGH",L280=0,"LOW",L280&lt;=9,"MEDIUM")</f>
        <v>MEDIUM</v>
      </c>
      <c r="N280" s="9" cm="1">
        <f t="array" ref="N280">_xlfn.IFS(M280="HIGH",K280*L280,M280="MEDIUM",K280*L280,M280="LOW","NA")</f>
        <v>600</v>
      </c>
      <c r="O280" s="18" t="str">
        <f t="shared" si="14"/>
        <v>cleared</v>
      </c>
    </row>
    <row r="281" spans="1:15" x14ac:dyDescent="0.25">
      <c r="A281" s="17">
        <v>277</v>
      </c>
      <c r="B281" s="6" t="s">
        <v>314</v>
      </c>
      <c r="C281" s="6" t="s">
        <v>37</v>
      </c>
      <c r="D281" s="6" t="s">
        <v>12</v>
      </c>
      <c r="E281" s="6" t="s">
        <v>13</v>
      </c>
      <c r="F281" s="6" t="s">
        <v>24</v>
      </c>
      <c r="G281" s="7">
        <v>46173</v>
      </c>
      <c r="H281" s="6">
        <v>5</v>
      </c>
      <c r="I281" s="6"/>
      <c r="J281" s="7">
        <f t="shared" si="13"/>
        <v>46178</v>
      </c>
      <c r="K281" s="8">
        <v>75</v>
      </c>
      <c r="L281" s="9">
        <f t="shared" si="12"/>
        <v>81</v>
      </c>
      <c r="M281" s="9" t="str" cm="1">
        <f t="array" ref="M281">_xlfn.IFS(L281&gt;=10,"HIGH",L281=0,"LOW",L281&lt;=9,"MEDIUM")</f>
        <v>HIGH</v>
      </c>
      <c r="N281" s="9" cm="1">
        <f t="array" ref="N281">_xlfn.IFS(M281="HIGH",K281*L281,M281="MEDIUM",K281*L281,M281="LOW","NA")</f>
        <v>6075</v>
      </c>
      <c r="O281" s="18" t="str">
        <f t="shared" si="14"/>
        <v>still in yard</v>
      </c>
    </row>
    <row r="282" spans="1:15" x14ac:dyDescent="0.25">
      <c r="A282" s="17">
        <v>278</v>
      </c>
      <c r="B282" s="6" t="s">
        <v>315</v>
      </c>
      <c r="C282" s="6" t="s">
        <v>11</v>
      </c>
      <c r="D282" s="6" t="s">
        <v>17</v>
      </c>
      <c r="E282" s="6" t="s">
        <v>42</v>
      </c>
      <c r="F282" s="6" t="s">
        <v>29</v>
      </c>
      <c r="G282" s="7">
        <v>46224</v>
      </c>
      <c r="H282" s="6">
        <v>4</v>
      </c>
      <c r="I282" s="7">
        <v>46229</v>
      </c>
      <c r="J282" s="7">
        <f t="shared" si="13"/>
        <v>46228</v>
      </c>
      <c r="K282" s="8">
        <v>120</v>
      </c>
      <c r="L282" s="9">
        <f t="shared" si="12"/>
        <v>1</v>
      </c>
      <c r="M282" s="9" t="str" cm="1">
        <f t="array" ref="M282">_xlfn.IFS(L282&gt;=10,"HIGH",L282=0,"LOW",L282&lt;=9,"MEDIUM")</f>
        <v>MEDIUM</v>
      </c>
      <c r="N282" s="9" cm="1">
        <f t="array" ref="N282">_xlfn.IFS(M282="HIGH",K282*L282,M282="MEDIUM",K282*L282,M282="LOW","NA")</f>
        <v>120</v>
      </c>
      <c r="O282" s="18" t="str">
        <f t="shared" si="14"/>
        <v>cleared</v>
      </c>
    </row>
    <row r="283" spans="1:15" x14ac:dyDescent="0.25">
      <c r="A283" s="17">
        <v>279</v>
      </c>
      <c r="B283" s="6" t="s">
        <v>316</v>
      </c>
      <c r="C283" s="6" t="s">
        <v>16</v>
      </c>
      <c r="D283" s="6" t="s">
        <v>49</v>
      </c>
      <c r="E283" s="6" t="s">
        <v>61</v>
      </c>
      <c r="F283" s="6" t="s">
        <v>14</v>
      </c>
      <c r="G283" s="7">
        <v>46195</v>
      </c>
      <c r="H283" s="6">
        <v>6</v>
      </c>
      <c r="I283" s="7">
        <v>46199</v>
      </c>
      <c r="J283" s="7">
        <f t="shared" si="13"/>
        <v>46201</v>
      </c>
      <c r="K283" s="8">
        <v>130</v>
      </c>
      <c r="L283" s="9">
        <f t="shared" si="12"/>
        <v>0</v>
      </c>
      <c r="M283" s="9" t="str" cm="1">
        <f t="array" ref="M283">_xlfn.IFS(L283&gt;=10,"HIGH",L283=0,"LOW",L283&lt;=9,"MEDIUM")</f>
        <v>LOW</v>
      </c>
      <c r="N283" s="9" t="str" cm="1">
        <f t="array" ref="N283">_xlfn.IFS(M283="HIGH",K283*L283,M283="MEDIUM",K283*L283,M283="LOW","NA")</f>
        <v>NA</v>
      </c>
      <c r="O283" s="18" t="str">
        <f t="shared" si="14"/>
        <v>cleared</v>
      </c>
    </row>
    <row r="284" spans="1:15" x14ac:dyDescent="0.25">
      <c r="A284" s="17">
        <v>280</v>
      </c>
      <c r="B284" s="6" t="s">
        <v>317</v>
      </c>
      <c r="C284" s="6" t="s">
        <v>37</v>
      </c>
      <c r="D284" s="6" t="s">
        <v>49</v>
      </c>
      <c r="E284" s="6" t="s">
        <v>46</v>
      </c>
      <c r="F284" s="6" t="s">
        <v>14</v>
      </c>
      <c r="G284" s="7">
        <v>46210</v>
      </c>
      <c r="H284" s="6">
        <v>6</v>
      </c>
      <c r="I284" s="7">
        <v>46215</v>
      </c>
      <c r="J284" s="7">
        <f t="shared" si="13"/>
        <v>46216</v>
      </c>
      <c r="K284" s="8">
        <v>90</v>
      </c>
      <c r="L284" s="9">
        <f t="shared" si="12"/>
        <v>0</v>
      </c>
      <c r="M284" s="9" t="str" cm="1">
        <f t="array" ref="M284">_xlfn.IFS(L284&gt;=10,"HIGH",L284=0,"LOW",L284&lt;=9,"MEDIUM")</f>
        <v>LOW</v>
      </c>
      <c r="N284" s="9" t="str" cm="1">
        <f t="array" ref="N284">_xlfn.IFS(M284="HIGH",K284*L284,M284="MEDIUM",K284*L284,M284="LOW","NA")</f>
        <v>NA</v>
      </c>
      <c r="O284" s="18" t="str">
        <f t="shared" si="14"/>
        <v>cleared</v>
      </c>
    </row>
    <row r="285" spans="1:15" x14ac:dyDescent="0.25">
      <c r="A285" s="17">
        <v>281</v>
      </c>
      <c r="B285" s="6" t="s">
        <v>318</v>
      </c>
      <c r="C285" s="6" t="s">
        <v>33</v>
      </c>
      <c r="D285" s="6" t="s">
        <v>17</v>
      </c>
      <c r="E285" s="6" t="s">
        <v>61</v>
      </c>
      <c r="F285" s="6" t="s">
        <v>29</v>
      </c>
      <c r="G285" s="7">
        <v>46176</v>
      </c>
      <c r="H285" s="6">
        <v>4</v>
      </c>
      <c r="I285" s="6"/>
      <c r="J285" s="7">
        <f t="shared" si="13"/>
        <v>46180</v>
      </c>
      <c r="K285" s="8">
        <v>180</v>
      </c>
      <c r="L285" s="9">
        <f t="shared" si="12"/>
        <v>79</v>
      </c>
      <c r="M285" s="9" t="str" cm="1">
        <f t="array" ref="M285">_xlfn.IFS(L285&gt;=10,"HIGH",L285=0,"LOW",L285&lt;=9,"MEDIUM")</f>
        <v>HIGH</v>
      </c>
      <c r="N285" s="9" cm="1">
        <f t="array" ref="N285">_xlfn.IFS(M285="HIGH",K285*L285,M285="MEDIUM",K285*L285,M285="LOW","NA")</f>
        <v>14220</v>
      </c>
      <c r="O285" s="18" t="str">
        <f t="shared" si="14"/>
        <v>still in yard</v>
      </c>
    </row>
    <row r="286" spans="1:15" x14ac:dyDescent="0.25">
      <c r="A286" s="17">
        <v>282</v>
      </c>
      <c r="B286" s="6" t="s">
        <v>319</v>
      </c>
      <c r="C286" s="6" t="s">
        <v>33</v>
      </c>
      <c r="D286" s="6" t="s">
        <v>49</v>
      </c>
      <c r="E286" s="6" t="s">
        <v>35</v>
      </c>
      <c r="F286" s="6" t="s">
        <v>24</v>
      </c>
      <c r="G286" s="7">
        <v>46235</v>
      </c>
      <c r="H286" s="6">
        <v>7</v>
      </c>
      <c r="I286" s="7">
        <v>46245</v>
      </c>
      <c r="J286" s="7">
        <f t="shared" si="13"/>
        <v>46242</v>
      </c>
      <c r="K286" s="8">
        <v>75</v>
      </c>
      <c r="L286" s="9">
        <f t="shared" si="12"/>
        <v>3</v>
      </c>
      <c r="M286" s="9" t="str" cm="1">
        <f t="array" ref="M286">_xlfn.IFS(L286&gt;=10,"HIGH",L286=0,"LOW",L286&lt;=9,"MEDIUM")</f>
        <v>MEDIUM</v>
      </c>
      <c r="N286" s="9" cm="1">
        <f t="array" ref="N286">_xlfn.IFS(M286="HIGH",K286*L286,M286="MEDIUM",K286*L286,M286="LOW","NA")</f>
        <v>225</v>
      </c>
      <c r="O286" s="18" t="str">
        <f t="shared" si="14"/>
        <v>cleared</v>
      </c>
    </row>
    <row r="287" spans="1:15" x14ac:dyDescent="0.25">
      <c r="A287" s="17">
        <v>283</v>
      </c>
      <c r="B287" s="6" t="s">
        <v>320</v>
      </c>
      <c r="C287" s="6" t="s">
        <v>33</v>
      </c>
      <c r="D287" s="6" t="s">
        <v>26</v>
      </c>
      <c r="E287" s="6" t="s">
        <v>13</v>
      </c>
      <c r="F287" s="6" t="s">
        <v>27</v>
      </c>
      <c r="G287" s="7">
        <v>46247</v>
      </c>
      <c r="H287" s="6">
        <v>5</v>
      </c>
      <c r="I287" s="7">
        <v>46256</v>
      </c>
      <c r="J287" s="7">
        <f t="shared" si="13"/>
        <v>46252</v>
      </c>
      <c r="K287" s="8">
        <v>90</v>
      </c>
      <c r="L287" s="9">
        <f t="shared" si="12"/>
        <v>4</v>
      </c>
      <c r="M287" s="9" t="str" cm="1">
        <f t="array" ref="M287">_xlfn.IFS(L287&gt;=10,"HIGH",L287=0,"LOW",L287&lt;=9,"MEDIUM")</f>
        <v>MEDIUM</v>
      </c>
      <c r="N287" s="9" cm="1">
        <f t="array" ref="N287">_xlfn.IFS(M287="HIGH",K287*L287,M287="MEDIUM",K287*L287,M287="LOW","NA")</f>
        <v>360</v>
      </c>
      <c r="O287" s="18" t="str">
        <f t="shared" si="14"/>
        <v>cleared</v>
      </c>
    </row>
    <row r="288" spans="1:15" x14ac:dyDescent="0.25">
      <c r="A288" s="17">
        <v>284</v>
      </c>
      <c r="B288" s="6" t="s">
        <v>321</v>
      </c>
      <c r="C288" s="6" t="s">
        <v>37</v>
      </c>
      <c r="D288" s="6" t="s">
        <v>49</v>
      </c>
      <c r="E288" s="6" t="s">
        <v>44</v>
      </c>
      <c r="F288" s="6" t="s">
        <v>14</v>
      </c>
      <c r="G288" s="7">
        <v>46252</v>
      </c>
      <c r="H288" s="6">
        <v>5</v>
      </c>
      <c r="I288" s="7">
        <v>46253</v>
      </c>
      <c r="J288" s="7">
        <f t="shared" si="13"/>
        <v>46257</v>
      </c>
      <c r="K288" s="8">
        <v>110</v>
      </c>
      <c r="L288" s="9">
        <f t="shared" si="12"/>
        <v>0</v>
      </c>
      <c r="M288" s="9" t="str" cm="1">
        <f t="array" ref="M288">_xlfn.IFS(L288&gt;=10,"HIGH",L288=0,"LOW",L288&lt;=9,"MEDIUM")</f>
        <v>LOW</v>
      </c>
      <c r="N288" s="9" t="str" cm="1">
        <f t="array" ref="N288">_xlfn.IFS(M288="HIGH",K288*L288,M288="MEDIUM",K288*L288,M288="LOW","NA")</f>
        <v>NA</v>
      </c>
      <c r="O288" s="18" t="str">
        <f t="shared" si="14"/>
        <v>cleared</v>
      </c>
    </row>
    <row r="289" spans="1:15" x14ac:dyDescent="0.25">
      <c r="A289" s="17">
        <v>285</v>
      </c>
      <c r="B289" s="6" t="s">
        <v>322</v>
      </c>
      <c r="C289" s="6" t="s">
        <v>11</v>
      </c>
      <c r="D289" s="6" t="s">
        <v>17</v>
      </c>
      <c r="E289" s="6" t="s">
        <v>46</v>
      </c>
      <c r="F289" s="6" t="s">
        <v>29</v>
      </c>
      <c r="G289" s="7">
        <v>46192</v>
      </c>
      <c r="H289" s="6">
        <v>4</v>
      </c>
      <c r="I289" s="7">
        <v>46193</v>
      </c>
      <c r="J289" s="7">
        <f t="shared" si="13"/>
        <v>46196</v>
      </c>
      <c r="K289" s="8">
        <v>120</v>
      </c>
      <c r="L289" s="9">
        <f t="shared" si="12"/>
        <v>0</v>
      </c>
      <c r="M289" s="9" t="str" cm="1">
        <f t="array" ref="M289">_xlfn.IFS(L289&gt;=10,"HIGH",L289=0,"LOW",L289&lt;=9,"MEDIUM")</f>
        <v>LOW</v>
      </c>
      <c r="N289" s="9" t="str" cm="1">
        <f t="array" ref="N289">_xlfn.IFS(M289="HIGH",K289*L289,M289="MEDIUM",K289*L289,M289="LOW","NA")</f>
        <v>NA</v>
      </c>
      <c r="O289" s="18" t="str">
        <f t="shared" si="14"/>
        <v>cleared</v>
      </c>
    </row>
    <row r="290" spans="1:15" x14ac:dyDescent="0.25">
      <c r="A290" s="17">
        <v>286</v>
      </c>
      <c r="B290" s="6" t="s">
        <v>323</v>
      </c>
      <c r="C290" s="6" t="s">
        <v>11</v>
      </c>
      <c r="D290" s="6" t="s">
        <v>41</v>
      </c>
      <c r="E290" s="6" t="s">
        <v>44</v>
      </c>
      <c r="F290" s="6" t="s">
        <v>14</v>
      </c>
      <c r="G290" s="7">
        <v>46191</v>
      </c>
      <c r="H290" s="6">
        <v>5</v>
      </c>
      <c r="I290" s="6"/>
      <c r="J290" s="7">
        <f t="shared" si="13"/>
        <v>46196</v>
      </c>
      <c r="K290" s="8">
        <v>90</v>
      </c>
      <c r="L290" s="9">
        <f t="shared" si="12"/>
        <v>63</v>
      </c>
      <c r="M290" s="9" t="str" cm="1">
        <f t="array" ref="M290">_xlfn.IFS(L290&gt;=10,"HIGH",L290=0,"LOW",L290&lt;=9,"MEDIUM")</f>
        <v>HIGH</v>
      </c>
      <c r="N290" s="9" cm="1">
        <f t="array" ref="N290">_xlfn.IFS(M290="HIGH",K290*L290,M290="MEDIUM",K290*L290,M290="LOW","NA")</f>
        <v>5670</v>
      </c>
      <c r="O290" s="18" t="str">
        <f t="shared" si="14"/>
        <v>still in yard</v>
      </c>
    </row>
    <row r="291" spans="1:15" x14ac:dyDescent="0.25">
      <c r="A291" s="17">
        <v>287</v>
      </c>
      <c r="B291" s="6" t="s">
        <v>324</v>
      </c>
      <c r="C291" s="6" t="s">
        <v>33</v>
      </c>
      <c r="D291" s="6" t="s">
        <v>17</v>
      </c>
      <c r="E291" s="6" t="s">
        <v>21</v>
      </c>
      <c r="F291" s="6" t="s">
        <v>27</v>
      </c>
      <c r="G291" s="7">
        <v>46234</v>
      </c>
      <c r="H291" s="6">
        <v>6</v>
      </c>
      <c r="I291" s="7">
        <v>46241</v>
      </c>
      <c r="J291" s="7">
        <f t="shared" si="13"/>
        <v>46240</v>
      </c>
      <c r="K291" s="8">
        <v>110</v>
      </c>
      <c r="L291" s="9">
        <f t="shared" si="12"/>
        <v>1</v>
      </c>
      <c r="M291" s="9" t="str" cm="1">
        <f t="array" ref="M291">_xlfn.IFS(L291&gt;=10,"HIGH",L291=0,"LOW",L291&lt;=9,"MEDIUM")</f>
        <v>MEDIUM</v>
      </c>
      <c r="N291" s="9" cm="1">
        <f t="array" ref="N291">_xlfn.IFS(M291="HIGH",K291*L291,M291="MEDIUM",K291*L291,M291="LOW","NA")</f>
        <v>110</v>
      </c>
      <c r="O291" s="18" t="str">
        <f t="shared" si="14"/>
        <v>cleared</v>
      </c>
    </row>
    <row r="292" spans="1:15" x14ac:dyDescent="0.25">
      <c r="A292" s="17">
        <v>288</v>
      </c>
      <c r="B292" s="6" t="s">
        <v>325</v>
      </c>
      <c r="C292" s="6" t="s">
        <v>11</v>
      </c>
      <c r="D292" s="6" t="s">
        <v>17</v>
      </c>
      <c r="E292" s="6" t="s">
        <v>42</v>
      </c>
      <c r="F292" s="6" t="s">
        <v>27</v>
      </c>
      <c r="G292" s="7">
        <v>46212</v>
      </c>
      <c r="H292" s="6">
        <v>5</v>
      </c>
      <c r="I292" s="7">
        <v>46220</v>
      </c>
      <c r="J292" s="7">
        <f t="shared" si="13"/>
        <v>46217</v>
      </c>
      <c r="K292" s="8">
        <v>75</v>
      </c>
      <c r="L292" s="9">
        <f t="shared" si="12"/>
        <v>3</v>
      </c>
      <c r="M292" s="9" t="str" cm="1">
        <f t="array" ref="M292">_xlfn.IFS(L292&gt;=10,"HIGH",L292=0,"LOW",L292&lt;=9,"MEDIUM")</f>
        <v>MEDIUM</v>
      </c>
      <c r="N292" s="9" cm="1">
        <f t="array" ref="N292">_xlfn.IFS(M292="HIGH",K292*L292,M292="MEDIUM",K292*L292,M292="LOW","NA")</f>
        <v>225</v>
      </c>
      <c r="O292" s="18" t="str">
        <f t="shared" si="14"/>
        <v>cleared</v>
      </c>
    </row>
    <row r="293" spans="1:15" x14ac:dyDescent="0.25">
      <c r="A293" s="17">
        <v>289</v>
      </c>
      <c r="B293" s="6" t="s">
        <v>326</v>
      </c>
      <c r="C293" s="6" t="s">
        <v>16</v>
      </c>
      <c r="D293" s="6" t="s">
        <v>31</v>
      </c>
      <c r="E293" s="6" t="s">
        <v>39</v>
      </c>
      <c r="F293" s="6" t="s">
        <v>29</v>
      </c>
      <c r="G293" s="7">
        <v>46178</v>
      </c>
      <c r="H293" s="6">
        <v>3</v>
      </c>
      <c r="I293" s="7">
        <v>46182</v>
      </c>
      <c r="J293" s="7">
        <f t="shared" si="13"/>
        <v>46181</v>
      </c>
      <c r="K293" s="8">
        <v>180</v>
      </c>
      <c r="L293" s="9">
        <f t="shared" si="12"/>
        <v>1</v>
      </c>
      <c r="M293" s="9" t="str" cm="1">
        <f t="array" ref="M293">_xlfn.IFS(L293&gt;=10,"HIGH",L293=0,"LOW",L293&lt;=9,"MEDIUM")</f>
        <v>MEDIUM</v>
      </c>
      <c r="N293" s="9" cm="1">
        <f t="array" ref="N293">_xlfn.IFS(M293="HIGH",K293*L293,M293="MEDIUM",K293*L293,M293="LOW","NA")</f>
        <v>180</v>
      </c>
      <c r="O293" s="18" t="str">
        <f t="shared" si="14"/>
        <v>cleared</v>
      </c>
    </row>
    <row r="294" spans="1:15" x14ac:dyDescent="0.25">
      <c r="A294" s="17">
        <v>290</v>
      </c>
      <c r="B294" s="6" t="s">
        <v>327</v>
      </c>
      <c r="C294" s="6" t="s">
        <v>37</v>
      </c>
      <c r="D294" s="6" t="s">
        <v>17</v>
      </c>
      <c r="E294" s="6" t="s">
        <v>18</v>
      </c>
      <c r="F294" s="6" t="s">
        <v>29</v>
      </c>
      <c r="G294" s="7">
        <v>46235</v>
      </c>
      <c r="H294" s="6">
        <v>3</v>
      </c>
      <c r="I294" s="7">
        <v>46236</v>
      </c>
      <c r="J294" s="7">
        <f t="shared" si="13"/>
        <v>46238</v>
      </c>
      <c r="K294" s="8">
        <v>180</v>
      </c>
      <c r="L294" s="9">
        <f t="shared" si="12"/>
        <v>0</v>
      </c>
      <c r="M294" s="9" t="str" cm="1">
        <f t="array" ref="M294">_xlfn.IFS(L294&gt;=10,"HIGH",L294=0,"LOW",L294&lt;=9,"MEDIUM")</f>
        <v>LOW</v>
      </c>
      <c r="N294" s="9" t="str" cm="1">
        <f t="array" ref="N294">_xlfn.IFS(M294="HIGH",K294*L294,M294="MEDIUM",K294*L294,M294="LOW","NA")</f>
        <v>NA</v>
      </c>
      <c r="O294" s="18" t="str">
        <f t="shared" si="14"/>
        <v>cleared</v>
      </c>
    </row>
    <row r="295" spans="1:15" x14ac:dyDescent="0.25">
      <c r="A295" s="17">
        <v>291</v>
      </c>
      <c r="B295" s="6" t="s">
        <v>328</v>
      </c>
      <c r="C295" s="6" t="s">
        <v>16</v>
      </c>
      <c r="D295" s="6" t="s">
        <v>49</v>
      </c>
      <c r="E295" s="6" t="s">
        <v>44</v>
      </c>
      <c r="F295" s="6" t="s">
        <v>14</v>
      </c>
      <c r="G295" s="7">
        <v>46219</v>
      </c>
      <c r="H295" s="6">
        <v>7</v>
      </c>
      <c r="I295" s="6"/>
      <c r="J295" s="7">
        <f t="shared" si="13"/>
        <v>46226</v>
      </c>
      <c r="K295" s="8">
        <v>90</v>
      </c>
      <c r="L295" s="9">
        <f t="shared" si="12"/>
        <v>33</v>
      </c>
      <c r="M295" s="9" t="str" cm="1">
        <f t="array" ref="M295">_xlfn.IFS(L295&gt;=10,"HIGH",L295=0,"LOW",L295&lt;=9,"MEDIUM")</f>
        <v>HIGH</v>
      </c>
      <c r="N295" s="9" cm="1">
        <f t="array" ref="N295">_xlfn.IFS(M295="HIGH",K295*L295,M295="MEDIUM",K295*L295,M295="LOW","NA")</f>
        <v>2970</v>
      </c>
      <c r="O295" s="18" t="str">
        <f t="shared" si="14"/>
        <v>still in yard</v>
      </c>
    </row>
    <row r="296" spans="1:15" x14ac:dyDescent="0.25">
      <c r="A296" s="17">
        <v>292</v>
      </c>
      <c r="B296" s="6" t="s">
        <v>329</v>
      </c>
      <c r="C296" s="6" t="s">
        <v>33</v>
      </c>
      <c r="D296" s="6" t="s">
        <v>56</v>
      </c>
      <c r="E296" s="6" t="s">
        <v>21</v>
      </c>
      <c r="F296" s="6" t="s">
        <v>14</v>
      </c>
      <c r="G296" s="7">
        <v>46173</v>
      </c>
      <c r="H296" s="6">
        <v>4</v>
      </c>
      <c r="I296" s="6"/>
      <c r="J296" s="7">
        <f t="shared" si="13"/>
        <v>46177</v>
      </c>
      <c r="K296" s="8">
        <v>110</v>
      </c>
      <c r="L296" s="9">
        <f t="shared" si="12"/>
        <v>82</v>
      </c>
      <c r="M296" s="9" t="str" cm="1">
        <f t="array" ref="M296">_xlfn.IFS(L296&gt;=10,"HIGH",L296=0,"LOW",L296&lt;=9,"MEDIUM")</f>
        <v>HIGH</v>
      </c>
      <c r="N296" s="9" cm="1">
        <f t="array" ref="N296">_xlfn.IFS(M296="HIGH",K296*L296,M296="MEDIUM",K296*L296,M296="LOW","NA")</f>
        <v>9020</v>
      </c>
      <c r="O296" s="18" t="str">
        <f t="shared" si="14"/>
        <v>still in yard</v>
      </c>
    </row>
    <row r="297" spans="1:15" x14ac:dyDescent="0.25">
      <c r="A297" s="17">
        <v>293</v>
      </c>
      <c r="B297" s="6" t="s">
        <v>330</v>
      </c>
      <c r="C297" s="6" t="s">
        <v>11</v>
      </c>
      <c r="D297" s="6" t="s">
        <v>17</v>
      </c>
      <c r="E297" s="6" t="s">
        <v>61</v>
      </c>
      <c r="F297" s="6" t="s">
        <v>27</v>
      </c>
      <c r="G297" s="7">
        <v>46185</v>
      </c>
      <c r="H297" s="6">
        <v>5</v>
      </c>
      <c r="I297" s="7">
        <v>46187</v>
      </c>
      <c r="J297" s="7">
        <f t="shared" si="13"/>
        <v>46190</v>
      </c>
      <c r="K297" s="8">
        <v>60</v>
      </c>
      <c r="L297" s="9">
        <f t="shared" si="12"/>
        <v>0</v>
      </c>
      <c r="M297" s="9" t="str" cm="1">
        <f t="array" ref="M297">_xlfn.IFS(L297&gt;=10,"HIGH",L297=0,"LOW",L297&lt;=9,"MEDIUM")</f>
        <v>LOW</v>
      </c>
      <c r="N297" s="9" t="str" cm="1">
        <f t="array" ref="N297">_xlfn.IFS(M297="HIGH",K297*L297,M297="MEDIUM",K297*L297,M297="LOW","NA")</f>
        <v>NA</v>
      </c>
      <c r="O297" s="18" t="str">
        <f t="shared" si="14"/>
        <v>cleared</v>
      </c>
    </row>
    <row r="298" spans="1:15" x14ac:dyDescent="0.25">
      <c r="A298" s="17">
        <v>294</v>
      </c>
      <c r="B298" s="6" t="s">
        <v>331</v>
      </c>
      <c r="C298" s="6" t="s">
        <v>37</v>
      </c>
      <c r="D298" s="6" t="s">
        <v>12</v>
      </c>
      <c r="E298" s="6" t="s">
        <v>61</v>
      </c>
      <c r="F298" s="6" t="s">
        <v>14</v>
      </c>
      <c r="G298" s="7">
        <v>46255</v>
      </c>
      <c r="H298" s="6">
        <v>4</v>
      </c>
      <c r="I298" s="6"/>
      <c r="J298" s="7">
        <f t="shared" si="13"/>
        <v>46259</v>
      </c>
      <c r="K298" s="8">
        <v>130</v>
      </c>
      <c r="L298" s="9">
        <f t="shared" si="12"/>
        <v>0</v>
      </c>
      <c r="M298" s="9" t="str" cm="1">
        <f t="array" ref="M298">_xlfn.IFS(L298&gt;=10,"HIGH",L298=0,"LOW",L298&lt;=9,"MEDIUM")</f>
        <v>LOW</v>
      </c>
      <c r="N298" s="9" t="str" cm="1">
        <f t="array" ref="N298">_xlfn.IFS(M298="HIGH",K298*L298,M298="MEDIUM",K298*L298,M298="LOW","NA")</f>
        <v>NA</v>
      </c>
      <c r="O298" s="18" t="str">
        <f t="shared" si="14"/>
        <v>still in yard</v>
      </c>
    </row>
    <row r="299" spans="1:15" x14ac:dyDescent="0.25">
      <c r="A299" s="17">
        <v>295</v>
      </c>
      <c r="B299" s="6" t="s">
        <v>332</v>
      </c>
      <c r="C299" s="6" t="s">
        <v>33</v>
      </c>
      <c r="D299" s="6" t="s">
        <v>41</v>
      </c>
      <c r="E299" s="6" t="s">
        <v>21</v>
      </c>
      <c r="F299" s="6" t="s">
        <v>29</v>
      </c>
      <c r="G299" s="7">
        <v>46251</v>
      </c>
      <c r="H299" s="6">
        <v>4</v>
      </c>
      <c r="I299" s="6"/>
      <c r="J299" s="7">
        <f t="shared" si="13"/>
        <v>46255</v>
      </c>
      <c r="K299" s="8">
        <v>180</v>
      </c>
      <c r="L299" s="9">
        <f t="shared" si="12"/>
        <v>4</v>
      </c>
      <c r="M299" s="9" t="str" cm="1">
        <f t="array" ref="M299">_xlfn.IFS(L299&gt;=10,"HIGH",L299=0,"LOW",L299&lt;=9,"MEDIUM")</f>
        <v>MEDIUM</v>
      </c>
      <c r="N299" s="9" cm="1">
        <f t="array" ref="N299">_xlfn.IFS(M299="HIGH",K299*L299,M299="MEDIUM",K299*L299,M299="LOW","NA")</f>
        <v>720</v>
      </c>
      <c r="O299" s="18" t="str">
        <f t="shared" si="14"/>
        <v>still in yard</v>
      </c>
    </row>
    <row r="300" spans="1:15" x14ac:dyDescent="0.25">
      <c r="A300" s="17">
        <v>296</v>
      </c>
      <c r="B300" s="6" t="s">
        <v>333</v>
      </c>
      <c r="C300" s="6" t="s">
        <v>11</v>
      </c>
      <c r="D300" s="6" t="s">
        <v>12</v>
      </c>
      <c r="E300" s="6" t="s">
        <v>18</v>
      </c>
      <c r="F300" s="6" t="s">
        <v>24</v>
      </c>
      <c r="G300" s="7">
        <v>46223</v>
      </c>
      <c r="H300" s="6">
        <v>5</v>
      </c>
      <c r="I300" s="6"/>
      <c r="J300" s="7">
        <f t="shared" si="13"/>
        <v>46228</v>
      </c>
      <c r="K300" s="8">
        <v>60</v>
      </c>
      <c r="L300" s="9">
        <f t="shared" si="12"/>
        <v>31</v>
      </c>
      <c r="M300" s="9" t="str" cm="1">
        <f t="array" ref="M300">_xlfn.IFS(L300&gt;=10,"HIGH",L300=0,"LOW",L300&lt;=9,"MEDIUM")</f>
        <v>HIGH</v>
      </c>
      <c r="N300" s="9" cm="1">
        <f t="array" ref="N300">_xlfn.IFS(M300="HIGH",K300*L300,M300="MEDIUM",K300*L300,M300="LOW","NA")</f>
        <v>1860</v>
      </c>
      <c r="O300" s="18" t="str">
        <f t="shared" si="14"/>
        <v>still in yard</v>
      </c>
    </row>
    <row r="301" spans="1:15" x14ac:dyDescent="0.25">
      <c r="A301" s="17">
        <v>297</v>
      </c>
      <c r="B301" s="6" t="s">
        <v>334</v>
      </c>
      <c r="C301" s="6" t="s">
        <v>16</v>
      </c>
      <c r="D301" s="6" t="s">
        <v>34</v>
      </c>
      <c r="E301" s="6" t="s">
        <v>18</v>
      </c>
      <c r="F301" s="6" t="s">
        <v>29</v>
      </c>
      <c r="G301" s="7">
        <v>46179</v>
      </c>
      <c r="H301" s="6">
        <v>4</v>
      </c>
      <c r="I301" s="6"/>
      <c r="J301" s="7">
        <f t="shared" si="13"/>
        <v>46183</v>
      </c>
      <c r="K301" s="8">
        <v>120</v>
      </c>
      <c r="L301" s="9">
        <f t="shared" si="12"/>
        <v>76</v>
      </c>
      <c r="M301" s="9" t="str" cm="1">
        <f t="array" ref="M301">_xlfn.IFS(L301&gt;=10,"HIGH",L301=0,"LOW",L301&lt;=9,"MEDIUM")</f>
        <v>HIGH</v>
      </c>
      <c r="N301" s="9" cm="1">
        <f t="array" ref="N301">_xlfn.IFS(M301="HIGH",K301*L301,M301="MEDIUM",K301*L301,M301="LOW","NA")</f>
        <v>9120</v>
      </c>
      <c r="O301" s="18" t="str">
        <f t="shared" si="14"/>
        <v>still in yard</v>
      </c>
    </row>
    <row r="302" spans="1:15" x14ac:dyDescent="0.25">
      <c r="A302" s="17">
        <v>298</v>
      </c>
      <c r="B302" s="6" t="s">
        <v>335</v>
      </c>
      <c r="C302" s="6" t="s">
        <v>33</v>
      </c>
      <c r="D302" s="6" t="s">
        <v>26</v>
      </c>
      <c r="E302" s="6" t="s">
        <v>44</v>
      </c>
      <c r="F302" s="6" t="s">
        <v>29</v>
      </c>
      <c r="G302" s="7">
        <v>46252</v>
      </c>
      <c r="H302" s="6">
        <v>4</v>
      </c>
      <c r="I302" s="6"/>
      <c r="J302" s="7">
        <f t="shared" si="13"/>
        <v>46256</v>
      </c>
      <c r="K302" s="8">
        <v>120</v>
      </c>
      <c r="L302" s="9">
        <f t="shared" si="12"/>
        <v>3</v>
      </c>
      <c r="M302" s="9" t="str" cm="1">
        <f t="array" ref="M302">_xlfn.IFS(L302&gt;=10,"HIGH",L302=0,"LOW",L302&lt;=9,"MEDIUM")</f>
        <v>MEDIUM</v>
      </c>
      <c r="N302" s="9" cm="1">
        <f t="array" ref="N302">_xlfn.IFS(M302="HIGH",K302*L302,M302="MEDIUM",K302*L302,M302="LOW","NA")</f>
        <v>360</v>
      </c>
      <c r="O302" s="18" t="str">
        <f t="shared" si="14"/>
        <v>still in yard</v>
      </c>
    </row>
    <row r="303" spans="1:15" x14ac:dyDescent="0.25">
      <c r="A303" s="17">
        <v>299</v>
      </c>
      <c r="B303" s="6" t="s">
        <v>336</v>
      </c>
      <c r="C303" s="6" t="s">
        <v>16</v>
      </c>
      <c r="D303" s="6" t="s">
        <v>12</v>
      </c>
      <c r="E303" s="6" t="s">
        <v>21</v>
      </c>
      <c r="F303" s="6" t="s">
        <v>27</v>
      </c>
      <c r="G303" s="7">
        <v>46218</v>
      </c>
      <c r="H303" s="6">
        <v>4</v>
      </c>
      <c r="I303" s="7">
        <v>46223</v>
      </c>
      <c r="J303" s="7">
        <f t="shared" si="13"/>
        <v>46222</v>
      </c>
      <c r="K303" s="8">
        <v>130</v>
      </c>
      <c r="L303" s="9">
        <f t="shared" si="12"/>
        <v>1</v>
      </c>
      <c r="M303" s="9" t="str" cm="1">
        <f t="array" ref="M303">_xlfn.IFS(L303&gt;=10,"HIGH",L303=0,"LOW",L303&lt;=9,"MEDIUM")</f>
        <v>MEDIUM</v>
      </c>
      <c r="N303" s="9" cm="1">
        <f t="array" ref="N303">_xlfn.IFS(M303="HIGH",K303*L303,M303="MEDIUM",K303*L303,M303="LOW","NA")</f>
        <v>130</v>
      </c>
      <c r="O303" s="18" t="str">
        <f t="shared" si="14"/>
        <v>cleared</v>
      </c>
    </row>
    <row r="304" spans="1:15" x14ac:dyDescent="0.25">
      <c r="A304" s="17">
        <v>300</v>
      </c>
      <c r="B304" s="6" t="s">
        <v>337</v>
      </c>
      <c r="C304" s="6" t="s">
        <v>11</v>
      </c>
      <c r="D304" s="6" t="s">
        <v>41</v>
      </c>
      <c r="E304" s="6" t="s">
        <v>42</v>
      </c>
      <c r="F304" s="6" t="s">
        <v>27</v>
      </c>
      <c r="G304" s="7">
        <v>46172</v>
      </c>
      <c r="H304" s="6">
        <v>6</v>
      </c>
      <c r="I304" s="7">
        <v>46174</v>
      </c>
      <c r="J304" s="7">
        <f t="shared" si="13"/>
        <v>46178</v>
      </c>
      <c r="K304" s="8">
        <v>130</v>
      </c>
      <c r="L304" s="9">
        <f t="shared" si="12"/>
        <v>0</v>
      </c>
      <c r="M304" s="9" t="str" cm="1">
        <f t="array" ref="M304">_xlfn.IFS(L304&gt;=10,"HIGH",L304=0,"LOW",L304&lt;=9,"MEDIUM")</f>
        <v>LOW</v>
      </c>
      <c r="N304" s="9" t="str" cm="1">
        <f t="array" ref="N304">_xlfn.IFS(M304="HIGH",K304*L304,M304="MEDIUM",K304*L304,M304="LOW","NA")</f>
        <v>NA</v>
      </c>
      <c r="O304" s="18" t="str">
        <f t="shared" si="14"/>
        <v>cleared</v>
      </c>
    </row>
    <row r="305" spans="1:15" x14ac:dyDescent="0.25">
      <c r="A305" s="17">
        <v>301</v>
      </c>
      <c r="B305" s="6" t="s">
        <v>338</v>
      </c>
      <c r="C305" s="6" t="s">
        <v>37</v>
      </c>
      <c r="D305" s="6" t="s">
        <v>49</v>
      </c>
      <c r="E305" s="6" t="s">
        <v>46</v>
      </c>
      <c r="F305" s="6" t="s">
        <v>29</v>
      </c>
      <c r="G305" s="7">
        <v>46196</v>
      </c>
      <c r="H305" s="6">
        <v>3</v>
      </c>
      <c r="I305" s="7">
        <v>46199</v>
      </c>
      <c r="J305" s="7">
        <f t="shared" si="13"/>
        <v>46199</v>
      </c>
      <c r="K305" s="8">
        <v>150</v>
      </c>
      <c r="L305" s="9">
        <f t="shared" si="12"/>
        <v>0</v>
      </c>
      <c r="M305" s="9" t="str" cm="1">
        <f t="array" ref="M305">_xlfn.IFS(L305&gt;=10,"HIGH",L305=0,"LOW",L305&lt;=9,"MEDIUM")</f>
        <v>LOW</v>
      </c>
      <c r="N305" s="9" t="str" cm="1">
        <f t="array" ref="N305">_xlfn.IFS(M305="HIGH",K305*L305,M305="MEDIUM",K305*L305,M305="LOW","NA")</f>
        <v>NA</v>
      </c>
      <c r="O305" s="18" t="str">
        <f t="shared" si="14"/>
        <v>cleared</v>
      </c>
    </row>
    <row r="306" spans="1:15" x14ac:dyDescent="0.25">
      <c r="A306" s="17">
        <v>302</v>
      </c>
      <c r="B306" s="6" t="s">
        <v>339</v>
      </c>
      <c r="C306" s="6" t="s">
        <v>33</v>
      </c>
      <c r="D306" s="6" t="s">
        <v>12</v>
      </c>
      <c r="E306" s="6" t="s">
        <v>44</v>
      </c>
      <c r="F306" s="6" t="s">
        <v>24</v>
      </c>
      <c r="G306" s="7">
        <v>46208</v>
      </c>
      <c r="H306" s="6">
        <v>7</v>
      </c>
      <c r="I306" s="7">
        <v>46217</v>
      </c>
      <c r="J306" s="7">
        <f t="shared" si="13"/>
        <v>46215</v>
      </c>
      <c r="K306" s="8">
        <v>90</v>
      </c>
      <c r="L306" s="9">
        <f t="shared" si="12"/>
        <v>2</v>
      </c>
      <c r="M306" s="9" t="str" cm="1">
        <f t="array" ref="M306">_xlfn.IFS(L306&gt;=10,"HIGH",L306=0,"LOW",L306&lt;=9,"MEDIUM")</f>
        <v>MEDIUM</v>
      </c>
      <c r="N306" s="9" cm="1">
        <f t="array" ref="N306">_xlfn.IFS(M306="HIGH",K306*L306,M306="MEDIUM",K306*L306,M306="LOW","NA")</f>
        <v>180</v>
      </c>
      <c r="O306" s="18" t="str">
        <f t="shared" si="14"/>
        <v>cleared</v>
      </c>
    </row>
    <row r="307" spans="1:15" x14ac:dyDescent="0.25">
      <c r="A307" s="17">
        <v>303</v>
      </c>
      <c r="B307" s="6" t="s">
        <v>340</v>
      </c>
      <c r="C307" s="6" t="s">
        <v>33</v>
      </c>
      <c r="D307" s="6" t="s">
        <v>34</v>
      </c>
      <c r="E307" s="6" t="s">
        <v>13</v>
      </c>
      <c r="F307" s="6" t="s">
        <v>14</v>
      </c>
      <c r="G307" s="7">
        <v>46243</v>
      </c>
      <c r="H307" s="6">
        <v>6</v>
      </c>
      <c r="I307" s="7">
        <v>46247</v>
      </c>
      <c r="J307" s="7">
        <f t="shared" si="13"/>
        <v>46249</v>
      </c>
      <c r="K307" s="8">
        <v>75</v>
      </c>
      <c r="L307" s="9">
        <f t="shared" si="12"/>
        <v>0</v>
      </c>
      <c r="M307" s="9" t="str" cm="1">
        <f t="array" ref="M307">_xlfn.IFS(L307&gt;=10,"HIGH",L307=0,"LOW",L307&lt;=9,"MEDIUM")</f>
        <v>LOW</v>
      </c>
      <c r="N307" s="9" t="str" cm="1">
        <f t="array" ref="N307">_xlfn.IFS(M307="HIGH",K307*L307,M307="MEDIUM",K307*L307,M307="LOW","NA")</f>
        <v>NA</v>
      </c>
      <c r="O307" s="18" t="str">
        <f t="shared" si="14"/>
        <v>cleared</v>
      </c>
    </row>
    <row r="308" spans="1:15" x14ac:dyDescent="0.25">
      <c r="A308" s="17">
        <v>304</v>
      </c>
      <c r="B308" s="6" t="s">
        <v>341</v>
      </c>
      <c r="C308" s="6" t="s">
        <v>33</v>
      </c>
      <c r="D308" s="6" t="s">
        <v>31</v>
      </c>
      <c r="E308" s="6" t="s">
        <v>39</v>
      </c>
      <c r="F308" s="6" t="s">
        <v>27</v>
      </c>
      <c r="G308" s="7">
        <v>46203</v>
      </c>
      <c r="H308" s="6">
        <v>4</v>
      </c>
      <c r="I308" s="6"/>
      <c r="J308" s="7">
        <f t="shared" si="13"/>
        <v>46207</v>
      </c>
      <c r="K308" s="8">
        <v>60</v>
      </c>
      <c r="L308" s="9">
        <f t="shared" si="12"/>
        <v>52</v>
      </c>
      <c r="M308" s="9" t="str" cm="1">
        <f t="array" ref="M308">_xlfn.IFS(L308&gt;=10,"HIGH",L308=0,"LOW",L308&lt;=9,"MEDIUM")</f>
        <v>HIGH</v>
      </c>
      <c r="N308" s="9" cm="1">
        <f t="array" ref="N308">_xlfn.IFS(M308="HIGH",K308*L308,M308="MEDIUM",K308*L308,M308="LOW","NA")</f>
        <v>3120</v>
      </c>
      <c r="O308" s="18" t="str">
        <f t="shared" si="14"/>
        <v>still in yard</v>
      </c>
    </row>
    <row r="309" spans="1:15" x14ac:dyDescent="0.25">
      <c r="A309" s="17">
        <v>305</v>
      </c>
      <c r="B309" s="6" t="s">
        <v>342</v>
      </c>
      <c r="C309" s="6" t="s">
        <v>11</v>
      </c>
      <c r="D309" s="6" t="s">
        <v>12</v>
      </c>
      <c r="E309" s="6" t="s">
        <v>18</v>
      </c>
      <c r="F309" s="6" t="s">
        <v>27</v>
      </c>
      <c r="G309" s="7">
        <v>46247</v>
      </c>
      <c r="H309" s="6">
        <v>5</v>
      </c>
      <c r="I309" s="6"/>
      <c r="J309" s="7">
        <f t="shared" si="13"/>
        <v>46252</v>
      </c>
      <c r="K309" s="8">
        <v>75</v>
      </c>
      <c r="L309" s="9">
        <f t="shared" si="12"/>
        <v>7</v>
      </c>
      <c r="M309" s="9" t="str" cm="1">
        <f t="array" ref="M309">_xlfn.IFS(L309&gt;=10,"HIGH",L309=0,"LOW",L309&lt;=9,"MEDIUM")</f>
        <v>MEDIUM</v>
      </c>
      <c r="N309" s="9" cm="1">
        <f t="array" ref="N309">_xlfn.IFS(M309="HIGH",K309*L309,M309="MEDIUM",K309*L309,M309="LOW","NA")</f>
        <v>525</v>
      </c>
      <c r="O309" s="18" t="str">
        <f t="shared" si="14"/>
        <v>still in yard</v>
      </c>
    </row>
    <row r="310" spans="1:15" x14ac:dyDescent="0.25">
      <c r="A310" s="17">
        <v>306</v>
      </c>
      <c r="B310" s="6" t="s">
        <v>343</v>
      </c>
      <c r="C310" s="6" t="s">
        <v>33</v>
      </c>
      <c r="D310" s="6" t="s">
        <v>41</v>
      </c>
      <c r="E310" s="6" t="s">
        <v>18</v>
      </c>
      <c r="F310" s="6" t="s">
        <v>27</v>
      </c>
      <c r="G310" s="7">
        <v>46211</v>
      </c>
      <c r="H310" s="6">
        <v>5</v>
      </c>
      <c r="I310" s="6"/>
      <c r="J310" s="7">
        <f t="shared" si="13"/>
        <v>46216</v>
      </c>
      <c r="K310" s="8">
        <v>110</v>
      </c>
      <c r="L310" s="9">
        <f t="shared" si="12"/>
        <v>43</v>
      </c>
      <c r="M310" s="9" t="str" cm="1">
        <f t="array" ref="M310">_xlfn.IFS(L310&gt;=10,"HIGH",L310=0,"LOW",L310&lt;=9,"MEDIUM")</f>
        <v>HIGH</v>
      </c>
      <c r="N310" s="9" cm="1">
        <f t="array" ref="N310">_xlfn.IFS(M310="HIGH",K310*L310,M310="MEDIUM",K310*L310,M310="LOW","NA")</f>
        <v>4730</v>
      </c>
      <c r="O310" s="18" t="str">
        <f t="shared" si="14"/>
        <v>still in yard</v>
      </c>
    </row>
    <row r="311" spans="1:15" x14ac:dyDescent="0.25">
      <c r="A311" s="17">
        <v>307</v>
      </c>
      <c r="B311" s="6" t="s">
        <v>344</v>
      </c>
      <c r="C311" s="6" t="s">
        <v>33</v>
      </c>
      <c r="D311" s="6" t="s">
        <v>26</v>
      </c>
      <c r="E311" s="6" t="s">
        <v>18</v>
      </c>
      <c r="F311" s="6" t="s">
        <v>24</v>
      </c>
      <c r="G311" s="7">
        <v>46198</v>
      </c>
      <c r="H311" s="6">
        <v>7</v>
      </c>
      <c r="I311" s="6"/>
      <c r="J311" s="7">
        <f t="shared" si="13"/>
        <v>46205</v>
      </c>
      <c r="K311" s="8">
        <v>110</v>
      </c>
      <c r="L311" s="9">
        <f t="shared" si="12"/>
        <v>54</v>
      </c>
      <c r="M311" s="9" t="str" cm="1">
        <f t="array" ref="M311">_xlfn.IFS(L311&gt;=10,"HIGH",L311=0,"LOW",L311&lt;=9,"MEDIUM")</f>
        <v>HIGH</v>
      </c>
      <c r="N311" s="9" cm="1">
        <f t="array" ref="N311">_xlfn.IFS(M311="HIGH",K311*L311,M311="MEDIUM",K311*L311,M311="LOW","NA")</f>
        <v>5940</v>
      </c>
      <c r="O311" s="18" t="str">
        <f t="shared" si="14"/>
        <v>still in yard</v>
      </c>
    </row>
    <row r="312" spans="1:15" x14ac:dyDescent="0.25">
      <c r="A312" s="17">
        <v>308</v>
      </c>
      <c r="B312" s="6" t="s">
        <v>345</v>
      </c>
      <c r="C312" s="6" t="s">
        <v>37</v>
      </c>
      <c r="D312" s="6" t="s">
        <v>31</v>
      </c>
      <c r="E312" s="6" t="s">
        <v>21</v>
      </c>
      <c r="F312" s="6" t="s">
        <v>29</v>
      </c>
      <c r="G312" s="7">
        <v>46183</v>
      </c>
      <c r="H312" s="6">
        <v>4</v>
      </c>
      <c r="I312" s="7">
        <v>46189</v>
      </c>
      <c r="J312" s="7">
        <f t="shared" si="13"/>
        <v>46187</v>
      </c>
      <c r="K312" s="8">
        <v>150</v>
      </c>
      <c r="L312" s="9">
        <f t="shared" si="12"/>
        <v>2</v>
      </c>
      <c r="M312" s="9" t="str" cm="1">
        <f t="array" ref="M312">_xlfn.IFS(L312&gt;=10,"HIGH",L312=0,"LOW",L312&lt;=9,"MEDIUM")</f>
        <v>MEDIUM</v>
      </c>
      <c r="N312" s="9" cm="1">
        <f t="array" ref="N312">_xlfn.IFS(M312="HIGH",K312*L312,M312="MEDIUM",K312*L312,M312="LOW","NA")</f>
        <v>300</v>
      </c>
      <c r="O312" s="18" t="str">
        <f t="shared" si="14"/>
        <v>cleared</v>
      </c>
    </row>
    <row r="313" spans="1:15" x14ac:dyDescent="0.25">
      <c r="A313" s="17">
        <v>309</v>
      </c>
      <c r="B313" s="6" t="s">
        <v>346</v>
      </c>
      <c r="C313" s="6" t="s">
        <v>37</v>
      </c>
      <c r="D313" s="6" t="s">
        <v>12</v>
      </c>
      <c r="E313" s="6" t="s">
        <v>42</v>
      </c>
      <c r="F313" s="6" t="s">
        <v>14</v>
      </c>
      <c r="G313" s="7">
        <v>46189</v>
      </c>
      <c r="H313" s="6">
        <v>5</v>
      </c>
      <c r="I313" s="7">
        <v>46194</v>
      </c>
      <c r="J313" s="7">
        <f t="shared" si="13"/>
        <v>46194</v>
      </c>
      <c r="K313" s="8">
        <v>130</v>
      </c>
      <c r="L313" s="9">
        <f t="shared" si="12"/>
        <v>0</v>
      </c>
      <c r="M313" s="9" t="str" cm="1">
        <f t="array" ref="M313">_xlfn.IFS(L313&gt;=10,"HIGH",L313=0,"LOW",L313&lt;=9,"MEDIUM")</f>
        <v>LOW</v>
      </c>
      <c r="N313" s="9" t="str" cm="1">
        <f t="array" ref="N313">_xlfn.IFS(M313="HIGH",K313*L313,M313="MEDIUM",K313*L313,M313="LOW","NA")</f>
        <v>NA</v>
      </c>
      <c r="O313" s="18" t="str">
        <f t="shared" si="14"/>
        <v>cleared</v>
      </c>
    </row>
    <row r="314" spans="1:15" x14ac:dyDescent="0.25">
      <c r="A314" s="17">
        <v>310</v>
      </c>
      <c r="B314" s="6" t="s">
        <v>347</v>
      </c>
      <c r="C314" s="6" t="s">
        <v>37</v>
      </c>
      <c r="D314" s="6" t="s">
        <v>31</v>
      </c>
      <c r="E314" s="6" t="s">
        <v>44</v>
      </c>
      <c r="F314" s="6" t="s">
        <v>29</v>
      </c>
      <c r="G314" s="7">
        <v>46247</v>
      </c>
      <c r="H314" s="6">
        <v>4</v>
      </c>
      <c r="I314" s="6"/>
      <c r="J314" s="7">
        <f t="shared" si="13"/>
        <v>46251</v>
      </c>
      <c r="K314" s="8">
        <v>120</v>
      </c>
      <c r="L314" s="9">
        <f t="shared" si="12"/>
        <v>8</v>
      </c>
      <c r="M314" s="9" t="str" cm="1">
        <f t="array" ref="M314">_xlfn.IFS(L314&gt;=10,"HIGH",L314=0,"LOW",L314&lt;=9,"MEDIUM")</f>
        <v>MEDIUM</v>
      </c>
      <c r="N314" s="9" cm="1">
        <f t="array" ref="N314">_xlfn.IFS(M314="HIGH",K314*L314,M314="MEDIUM",K314*L314,M314="LOW","NA")</f>
        <v>960</v>
      </c>
      <c r="O314" s="18" t="str">
        <f t="shared" si="14"/>
        <v>still in yard</v>
      </c>
    </row>
    <row r="315" spans="1:15" x14ac:dyDescent="0.25">
      <c r="A315" s="17">
        <v>311</v>
      </c>
      <c r="B315" s="6" t="s">
        <v>348</v>
      </c>
      <c r="C315" s="6" t="s">
        <v>11</v>
      </c>
      <c r="D315" s="6" t="s">
        <v>20</v>
      </c>
      <c r="E315" s="6" t="s">
        <v>42</v>
      </c>
      <c r="F315" s="6" t="s">
        <v>14</v>
      </c>
      <c r="G315" s="7">
        <v>46187</v>
      </c>
      <c r="H315" s="6">
        <v>5</v>
      </c>
      <c r="I315" s="7">
        <v>46191</v>
      </c>
      <c r="J315" s="7">
        <f t="shared" si="13"/>
        <v>46192</v>
      </c>
      <c r="K315" s="8">
        <v>90</v>
      </c>
      <c r="L315" s="9">
        <f t="shared" si="12"/>
        <v>0</v>
      </c>
      <c r="M315" s="9" t="str" cm="1">
        <f t="array" ref="M315">_xlfn.IFS(L315&gt;=10,"HIGH",L315=0,"LOW",L315&lt;=9,"MEDIUM")</f>
        <v>LOW</v>
      </c>
      <c r="N315" s="9" t="str" cm="1">
        <f t="array" ref="N315">_xlfn.IFS(M315="HIGH",K315*L315,M315="MEDIUM",K315*L315,M315="LOW","NA")</f>
        <v>NA</v>
      </c>
      <c r="O315" s="18" t="str">
        <f t="shared" si="14"/>
        <v>cleared</v>
      </c>
    </row>
    <row r="316" spans="1:15" x14ac:dyDescent="0.25">
      <c r="A316" s="17">
        <v>312</v>
      </c>
      <c r="B316" s="6" t="s">
        <v>349</v>
      </c>
      <c r="C316" s="6" t="s">
        <v>37</v>
      </c>
      <c r="D316" s="6" t="s">
        <v>56</v>
      </c>
      <c r="E316" s="6" t="s">
        <v>46</v>
      </c>
      <c r="F316" s="6" t="s">
        <v>14</v>
      </c>
      <c r="G316" s="7">
        <v>46230</v>
      </c>
      <c r="H316" s="6">
        <v>5</v>
      </c>
      <c r="I316" s="6"/>
      <c r="J316" s="7">
        <f t="shared" si="13"/>
        <v>46235</v>
      </c>
      <c r="K316" s="8">
        <v>110</v>
      </c>
      <c r="L316" s="9">
        <f t="shared" si="12"/>
        <v>24</v>
      </c>
      <c r="M316" s="9" t="str" cm="1">
        <f t="array" ref="M316">_xlfn.IFS(L316&gt;=10,"HIGH",L316=0,"LOW",L316&lt;=9,"MEDIUM")</f>
        <v>HIGH</v>
      </c>
      <c r="N316" s="9" cm="1">
        <f t="array" ref="N316">_xlfn.IFS(M316="HIGH",K316*L316,M316="MEDIUM",K316*L316,M316="LOW","NA")</f>
        <v>2640</v>
      </c>
      <c r="O316" s="18" t="str">
        <f t="shared" si="14"/>
        <v>still in yard</v>
      </c>
    </row>
    <row r="317" spans="1:15" x14ac:dyDescent="0.25">
      <c r="A317" s="17">
        <v>313</v>
      </c>
      <c r="B317" s="6" t="s">
        <v>350</v>
      </c>
      <c r="C317" s="6" t="s">
        <v>11</v>
      </c>
      <c r="D317" s="6" t="s">
        <v>34</v>
      </c>
      <c r="E317" s="6" t="s">
        <v>13</v>
      </c>
      <c r="F317" s="6" t="s">
        <v>29</v>
      </c>
      <c r="G317" s="7">
        <v>46178</v>
      </c>
      <c r="H317" s="6">
        <v>4</v>
      </c>
      <c r="I317" s="7">
        <v>46184</v>
      </c>
      <c r="J317" s="7">
        <f t="shared" si="13"/>
        <v>46182</v>
      </c>
      <c r="K317" s="8">
        <v>120</v>
      </c>
      <c r="L317" s="9">
        <f t="shared" si="12"/>
        <v>2</v>
      </c>
      <c r="M317" s="9" t="str" cm="1">
        <f t="array" ref="M317">_xlfn.IFS(L317&gt;=10,"HIGH",L317=0,"LOW",L317&lt;=9,"MEDIUM")</f>
        <v>MEDIUM</v>
      </c>
      <c r="N317" s="9" cm="1">
        <f t="array" ref="N317">_xlfn.IFS(M317="HIGH",K317*L317,M317="MEDIUM",K317*L317,M317="LOW","NA")</f>
        <v>240</v>
      </c>
      <c r="O317" s="18" t="str">
        <f t="shared" si="14"/>
        <v>cleared</v>
      </c>
    </row>
    <row r="318" spans="1:15" x14ac:dyDescent="0.25">
      <c r="A318" s="17">
        <v>314</v>
      </c>
      <c r="B318" s="6" t="s">
        <v>351</v>
      </c>
      <c r="C318" s="6" t="s">
        <v>11</v>
      </c>
      <c r="D318" s="6" t="s">
        <v>34</v>
      </c>
      <c r="E318" s="6" t="s">
        <v>13</v>
      </c>
      <c r="F318" s="6" t="s">
        <v>14</v>
      </c>
      <c r="G318" s="7">
        <v>46174</v>
      </c>
      <c r="H318" s="6">
        <v>6</v>
      </c>
      <c r="I318" s="6"/>
      <c r="J318" s="7">
        <f t="shared" si="13"/>
        <v>46180</v>
      </c>
      <c r="K318" s="8">
        <v>110</v>
      </c>
      <c r="L318" s="9">
        <f t="shared" si="12"/>
        <v>79</v>
      </c>
      <c r="M318" s="9" t="str" cm="1">
        <f t="array" ref="M318">_xlfn.IFS(L318&gt;=10,"HIGH",L318=0,"LOW",L318&lt;=9,"MEDIUM")</f>
        <v>HIGH</v>
      </c>
      <c r="N318" s="9" cm="1">
        <f t="array" ref="N318">_xlfn.IFS(M318="HIGH",K318*L318,M318="MEDIUM",K318*L318,M318="LOW","NA")</f>
        <v>8690</v>
      </c>
      <c r="O318" s="18" t="str">
        <f t="shared" si="14"/>
        <v>still in yard</v>
      </c>
    </row>
    <row r="319" spans="1:15" x14ac:dyDescent="0.25">
      <c r="A319" s="17">
        <v>315</v>
      </c>
      <c r="B319" s="6" t="s">
        <v>352</v>
      </c>
      <c r="C319" s="6" t="s">
        <v>11</v>
      </c>
      <c r="D319" s="6" t="s">
        <v>56</v>
      </c>
      <c r="E319" s="6" t="s">
        <v>23</v>
      </c>
      <c r="F319" s="6" t="s">
        <v>24</v>
      </c>
      <c r="G319" s="7">
        <v>46244</v>
      </c>
      <c r="H319" s="6">
        <v>5</v>
      </c>
      <c r="I319" s="7">
        <v>46251</v>
      </c>
      <c r="J319" s="7">
        <f t="shared" si="13"/>
        <v>46249</v>
      </c>
      <c r="K319" s="8">
        <v>75</v>
      </c>
      <c r="L319" s="9">
        <f t="shared" si="12"/>
        <v>2</v>
      </c>
      <c r="M319" s="9" t="str" cm="1">
        <f t="array" ref="M319">_xlfn.IFS(L319&gt;=10,"HIGH",L319=0,"LOW",L319&lt;=9,"MEDIUM")</f>
        <v>MEDIUM</v>
      </c>
      <c r="N319" s="9" cm="1">
        <f t="array" ref="N319">_xlfn.IFS(M319="HIGH",K319*L319,M319="MEDIUM",K319*L319,M319="LOW","NA")</f>
        <v>150</v>
      </c>
      <c r="O319" s="18" t="str">
        <f t="shared" si="14"/>
        <v>cleared</v>
      </c>
    </row>
    <row r="320" spans="1:15" x14ac:dyDescent="0.25">
      <c r="A320" s="17">
        <v>316</v>
      </c>
      <c r="B320" s="6" t="s">
        <v>353</v>
      </c>
      <c r="C320" s="6" t="s">
        <v>16</v>
      </c>
      <c r="D320" s="6" t="s">
        <v>49</v>
      </c>
      <c r="E320" s="6" t="s">
        <v>44</v>
      </c>
      <c r="F320" s="6" t="s">
        <v>27</v>
      </c>
      <c r="G320" s="7">
        <v>46203</v>
      </c>
      <c r="H320" s="6">
        <v>5</v>
      </c>
      <c r="I320" s="7">
        <v>46211</v>
      </c>
      <c r="J320" s="7">
        <f t="shared" si="13"/>
        <v>46208</v>
      </c>
      <c r="K320" s="8">
        <v>130</v>
      </c>
      <c r="L320" s="9">
        <f t="shared" si="12"/>
        <v>3</v>
      </c>
      <c r="M320" s="9" t="str" cm="1">
        <f t="array" ref="M320">_xlfn.IFS(L320&gt;=10,"HIGH",L320=0,"LOW",L320&lt;=9,"MEDIUM")</f>
        <v>MEDIUM</v>
      </c>
      <c r="N320" s="9" cm="1">
        <f t="array" ref="N320">_xlfn.IFS(M320="HIGH",K320*L320,M320="MEDIUM",K320*L320,M320="LOW","NA")</f>
        <v>390</v>
      </c>
      <c r="O320" s="18" t="str">
        <f t="shared" si="14"/>
        <v>cleared</v>
      </c>
    </row>
    <row r="321" spans="1:15" x14ac:dyDescent="0.25">
      <c r="A321" s="17">
        <v>317</v>
      </c>
      <c r="B321" s="6" t="s">
        <v>354</v>
      </c>
      <c r="C321" s="6" t="s">
        <v>11</v>
      </c>
      <c r="D321" s="6" t="s">
        <v>12</v>
      </c>
      <c r="E321" s="6" t="s">
        <v>21</v>
      </c>
      <c r="F321" s="6" t="s">
        <v>27</v>
      </c>
      <c r="G321" s="7">
        <v>46186</v>
      </c>
      <c r="H321" s="6">
        <v>6</v>
      </c>
      <c r="I321" s="7">
        <v>46197</v>
      </c>
      <c r="J321" s="7">
        <f t="shared" si="13"/>
        <v>46192</v>
      </c>
      <c r="K321" s="8">
        <v>90</v>
      </c>
      <c r="L321" s="9">
        <f t="shared" si="12"/>
        <v>5</v>
      </c>
      <c r="M321" s="9" t="str" cm="1">
        <f t="array" ref="M321">_xlfn.IFS(L321&gt;=10,"HIGH",L321=0,"LOW",L321&lt;=9,"MEDIUM")</f>
        <v>MEDIUM</v>
      </c>
      <c r="N321" s="9" cm="1">
        <f t="array" ref="N321">_xlfn.IFS(M321="HIGH",K321*L321,M321="MEDIUM",K321*L321,M321="LOW","NA")</f>
        <v>450</v>
      </c>
      <c r="O321" s="18" t="str">
        <f t="shared" si="14"/>
        <v>cleared</v>
      </c>
    </row>
    <row r="322" spans="1:15" x14ac:dyDescent="0.25">
      <c r="A322" s="17">
        <v>318</v>
      </c>
      <c r="B322" s="6" t="s">
        <v>355</v>
      </c>
      <c r="C322" s="6" t="s">
        <v>33</v>
      </c>
      <c r="D322" s="6" t="s">
        <v>26</v>
      </c>
      <c r="E322" s="6" t="s">
        <v>39</v>
      </c>
      <c r="F322" s="6" t="s">
        <v>14</v>
      </c>
      <c r="G322" s="7">
        <v>46244</v>
      </c>
      <c r="H322" s="6">
        <v>5</v>
      </c>
      <c r="I322" s="7">
        <v>46252</v>
      </c>
      <c r="J322" s="7">
        <f t="shared" si="13"/>
        <v>46249</v>
      </c>
      <c r="K322" s="8">
        <v>60</v>
      </c>
      <c r="L322" s="9">
        <f t="shared" si="12"/>
        <v>3</v>
      </c>
      <c r="M322" s="9" t="str" cm="1">
        <f t="array" ref="M322">_xlfn.IFS(L322&gt;=10,"HIGH",L322=0,"LOW",L322&lt;=9,"MEDIUM")</f>
        <v>MEDIUM</v>
      </c>
      <c r="N322" s="9" cm="1">
        <f t="array" ref="N322">_xlfn.IFS(M322="HIGH",K322*L322,M322="MEDIUM",K322*L322,M322="LOW","NA")</f>
        <v>180</v>
      </c>
      <c r="O322" s="18" t="str">
        <f t="shared" si="14"/>
        <v>cleared</v>
      </c>
    </row>
    <row r="323" spans="1:15" x14ac:dyDescent="0.25">
      <c r="A323" s="17">
        <v>319</v>
      </c>
      <c r="B323" s="6" t="s">
        <v>356</v>
      </c>
      <c r="C323" s="6" t="s">
        <v>37</v>
      </c>
      <c r="D323" s="6" t="s">
        <v>56</v>
      </c>
      <c r="E323" s="6" t="s">
        <v>44</v>
      </c>
      <c r="F323" s="6" t="s">
        <v>24</v>
      </c>
      <c r="G323" s="7">
        <v>46232</v>
      </c>
      <c r="H323" s="6">
        <v>5</v>
      </c>
      <c r="I323" s="7">
        <v>46233</v>
      </c>
      <c r="J323" s="7">
        <f t="shared" si="13"/>
        <v>46237</v>
      </c>
      <c r="K323" s="8">
        <v>60</v>
      </c>
      <c r="L323" s="9">
        <f t="shared" si="12"/>
        <v>0</v>
      </c>
      <c r="M323" s="9" t="str" cm="1">
        <f t="array" ref="M323">_xlfn.IFS(L323&gt;=10,"HIGH",L323=0,"LOW",L323&lt;=9,"MEDIUM")</f>
        <v>LOW</v>
      </c>
      <c r="N323" s="9" t="str" cm="1">
        <f t="array" ref="N323">_xlfn.IFS(M323="HIGH",K323*L323,M323="MEDIUM",K323*L323,M323="LOW","NA")</f>
        <v>NA</v>
      </c>
      <c r="O323" s="18" t="str">
        <f t="shared" si="14"/>
        <v>cleared</v>
      </c>
    </row>
    <row r="324" spans="1:15" x14ac:dyDescent="0.25">
      <c r="A324" s="17">
        <v>320</v>
      </c>
      <c r="B324" s="6" t="s">
        <v>357</v>
      </c>
      <c r="C324" s="6" t="s">
        <v>33</v>
      </c>
      <c r="D324" s="6" t="s">
        <v>49</v>
      </c>
      <c r="E324" s="6" t="s">
        <v>21</v>
      </c>
      <c r="F324" s="6" t="s">
        <v>27</v>
      </c>
      <c r="G324" s="7">
        <v>46223</v>
      </c>
      <c r="H324" s="6">
        <v>7</v>
      </c>
      <c r="I324" s="6"/>
      <c r="J324" s="7">
        <f t="shared" si="13"/>
        <v>46230</v>
      </c>
      <c r="K324" s="8">
        <v>110</v>
      </c>
      <c r="L324" s="9">
        <f t="shared" si="12"/>
        <v>29</v>
      </c>
      <c r="M324" s="9" t="str" cm="1">
        <f t="array" ref="M324">_xlfn.IFS(L324&gt;=10,"HIGH",L324=0,"LOW",L324&lt;=9,"MEDIUM")</f>
        <v>HIGH</v>
      </c>
      <c r="N324" s="9" cm="1">
        <f t="array" ref="N324">_xlfn.IFS(M324="HIGH",K324*L324,M324="MEDIUM",K324*L324,M324="LOW","NA")</f>
        <v>3190</v>
      </c>
      <c r="O324" s="18" t="str">
        <f t="shared" si="14"/>
        <v>still in yard</v>
      </c>
    </row>
    <row r="325" spans="1:15" x14ac:dyDescent="0.25">
      <c r="A325" s="17">
        <v>321</v>
      </c>
      <c r="B325" s="6" t="s">
        <v>358</v>
      </c>
      <c r="C325" s="6" t="s">
        <v>33</v>
      </c>
      <c r="D325" s="6" t="s">
        <v>34</v>
      </c>
      <c r="E325" s="6" t="s">
        <v>61</v>
      </c>
      <c r="F325" s="6" t="s">
        <v>29</v>
      </c>
      <c r="G325" s="7">
        <v>46193</v>
      </c>
      <c r="H325" s="6">
        <v>3</v>
      </c>
      <c r="I325" s="7">
        <v>46197</v>
      </c>
      <c r="J325" s="7">
        <f t="shared" si="13"/>
        <v>46196</v>
      </c>
      <c r="K325" s="8">
        <v>120</v>
      </c>
      <c r="L325" s="9">
        <f t="shared" ref="L325:L388" si="15">MAX(0, IF(I325="", $C$2-J325, I325-J325))</f>
        <v>1</v>
      </c>
      <c r="M325" s="9" t="str" cm="1">
        <f t="array" ref="M325">_xlfn.IFS(L325&gt;=10,"HIGH",L325=0,"LOW",L325&lt;=9,"MEDIUM")</f>
        <v>MEDIUM</v>
      </c>
      <c r="N325" s="9" cm="1">
        <f t="array" ref="N325">_xlfn.IFS(M325="HIGH",K325*L325,M325="MEDIUM",K325*L325,M325="LOW","NA")</f>
        <v>120</v>
      </c>
      <c r="O325" s="18" t="str">
        <f t="shared" si="14"/>
        <v>cleared</v>
      </c>
    </row>
    <row r="326" spans="1:15" x14ac:dyDescent="0.25">
      <c r="A326" s="17">
        <v>322</v>
      </c>
      <c r="B326" s="6" t="s">
        <v>359</v>
      </c>
      <c r="C326" s="6" t="s">
        <v>33</v>
      </c>
      <c r="D326" s="6" t="s">
        <v>20</v>
      </c>
      <c r="E326" s="6" t="s">
        <v>44</v>
      </c>
      <c r="F326" s="6" t="s">
        <v>24</v>
      </c>
      <c r="G326" s="7">
        <v>46236</v>
      </c>
      <c r="H326" s="6">
        <v>7</v>
      </c>
      <c r="I326" s="6"/>
      <c r="J326" s="7">
        <f t="shared" ref="J326:J389" si="16">G326+H326</f>
        <v>46243</v>
      </c>
      <c r="K326" s="8">
        <v>75</v>
      </c>
      <c r="L326" s="9">
        <f t="shared" si="15"/>
        <v>16</v>
      </c>
      <c r="M326" s="9" t="str" cm="1">
        <f t="array" ref="M326">_xlfn.IFS(L326&gt;=10,"HIGH",L326=0,"LOW",L326&lt;=9,"MEDIUM")</f>
        <v>HIGH</v>
      </c>
      <c r="N326" s="9" cm="1">
        <f t="array" ref="N326">_xlfn.IFS(M326="HIGH",K326*L326,M326="MEDIUM",K326*L326,M326="LOW","NA")</f>
        <v>1200</v>
      </c>
      <c r="O326" s="18" t="str">
        <f t="shared" ref="O326:O389" si="17">IF(I326="","still in yard","cleared")</f>
        <v>still in yard</v>
      </c>
    </row>
    <row r="327" spans="1:15" x14ac:dyDescent="0.25">
      <c r="A327" s="17">
        <v>323</v>
      </c>
      <c r="B327" s="6" t="s">
        <v>360</v>
      </c>
      <c r="C327" s="6" t="s">
        <v>11</v>
      </c>
      <c r="D327" s="6" t="s">
        <v>20</v>
      </c>
      <c r="E327" s="6" t="s">
        <v>44</v>
      </c>
      <c r="F327" s="6" t="s">
        <v>27</v>
      </c>
      <c r="G327" s="7">
        <v>46213</v>
      </c>
      <c r="H327" s="6">
        <v>5</v>
      </c>
      <c r="I327" s="7">
        <v>46223</v>
      </c>
      <c r="J327" s="7">
        <f t="shared" si="16"/>
        <v>46218</v>
      </c>
      <c r="K327" s="8">
        <v>75</v>
      </c>
      <c r="L327" s="9">
        <f t="shared" si="15"/>
        <v>5</v>
      </c>
      <c r="M327" s="9" t="str" cm="1">
        <f t="array" ref="M327">_xlfn.IFS(L327&gt;=10,"HIGH",L327=0,"LOW",L327&lt;=9,"MEDIUM")</f>
        <v>MEDIUM</v>
      </c>
      <c r="N327" s="9" cm="1">
        <f t="array" ref="N327">_xlfn.IFS(M327="HIGH",K327*L327,M327="MEDIUM",K327*L327,M327="LOW","NA")</f>
        <v>375</v>
      </c>
      <c r="O327" s="18" t="str">
        <f t="shared" si="17"/>
        <v>cleared</v>
      </c>
    </row>
    <row r="328" spans="1:15" x14ac:dyDescent="0.25">
      <c r="A328" s="17">
        <v>324</v>
      </c>
      <c r="B328" s="6" t="s">
        <v>361</v>
      </c>
      <c r="C328" s="6" t="s">
        <v>11</v>
      </c>
      <c r="D328" s="6" t="s">
        <v>12</v>
      </c>
      <c r="E328" s="6" t="s">
        <v>23</v>
      </c>
      <c r="F328" s="6" t="s">
        <v>29</v>
      </c>
      <c r="G328" s="7">
        <v>46173</v>
      </c>
      <c r="H328" s="6">
        <v>4</v>
      </c>
      <c r="I328" s="6"/>
      <c r="J328" s="7">
        <f t="shared" si="16"/>
        <v>46177</v>
      </c>
      <c r="K328" s="8">
        <v>120</v>
      </c>
      <c r="L328" s="9">
        <f t="shared" si="15"/>
        <v>82</v>
      </c>
      <c r="M328" s="9" t="str" cm="1">
        <f t="array" ref="M328">_xlfn.IFS(L328&gt;=10,"HIGH",L328=0,"LOW",L328&lt;=9,"MEDIUM")</f>
        <v>HIGH</v>
      </c>
      <c r="N328" s="9" cm="1">
        <f t="array" ref="N328">_xlfn.IFS(M328="HIGH",K328*L328,M328="MEDIUM",K328*L328,M328="LOW","NA")</f>
        <v>9840</v>
      </c>
      <c r="O328" s="18" t="str">
        <f t="shared" si="17"/>
        <v>still in yard</v>
      </c>
    </row>
    <row r="329" spans="1:15" x14ac:dyDescent="0.25">
      <c r="A329" s="17">
        <v>325</v>
      </c>
      <c r="B329" s="6" t="s">
        <v>362</v>
      </c>
      <c r="C329" s="6" t="s">
        <v>16</v>
      </c>
      <c r="D329" s="6" t="s">
        <v>17</v>
      </c>
      <c r="E329" s="6" t="s">
        <v>35</v>
      </c>
      <c r="F329" s="6" t="s">
        <v>27</v>
      </c>
      <c r="G329" s="7">
        <v>46176</v>
      </c>
      <c r="H329" s="6">
        <v>5</v>
      </c>
      <c r="I329" s="7">
        <v>46185</v>
      </c>
      <c r="J329" s="7">
        <f t="shared" si="16"/>
        <v>46181</v>
      </c>
      <c r="K329" s="8">
        <v>130</v>
      </c>
      <c r="L329" s="9">
        <f t="shared" si="15"/>
        <v>4</v>
      </c>
      <c r="M329" s="9" t="str" cm="1">
        <f t="array" ref="M329">_xlfn.IFS(L329&gt;=10,"HIGH",L329=0,"LOW",L329&lt;=9,"MEDIUM")</f>
        <v>MEDIUM</v>
      </c>
      <c r="N329" s="9" cm="1">
        <f t="array" ref="N329">_xlfn.IFS(M329="HIGH",K329*L329,M329="MEDIUM",K329*L329,M329="LOW","NA")</f>
        <v>520</v>
      </c>
      <c r="O329" s="18" t="str">
        <f t="shared" si="17"/>
        <v>cleared</v>
      </c>
    </row>
    <row r="330" spans="1:15" x14ac:dyDescent="0.25">
      <c r="A330" s="17">
        <v>326</v>
      </c>
      <c r="B330" s="6" t="s">
        <v>363</v>
      </c>
      <c r="C330" s="6" t="s">
        <v>37</v>
      </c>
      <c r="D330" s="6" t="s">
        <v>34</v>
      </c>
      <c r="E330" s="6" t="s">
        <v>42</v>
      </c>
      <c r="F330" s="6" t="s">
        <v>29</v>
      </c>
      <c r="G330" s="7">
        <v>46237</v>
      </c>
      <c r="H330" s="6">
        <v>4</v>
      </c>
      <c r="I330" s="7">
        <v>46245</v>
      </c>
      <c r="J330" s="7">
        <f t="shared" si="16"/>
        <v>46241</v>
      </c>
      <c r="K330" s="8">
        <v>180</v>
      </c>
      <c r="L330" s="9">
        <f t="shared" si="15"/>
        <v>4</v>
      </c>
      <c r="M330" s="9" t="str" cm="1">
        <f t="array" ref="M330">_xlfn.IFS(L330&gt;=10,"HIGH",L330=0,"LOW",L330&lt;=9,"MEDIUM")</f>
        <v>MEDIUM</v>
      </c>
      <c r="N330" s="9" cm="1">
        <f t="array" ref="N330">_xlfn.IFS(M330="HIGH",K330*L330,M330="MEDIUM",K330*L330,M330="LOW","NA")</f>
        <v>720</v>
      </c>
      <c r="O330" s="18" t="str">
        <f t="shared" si="17"/>
        <v>cleared</v>
      </c>
    </row>
    <row r="331" spans="1:15" x14ac:dyDescent="0.25">
      <c r="A331" s="17">
        <v>327</v>
      </c>
      <c r="B331" s="6" t="s">
        <v>364</v>
      </c>
      <c r="C331" s="6" t="s">
        <v>33</v>
      </c>
      <c r="D331" s="6" t="s">
        <v>49</v>
      </c>
      <c r="E331" s="6" t="s">
        <v>18</v>
      </c>
      <c r="F331" s="6" t="s">
        <v>14</v>
      </c>
      <c r="G331" s="7">
        <v>46170</v>
      </c>
      <c r="H331" s="6">
        <v>5</v>
      </c>
      <c r="I331" s="6"/>
      <c r="J331" s="7">
        <f t="shared" si="16"/>
        <v>46175</v>
      </c>
      <c r="K331" s="8">
        <v>110</v>
      </c>
      <c r="L331" s="9">
        <f t="shared" si="15"/>
        <v>84</v>
      </c>
      <c r="M331" s="9" t="str" cm="1">
        <f t="array" ref="M331">_xlfn.IFS(L331&gt;=10,"HIGH",L331=0,"LOW",L331&lt;=9,"MEDIUM")</f>
        <v>HIGH</v>
      </c>
      <c r="N331" s="9" cm="1">
        <f t="array" ref="N331">_xlfn.IFS(M331="HIGH",K331*L331,M331="MEDIUM",K331*L331,M331="LOW","NA")</f>
        <v>9240</v>
      </c>
      <c r="O331" s="18" t="str">
        <f t="shared" si="17"/>
        <v>still in yard</v>
      </c>
    </row>
    <row r="332" spans="1:15" x14ac:dyDescent="0.25">
      <c r="A332" s="17">
        <v>328</v>
      </c>
      <c r="B332" s="6" t="s">
        <v>365</v>
      </c>
      <c r="C332" s="6" t="s">
        <v>37</v>
      </c>
      <c r="D332" s="6" t="s">
        <v>54</v>
      </c>
      <c r="E332" s="6" t="s">
        <v>44</v>
      </c>
      <c r="F332" s="6" t="s">
        <v>24</v>
      </c>
      <c r="G332" s="7">
        <v>46220</v>
      </c>
      <c r="H332" s="6">
        <v>5</v>
      </c>
      <c r="I332" s="6"/>
      <c r="J332" s="7">
        <f t="shared" si="16"/>
        <v>46225</v>
      </c>
      <c r="K332" s="8">
        <v>90</v>
      </c>
      <c r="L332" s="9">
        <f t="shared" si="15"/>
        <v>34</v>
      </c>
      <c r="M332" s="9" t="str" cm="1">
        <f t="array" ref="M332">_xlfn.IFS(L332&gt;=10,"HIGH",L332=0,"LOW",L332&lt;=9,"MEDIUM")</f>
        <v>HIGH</v>
      </c>
      <c r="N332" s="9" cm="1">
        <f t="array" ref="N332">_xlfn.IFS(M332="HIGH",K332*L332,M332="MEDIUM",K332*L332,M332="LOW","NA")</f>
        <v>3060</v>
      </c>
      <c r="O332" s="18" t="str">
        <f t="shared" si="17"/>
        <v>still in yard</v>
      </c>
    </row>
    <row r="333" spans="1:15" x14ac:dyDescent="0.25">
      <c r="A333" s="17">
        <v>329</v>
      </c>
      <c r="B333" s="6" t="s">
        <v>366</v>
      </c>
      <c r="C333" s="6" t="s">
        <v>33</v>
      </c>
      <c r="D333" s="6" t="s">
        <v>56</v>
      </c>
      <c r="E333" s="6" t="s">
        <v>23</v>
      </c>
      <c r="F333" s="6" t="s">
        <v>24</v>
      </c>
      <c r="G333" s="7">
        <v>46202</v>
      </c>
      <c r="H333" s="6">
        <v>6</v>
      </c>
      <c r="I333" s="7">
        <v>46206</v>
      </c>
      <c r="J333" s="7">
        <f t="shared" si="16"/>
        <v>46208</v>
      </c>
      <c r="K333" s="8">
        <v>60</v>
      </c>
      <c r="L333" s="9">
        <f t="shared" si="15"/>
        <v>0</v>
      </c>
      <c r="M333" s="9" t="str" cm="1">
        <f t="array" ref="M333">_xlfn.IFS(L333&gt;=10,"HIGH",L333=0,"LOW",L333&lt;=9,"MEDIUM")</f>
        <v>LOW</v>
      </c>
      <c r="N333" s="9" t="str" cm="1">
        <f t="array" ref="N333">_xlfn.IFS(M333="HIGH",K333*L333,M333="MEDIUM",K333*L333,M333="LOW","NA")</f>
        <v>NA</v>
      </c>
      <c r="O333" s="18" t="str">
        <f t="shared" si="17"/>
        <v>cleared</v>
      </c>
    </row>
    <row r="334" spans="1:15" x14ac:dyDescent="0.25">
      <c r="A334" s="17">
        <v>330</v>
      </c>
      <c r="B334" s="6" t="s">
        <v>367</v>
      </c>
      <c r="C334" s="6" t="s">
        <v>16</v>
      </c>
      <c r="D334" s="6" t="s">
        <v>41</v>
      </c>
      <c r="E334" s="6" t="s">
        <v>35</v>
      </c>
      <c r="F334" s="6" t="s">
        <v>14</v>
      </c>
      <c r="G334" s="7">
        <v>46216</v>
      </c>
      <c r="H334" s="6">
        <v>7</v>
      </c>
      <c r="I334" s="6"/>
      <c r="J334" s="7">
        <f t="shared" si="16"/>
        <v>46223</v>
      </c>
      <c r="K334" s="8">
        <v>110</v>
      </c>
      <c r="L334" s="9">
        <f t="shared" si="15"/>
        <v>36</v>
      </c>
      <c r="M334" s="9" t="str" cm="1">
        <f t="array" ref="M334">_xlfn.IFS(L334&gt;=10,"HIGH",L334=0,"LOW",L334&lt;=9,"MEDIUM")</f>
        <v>HIGH</v>
      </c>
      <c r="N334" s="9" cm="1">
        <f t="array" ref="N334">_xlfn.IFS(M334="HIGH",K334*L334,M334="MEDIUM",K334*L334,M334="LOW","NA")</f>
        <v>3960</v>
      </c>
      <c r="O334" s="18" t="str">
        <f t="shared" si="17"/>
        <v>still in yard</v>
      </c>
    </row>
    <row r="335" spans="1:15" x14ac:dyDescent="0.25">
      <c r="A335" s="17">
        <v>331</v>
      </c>
      <c r="B335" s="6" t="s">
        <v>368</v>
      </c>
      <c r="C335" s="6" t="s">
        <v>33</v>
      </c>
      <c r="D335" s="6" t="s">
        <v>41</v>
      </c>
      <c r="E335" s="6" t="s">
        <v>18</v>
      </c>
      <c r="F335" s="6" t="s">
        <v>24</v>
      </c>
      <c r="G335" s="7">
        <v>46257</v>
      </c>
      <c r="H335" s="6">
        <v>5</v>
      </c>
      <c r="I335" s="7">
        <v>46259</v>
      </c>
      <c r="J335" s="7">
        <f t="shared" si="16"/>
        <v>46262</v>
      </c>
      <c r="K335" s="8">
        <v>90</v>
      </c>
      <c r="L335" s="9">
        <f t="shared" si="15"/>
        <v>0</v>
      </c>
      <c r="M335" s="9" t="str" cm="1">
        <f t="array" ref="M335">_xlfn.IFS(L335&gt;=10,"HIGH",L335=0,"LOW",L335&lt;=9,"MEDIUM")</f>
        <v>LOW</v>
      </c>
      <c r="N335" s="9" t="str" cm="1">
        <f t="array" ref="N335">_xlfn.IFS(M335="HIGH",K335*L335,M335="MEDIUM",K335*L335,M335="LOW","NA")</f>
        <v>NA</v>
      </c>
      <c r="O335" s="18" t="str">
        <f t="shared" si="17"/>
        <v>cleared</v>
      </c>
    </row>
    <row r="336" spans="1:15" x14ac:dyDescent="0.25">
      <c r="A336" s="17">
        <v>332</v>
      </c>
      <c r="B336" s="6" t="s">
        <v>369</v>
      </c>
      <c r="C336" s="6" t="s">
        <v>11</v>
      </c>
      <c r="D336" s="6" t="s">
        <v>20</v>
      </c>
      <c r="E336" s="6" t="s">
        <v>42</v>
      </c>
      <c r="F336" s="6" t="s">
        <v>27</v>
      </c>
      <c r="G336" s="7">
        <v>46255</v>
      </c>
      <c r="H336" s="6">
        <v>4</v>
      </c>
      <c r="I336" s="7">
        <v>46259</v>
      </c>
      <c r="J336" s="7">
        <f t="shared" si="16"/>
        <v>46259</v>
      </c>
      <c r="K336" s="8">
        <v>75</v>
      </c>
      <c r="L336" s="9">
        <f t="shared" si="15"/>
        <v>0</v>
      </c>
      <c r="M336" s="9" t="str" cm="1">
        <f t="array" ref="M336">_xlfn.IFS(L336&gt;=10,"HIGH",L336=0,"LOW",L336&lt;=9,"MEDIUM")</f>
        <v>LOW</v>
      </c>
      <c r="N336" s="9" t="str" cm="1">
        <f t="array" ref="N336">_xlfn.IFS(M336="HIGH",K336*L336,M336="MEDIUM",K336*L336,M336="LOW","NA")</f>
        <v>NA</v>
      </c>
      <c r="O336" s="18" t="str">
        <f t="shared" si="17"/>
        <v>cleared</v>
      </c>
    </row>
    <row r="337" spans="1:15" x14ac:dyDescent="0.25">
      <c r="A337" s="17">
        <v>333</v>
      </c>
      <c r="B337" s="6" t="s">
        <v>370</v>
      </c>
      <c r="C337" s="6" t="s">
        <v>37</v>
      </c>
      <c r="D337" s="6" t="s">
        <v>56</v>
      </c>
      <c r="E337" s="6" t="s">
        <v>46</v>
      </c>
      <c r="F337" s="6" t="s">
        <v>24</v>
      </c>
      <c r="G337" s="7">
        <v>46210</v>
      </c>
      <c r="H337" s="6">
        <v>5</v>
      </c>
      <c r="I337" s="7">
        <v>46212</v>
      </c>
      <c r="J337" s="7">
        <f t="shared" si="16"/>
        <v>46215</v>
      </c>
      <c r="K337" s="8">
        <v>90</v>
      </c>
      <c r="L337" s="9">
        <f t="shared" si="15"/>
        <v>0</v>
      </c>
      <c r="M337" s="9" t="str" cm="1">
        <f t="array" ref="M337">_xlfn.IFS(L337&gt;=10,"HIGH",L337=0,"LOW",L337&lt;=9,"MEDIUM")</f>
        <v>LOW</v>
      </c>
      <c r="N337" s="9" t="str" cm="1">
        <f t="array" ref="N337">_xlfn.IFS(M337="HIGH",K337*L337,M337="MEDIUM",K337*L337,M337="LOW","NA")</f>
        <v>NA</v>
      </c>
      <c r="O337" s="18" t="str">
        <f t="shared" si="17"/>
        <v>cleared</v>
      </c>
    </row>
    <row r="338" spans="1:15" x14ac:dyDescent="0.25">
      <c r="A338" s="17">
        <v>334</v>
      </c>
      <c r="B338" s="6" t="s">
        <v>371</v>
      </c>
      <c r="C338" s="6" t="s">
        <v>11</v>
      </c>
      <c r="D338" s="6" t="s">
        <v>20</v>
      </c>
      <c r="E338" s="6" t="s">
        <v>39</v>
      </c>
      <c r="F338" s="6" t="s">
        <v>27</v>
      </c>
      <c r="G338" s="7">
        <v>46188</v>
      </c>
      <c r="H338" s="6">
        <v>5</v>
      </c>
      <c r="I338" s="7">
        <v>46192</v>
      </c>
      <c r="J338" s="7">
        <f t="shared" si="16"/>
        <v>46193</v>
      </c>
      <c r="K338" s="8">
        <v>60</v>
      </c>
      <c r="L338" s="9">
        <f t="shared" si="15"/>
        <v>0</v>
      </c>
      <c r="M338" s="9" t="str" cm="1">
        <f t="array" ref="M338">_xlfn.IFS(L338&gt;=10,"HIGH",L338=0,"LOW",L338&lt;=9,"MEDIUM")</f>
        <v>LOW</v>
      </c>
      <c r="N338" s="9" t="str" cm="1">
        <f t="array" ref="N338">_xlfn.IFS(M338="HIGH",K338*L338,M338="MEDIUM",K338*L338,M338="LOW","NA")</f>
        <v>NA</v>
      </c>
      <c r="O338" s="18" t="str">
        <f t="shared" si="17"/>
        <v>cleared</v>
      </c>
    </row>
    <row r="339" spans="1:15" x14ac:dyDescent="0.25">
      <c r="A339" s="17">
        <v>335</v>
      </c>
      <c r="B339" s="6" t="s">
        <v>372</v>
      </c>
      <c r="C339" s="6" t="s">
        <v>33</v>
      </c>
      <c r="D339" s="6" t="s">
        <v>54</v>
      </c>
      <c r="E339" s="6" t="s">
        <v>18</v>
      </c>
      <c r="F339" s="6" t="s">
        <v>29</v>
      </c>
      <c r="G339" s="7">
        <v>46204</v>
      </c>
      <c r="H339" s="6">
        <v>4</v>
      </c>
      <c r="I339" s="7">
        <v>46209</v>
      </c>
      <c r="J339" s="7">
        <f t="shared" si="16"/>
        <v>46208</v>
      </c>
      <c r="K339" s="8">
        <v>150</v>
      </c>
      <c r="L339" s="9">
        <f t="shared" si="15"/>
        <v>1</v>
      </c>
      <c r="M339" s="9" t="str" cm="1">
        <f t="array" ref="M339">_xlfn.IFS(L339&gt;=10,"HIGH",L339=0,"LOW",L339&lt;=9,"MEDIUM")</f>
        <v>MEDIUM</v>
      </c>
      <c r="N339" s="9" cm="1">
        <f t="array" ref="N339">_xlfn.IFS(M339="HIGH",K339*L339,M339="MEDIUM",K339*L339,M339="LOW","NA")</f>
        <v>150</v>
      </c>
      <c r="O339" s="18" t="str">
        <f t="shared" si="17"/>
        <v>cleared</v>
      </c>
    </row>
    <row r="340" spans="1:15" x14ac:dyDescent="0.25">
      <c r="A340" s="17">
        <v>336</v>
      </c>
      <c r="B340" s="6" t="s">
        <v>373</v>
      </c>
      <c r="C340" s="6" t="s">
        <v>16</v>
      </c>
      <c r="D340" s="6" t="s">
        <v>12</v>
      </c>
      <c r="E340" s="6" t="s">
        <v>18</v>
      </c>
      <c r="F340" s="6" t="s">
        <v>27</v>
      </c>
      <c r="G340" s="7">
        <v>46241</v>
      </c>
      <c r="H340" s="6">
        <v>6</v>
      </c>
      <c r="I340" s="7">
        <v>46242</v>
      </c>
      <c r="J340" s="7">
        <f t="shared" si="16"/>
        <v>46247</v>
      </c>
      <c r="K340" s="8">
        <v>110</v>
      </c>
      <c r="L340" s="9">
        <f t="shared" si="15"/>
        <v>0</v>
      </c>
      <c r="M340" s="9" t="str" cm="1">
        <f t="array" ref="M340">_xlfn.IFS(L340&gt;=10,"HIGH",L340=0,"LOW",L340&lt;=9,"MEDIUM")</f>
        <v>LOW</v>
      </c>
      <c r="N340" s="9" t="str" cm="1">
        <f t="array" ref="N340">_xlfn.IFS(M340="HIGH",K340*L340,M340="MEDIUM",K340*L340,M340="LOW","NA")</f>
        <v>NA</v>
      </c>
      <c r="O340" s="18" t="str">
        <f t="shared" si="17"/>
        <v>cleared</v>
      </c>
    </row>
    <row r="341" spans="1:15" x14ac:dyDescent="0.25">
      <c r="A341" s="17">
        <v>337</v>
      </c>
      <c r="B341" s="6" t="s">
        <v>374</v>
      </c>
      <c r="C341" s="6" t="s">
        <v>33</v>
      </c>
      <c r="D341" s="6" t="s">
        <v>20</v>
      </c>
      <c r="E341" s="6" t="s">
        <v>18</v>
      </c>
      <c r="F341" s="6" t="s">
        <v>24</v>
      </c>
      <c r="G341" s="7">
        <v>46258</v>
      </c>
      <c r="H341" s="6">
        <v>4</v>
      </c>
      <c r="I341" s="7">
        <v>46259</v>
      </c>
      <c r="J341" s="7">
        <f t="shared" si="16"/>
        <v>46262</v>
      </c>
      <c r="K341" s="8">
        <v>130</v>
      </c>
      <c r="L341" s="9">
        <f t="shared" si="15"/>
        <v>0</v>
      </c>
      <c r="M341" s="9" t="str" cm="1">
        <f t="array" ref="M341">_xlfn.IFS(L341&gt;=10,"HIGH",L341=0,"LOW",L341&lt;=9,"MEDIUM")</f>
        <v>LOW</v>
      </c>
      <c r="N341" s="9" t="str" cm="1">
        <f t="array" ref="N341">_xlfn.IFS(M341="HIGH",K341*L341,M341="MEDIUM",K341*L341,M341="LOW","NA")</f>
        <v>NA</v>
      </c>
      <c r="O341" s="18" t="str">
        <f t="shared" si="17"/>
        <v>cleared</v>
      </c>
    </row>
    <row r="342" spans="1:15" x14ac:dyDescent="0.25">
      <c r="A342" s="17">
        <v>338</v>
      </c>
      <c r="B342" s="6" t="s">
        <v>375</v>
      </c>
      <c r="C342" s="6" t="s">
        <v>33</v>
      </c>
      <c r="D342" s="6" t="s">
        <v>12</v>
      </c>
      <c r="E342" s="6" t="s">
        <v>46</v>
      </c>
      <c r="F342" s="6" t="s">
        <v>14</v>
      </c>
      <c r="G342" s="7">
        <v>46174</v>
      </c>
      <c r="H342" s="6">
        <v>4</v>
      </c>
      <c r="I342" s="7">
        <v>46175</v>
      </c>
      <c r="J342" s="7">
        <f t="shared" si="16"/>
        <v>46178</v>
      </c>
      <c r="K342" s="8">
        <v>110</v>
      </c>
      <c r="L342" s="9">
        <f t="shared" si="15"/>
        <v>0</v>
      </c>
      <c r="M342" s="9" t="str" cm="1">
        <f t="array" ref="M342">_xlfn.IFS(L342&gt;=10,"HIGH",L342=0,"LOW",L342&lt;=9,"MEDIUM")</f>
        <v>LOW</v>
      </c>
      <c r="N342" s="9" t="str" cm="1">
        <f t="array" ref="N342">_xlfn.IFS(M342="HIGH",K342*L342,M342="MEDIUM",K342*L342,M342="LOW","NA")</f>
        <v>NA</v>
      </c>
      <c r="O342" s="18" t="str">
        <f t="shared" si="17"/>
        <v>cleared</v>
      </c>
    </row>
    <row r="343" spans="1:15" x14ac:dyDescent="0.25">
      <c r="A343" s="17">
        <v>339</v>
      </c>
      <c r="B343" s="6" t="s">
        <v>376</v>
      </c>
      <c r="C343" s="6" t="s">
        <v>16</v>
      </c>
      <c r="D343" s="6" t="s">
        <v>12</v>
      </c>
      <c r="E343" s="6" t="s">
        <v>23</v>
      </c>
      <c r="F343" s="6" t="s">
        <v>29</v>
      </c>
      <c r="G343" s="7">
        <v>46221</v>
      </c>
      <c r="H343" s="6">
        <v>3</v>
      </c>
      <c r="I343" s="7">
        <v>46225</v>
      </c>
      <c r="J343" s="7">
        <f t="shared" si="16"/>
        <v>46224</v>
      </c>
      <c r="K343" s="8">
        <v>180</v>
      </c>
      <c r="L343" s="9">
        <f t="shared" si="15"/>
        <v>1</v>
      </c>
      <c r="M343" s="9" t="str" cm="1">
        <f t="array" ref="M343">_xlfn.IFS(L343&gt;=10,"HIGH",L343=0,"LOW",L343&lt;=9,"MEDIUM")</f>
        <v>MEDIUM</v>
      </c>
      <c r="N343" s="9" cm="1">
        <f t="array" ref="N343">_xlfn.IFS(M343="HIGH",K343*L343,M343="MEDIUM",K343*L343,M343="LOW","NA")</f>
        <v>180</v>
      </c>
      <c r="O343" s="18" t="str">
        <f t="shared" si="17"/>
        <v>cleared</v>
      </c>
    </row>
    <row r="344" spans="1:15" x14ac:dyDescent="0.25">
      <c r="A344" s="17">
        <v>340</v>
      </c>
      <c r="B344" s="6" t="s">
        <v>377</v>
      </c>
      <c r="C344" s="6" t="s">
        <v>11</v>
      </c>
      <c r="D344" s="6" t="s">
        <v>26</v>
      </c>
      <c r="E344" s="6" t="s">
        <v>18</v>
      </c>
      <c r="F344" s="6" t="s">
        <v>29</v>
      </c>
      <c r="G344" s="7">
        <v>46248</v>
      </c>
      <c r="H344" s="6">
        <v>4</v>
      </c>
      <c r="I344" s="7">
        <v>46249</v>
      </c>
      <c r="J344" s="7">
        <f t="shared" si="16"/>
        <v>46252</v>
      </c>
      <c r="K344" s="8">
        <v>180</v>
      </c>
      <c r="L344" s="9">
        <f t="shared" si="15"/>
        <v>0</v>
      </c>
      <c r="M344" s="9" t="str" cm="1">
        <f t="array" ref="M344">_xlfn.IFS(L344&gt;=10,"HIGH",L344=0,"LOW",L344&lt;=9,"MEDIUM")</f>
        <v>LOW</v>
      </c>
      <c r="N344" s="9" t="str" cm="1">
        <f t="array" ref="N344">_xlfn.IFS(M344="HIGH",K344*L344,M344="MEDIUM",K344*L344,M344="LOW","NA")</f>
        <v>NA</v>
      </c>
      <c r="O344" s="18" t="str">
        <f t="shared" si="17"/>
        <v>cleared</v>
      </c>
    </row>
    <row r="345" spans="1:15" x14ac:dyDescent="0.25">
      <c r="A345" s="17">
        <v>341</v>
      </c>
      <c r="B345" s="6" t="s">
        <v>378</v>
      </c>
      <c r="C345" s="6" t="s">
        <v>37</v>
      </c>
      <c r="D345" s="6" t="s">
        <v>49</v>
      </c>
      <c r="E345" s="6" t="s">
        <v>21</v>
      </c>
      <c r="F345" s="6" t="s">
        <v>14</v>
      </c>
      <c r="G345" s="7">
        <v>46251</v>
      </c>
      <c r="H345" s="6">
        <v>5</v>
      </c>
      <c r="I345" s="7">
        <v>46258</v>
      </c>
      <c r="J345" s="7">
        <f t="shared" si="16"/>
        <v>46256</v>
      </c>
      <c r="K345" s="8">
        <v>90</v>
      </c>
      <c r="L345" s="9">
        <f t="shared" si="15"/>
        <v>2</v>
      </c>
      <c r="M345" s="9" t="str" cm="1">
        <f t="array" ref="M345">_xlfn.IFS(L345&gt;=10,"HIGH",L345=0,"LOW",L345&lt;=9,"MEDIUM")</f>
        <v>MEDIUM</v>
      </c>
      <c r="N345" s="9" cm="1">
        <f t="array" ref="N345">_xlfn.IFS(M345="HIGH",K345*L345,M345="MEDIUM",K345*L345,M345="LOW","NA")</f>
        <v>180</v>
      </c>
      <c r="O345" s="18" t="str">
        <f t="shared" si="17"/>
        <v>cleared</v>
      </c>
    </row>
    <row r="346" spans="1:15" x14ac:dyDescent="0.25">
      <c r="A346" s="17">
        <v>342</v>
      </c>
      <c r="B346" s="6" t="s">
        <v>379</v>
      </c>
      <c r="C346" s="6" t="s">
        <v>33</v>
      </c>
      <c r="D346" s="6" t="s">
        <v>34</v>
      </c>
      <c r="E346" s="6" t="s">
        <v>35</v>
      </c>
      <c r="F346" s="6" t="s">
        <v>27</v>
      </c>
      <c r="G346" s="7">
        <v>46220</v>
      </c>
      <c r="H346" s="6">
        <v>5</v>
      </c>
      <c r="I346" s="7">
        <v>46221</v>
      </c>
      <c r="J346" s="7">
        <f t="shared" si="16"/>
        <v>46225</v>
      </c>
      <c r="K346" s="8">
        <v>75</v>
      </c>
      <c r="L346" s="9">
        <f t="shared" si="15"/>
        <v>0</v>
      </c>
      <c r="M346" s="9" t="str" cm="1">
        <f t="array" ref="M346">_xlfn.IFS(L346&gt;=10,"HIGH",L346=0,"LOW",L346&lt;=9,"MEDIUM")</f>
        <v>LOW</v>
      </c>
      <c r="N346" s="9" t="str" cm="1">
        <f t="array" ref="N346">_xlfn.IFS(M346="HIGH",K346*L346,M346="MEDIUM",K346*L346,M346="LOW","NA")</f>
        <v>NA</v>
      </c>
      <c r="O346" s="18" t="str">
        <f t="shared" si="17"/>
        <v>cleared</v>
      </c>
    </row>
    <row r="347" spans="1:15" x14ac:dyDescent="0.25">
      <c r="A347" s="17">
        <v>343</v>
      </c>
      <c r="B347" s="6" t="s">
        <v>380</v>
      </c>
      <c r="C347" s="6" t="s">
        <v>33</v>
      </c>
      <c r="D347" s="6" t="s">
        <v>56</v>
      </c>
      <c r="E347" s="6" t="s">
        <v>23</v>
      </c>
      <c r="F347" s="6" t="s">
        <v>24</v>
      </c>
      <c r="G347" s="7">
        <v>46187</v>
      </c>
      <c r="H347" s="6">
        <v>7</v>
      </c>
      <c r="I347" s="7">
        <v>46188</v>
      </c>
      <c r="J347" s="7">
        <f t="shared" si="16"/>
        <v>46194</v>
      </c>
      <c r="K347" s="8">
        <v>90</v>
      </c>
      <c r="L347" s="9">
        <f t="shared" si="15"/>
        <v>0</v>
      </c>
      <c r="M347" s="9" t="str" cm="1">
        <f t="array" ref="M347">_xlfn.IFS(L347&gt;=10,"HIGH",L347=0,"LOW",L347&lt;=9,"MEDIUM")</f>
        <v>LOW</v>
      </c>
      <c r="N347" s="9" t="str" cm="1">
        <f t="array" ref="N347">_xlfn.IFS(M347="HIGH",K347*L347,M347="MEDIUM",K347*L347,M347="LOW","NA")</f>
        <v>NA</v>
      </c>
      <c r="O347" s="18" t="str">
        <f t="shared" si="17"/>
        <v>cleared</v>
      </c>
    </row>
    <row r="348" spans="1:15" x14ac:dyDescent="0.25">
      <c r="A348" s="17">
        <v>344</v>
      </c>
      <c r="B348" s="6" t="s">
        <v>381</v>
      </c>
      <c r="C348" s="6" t="s">
        <v>37</v>
      </c>
      <c r="D348" s="6" t="s">
        <v>26</v>
      </c>
      <c r="E348" s="6" t="s">
        <v>35</v>
      </c>
      <c r="F348" s="6" t="s">
        <v>29</v>
      </c>
      <c r="G348" s="7">
        <v>46225</v>
      </c>
      <c r="H348" s="6">
        <v>3</v>
      </c>
      <c r="I348" s="6"/>
      <c r="J348" s="7">
        <f t="shared" si="16"/>
        <v>46228</v>
      </c>
      <c r="K348" s="8">
        <v>120</v>
      </c>
      <c r="L348" s="9">
        <f t="shared" si="15"/>
        <v>31</v>
      </c>
      <c r="M348" s="9" t="str" cm="1">
        <f t="array" ref="M348">_xlfn.IFS(L348&gt;=10,"HIGH",L348=0,"LOW",L348&lt;=9,"MEDIUM")</f>
        <v>HIGH</v>
      </c>
      <c r="N348" s="9" cm="1">
        <f t="array" ref="N348">_xlfn.IFS(M348="HIGH",K348*L348,M348="MEDIUM",K348*L348,M348="LOW","NA")</f>
        <v>3720</v>
      </c>
      <c r="O348" s="18" t="str">
        <f t="shared" si="17"/>
        <v>still in yard</v>
      </c>
    </row>
    <row r="349" spans="1:15" x14ac:dyDescent="0.25">
      <c r="A349" s="17">
        <v>345</v>
      </c>
      <c r="B349" s="6" t="s">
        <v>382</v>
      </c>
      <c r="C349" s="6" t="s">
        <v>16</v>
      </c>
      <c r="D349" s="6" t="s">
        <v>20</v>
      </c>
      <c r="E349" s="6" t="s">
        <v>46</v>
      </c>
      <c r="F349" s="6" t="s">
        <v>14</v>
      </c>
      <c r="G349" s="7">
        <v>46234</v>
      </c>
      <c r="H349" s="6">
        <v>7</v>
      </c>
      <c r="I349" s="7">
        <v>46240</v>
      </c>
      <c r="J349" s="7">
        <f t="shared" si="16"/>
        <v>46241</v>
      </c>
      <c r="K349" s="8">
        <v>110</v>
      </c>
      <c r="L349" s="9">
        <f t="shared" si="15"/>
        <v>0</v>
      </c>
      <c r="M349" s="9" t="str" cm="1">
        <f t="array" ref="M349">_xlfn.IFS(L349&gt;=10,"HIGH",L349=0,"LOW",L349&lt;=9,"MEDIUM")</f>
        <v>LOW</v>
      </c>
      <c r="N349" s="9" t="str" cm="1">
        <f t="array" ref="N349">_xlfn.IFS(M349="HIGH",K349*L349,M349="MEDIUM",K349*L349,M349="LOW","NA")</f>
        <v>NA</v>
      </c>
      <c r="O349" s="18" t="str">
        <f t="shared" si="17"/>
        <v>cleared</v>
      </c>
    </row>
    <row r="350" spans="1:15" x14ac:dyDescent="0.25">
      <c r="A350" s="17">
        <v>346</v>
      </c>
      <c r="B350" s="6" t="s">
        <v>383</v>
      </c>
      <c r="C350" s="6" t="s">
        <v>37</v>
      </c>
      <c r="D350" s="6" t="s">
        <v>17</v>
      </c>
      <c r="E350" s="6" t="s">
        <v>21</v>
      </c>
      <c r="F350" s="6" t="s">
        <v>14</v>
      </c>
      <c r="G350" s="7">
        <v>46193</v>
      </c>
      <c r="H350" s="6">
        <v>7</v>
      </c>
      <c r="I350" s="7">
        <v>46197</v>
      </c>
      <c r="J350" s="7">
        <f t="shared" si="16"/>
        <v>46200</v>
      </c>
      <c r="K350" s="8">
        <v>110</v>
      </c>
      <c r="L350" s="9">
        <f t="shared" si="15"/>
        <v>0</v>
      </c>
      <c r="M350" s="9" t="str" cm="1">
        <f t="array" ref="M350">_xlfn.IFS(L350&gt;=10,"HIGH",L350=0,"LOW",L350&lt;=9,"MEDIUM")</f>
        <v>LOW</v>
      </c>
      <c r="N350" s="9" t="str" cm="1">
        <f t="array" ref="N350">_xlfn.IFS(M350="HIGH",K350*L350,M350="MEDIUM",K350*L350,M350="LOW","NA")</f>
        <v>NA</v>
      </c>
      <c r="O350" s="18" t="str">
        <f t="shared" si="17"/>
        <v>cleared</v>
      </c>
    </row>
    <row r="351" spans="1:15" x14ac:dyDescent="0.25">
      <c r="A351" s="17">
        <v>347</v>
      </c>
      <c r="B351" s="6" t="s">
        <v>384</v>
      </c>
      <c r="C351" s="6" t="s">
        <v>16</v>
      </c>
      <c r="D351" s="6" t="s">
        <v>41</v>
      </c>
      <c r="E351" s="6" t="s">
        <v>23</v>
      </c>
      <c r="F351" s="6" t="s">
        <v>14</v>
      </c>
      <c r="G351" s="7">
        <v>46178</v>
      </c>
      <c r="H351" s="6">
        <v>7</v>
      </c>
      <c r="I351" s="6"/>
      <c r="J351" s="7">
        <f t="shared" si="16"/>
        <v>46185</v>
      </c>
      <c r="K351" s="8">
        <v>110</v>
      </c>
      <c r="L351" s="9">
        <f t="shared" si="15"/>
        <v>74</v>
      </c>
      <c r="M351" s="9" t="str" cm="1">
        <f t="array" ref="M351">_xlfn.IFS(L351&gt;=10,"HIGH",L351=0,"LOW",L351&lt;=9,"MEDIUM")</f>
        <v>HIGH</v>
      </c>
      <c r="N351" s="9" cm="1">
        <f t="array" ref="N351">_xlfn.IFS(M351="HIGH",K351*L351,M351="MEDIUM",K351*L351,M351="LOW","NA")</f>
        <v>8140</v>
      </c>
      <c r="O351" s="18" t="str">
        <f t="shared" si="17"/>
        <v>still in yard</v>
      </c>
    </row>
    <row r="352" spans="1:15" x14ac:dyDescent="0.25">
      <c r="A352" s="17">
        <v>348</v>
      </c>
      <c r="B352" s="6" t="s">
        <v>385</v>
      </c>
      <c r="C352" s="6" t="s">
        <v>37</v>
      </c>
      <c r="D352" s="6" t="s">
        <v>20</v>
      </c>
      <c r="E352" s="6" t="s">
        <v>21</v>
      </c>
      <c r="F352" s="6" t="s">
        <v>29</v>
      </c>
      <c r="G352" s="7">
        <v>46247</v>
      </c>
      <c r="H352" s="6">
        <v>3</v>
      </c>
      <c r="I352" s="7">
        <v>46248</v>
      </c>
      <c r="J352" s="7">
        <f t="shared" si="16"/>
        <v>46250</v>
      </c>
      <c r="K352" s="8">
        <v>120</v>
      </c>
      <c r="L352" s="9">
        <f t="shared" si="15"/>
        <v>0</v>
      </c>
      <c r="M352" s="9" t="str" cm="1">
        <f t="array" ref="M352">_xlfn.IFS(L352&gt;=10,"HIGH",L352=0,"LOW",L352&lt;=9,"MEDIUM")</f>
        <v>LOW</v>
      </c>
      <c r="N352" s="9" t="str" cm="1">
        <f t="array" ref="N352">_xlfn.IFS(M352="HIGH",K352*L352,M352="MEDIUM",K352*L352,M352="LOW","NA")</f>
        <v>NA</v>
      </c>
      <c r="O352" s="18" t="str">
        <f t="shared" si="17"/>
        <v>cleared</v>
      </c>
    </row>
    <row r="353" spans="1:15" x14ac:dyDescent="0.25">
      <c r="A353" s="17">
        <v>349</v>
      </c>
      <c r="B353" s="6" t="s">
        <v>386</v>
      </c>
      <c r="C353" s="6" t="s">
        <v>11</v>
      </c>
      <c r="D353" s="6" t="s">
        <v>54</v>
      </c>
      <c r="E353" s="6" t="s">
        <v>44</v>
      </c>
      <c r="F353" s="6" t="s">
        <v>27</v>
      </c>
      <c r="G353" s="7">
        <v>46200</v>
      </c>
      <c r="H353" s="6">
        <v>5</v>
      </c>
      <c r="I353" s="6"/>
      <c r="J353" s="7">
        <f t="shared" si="16"/>
        <v>46205</v>
      </c>
      <c r="K353" s="8">
        <v>75</v>
      </c>
      <c r="L353" s="9">
        <f t="shared" si="15"/>
        <v>54</v>
      </c>
      <c r="M353" s="9" t="str" cm="1">
        <f t="array" ref="M353">_xlfn.IFS(L353&gt;=10,"HIGH",L353=0,"LOW",L353&lt;=9,"MEDIUM")</f>
        <v>HIGH</v>
      </c>
      <c r="N353" s="9" cm="1">
        <f t="array" ref="N353">_xlfn.IFS(M353="HIGH",K353*L353,M353="MEDIUM",K353*L353,M353="LOW","NA")</f>
        <v>4050</v>
      </c>
      <c r="O353" s="18" t="str">
        <f t="shared" si="17"/>
        <v>still in yard</v>
      </c>
    </row>
    <row r="354" spans="1:15" x14ac:dyDescent="0.25">
      <c r="A354" s="17">
        <v>350</v>
      </c>
      <c r="B354" s="6" t="s">
        <v>387</v>
      </c>
      <c r="C354" s="6" t="s">
        <v>33</v>
      </c>
      <c r="D354" s="6" t="s">
        <v>56</v>
      </c>
      <c r="E354" s="6" t="s">
        <v>21</v>
      </c>
      <c r="F354" s="6" t="s">
        <v>27</v>
      </c>
      <c r="G354" s="7">
        <v>46186</v>
      </c>
      <c r="H354" s="6">
        <v>4</v>
      </c>
      <c r="I354" s="7">
        <v>46187</v>
      </c>
      <c r="J354" s="7">
        <f t="shared" si="16"/>
        <v>46190</v>
      </c>
      <c r="K354" s="8">
        <v>90</v>
      </c>
      <c r="L354" s="9">
        <f t="shared" si="15"/>
        <v>0</v>
      </c>
      <c r="M354" s="9" t="str" cm="1">
        <f t="array" ref="M354">_xlfn.IFS(L354&gt;=10,"HIGH",L354=0,"LOW",L354&lt;=9,"MEDIUM")</f>
        <v>LOW</v>
      </c>
      <c r="N354" s="9" t="str" cm="1">
        <f t="array" ref="N354">_xlfn.IFS(M354="HIGH",K354*L354,M354="MEDIUM",K354*L354,M354="LOW","NA")</f>
        <v>NA</v>
      </c>
      <c r="O354" s="18" t="str">
        <f t="shared" si="17"/>
        <v>cleared</v>
      </c>
    </row>
    <row r="355" spans="1:15" x14ac:dyDescent="0.25">
      <c r="A355" s="17">
        <v>351</v>
      </c>
      <c r="B355" s="6" t="s">
        <v>388</v>
      </c>
      <c r="C355" s="6" t="s">
        <v>37</v>
      </c>
      <c r="D355" s="6" t="s">
        <v>34</v>
      </c>
      <c r="E355" s="6" t="s">
        <v>39</v>
      </c>
      <c r="F355" s="6" t="s">
        <v>14</v>
      </c>
      <c r="G355" s="7">
        <v>46226</v>
      </c>
      <c r="H355" s="6">
        <v>4</v>
      </c>
      <c r="I355" s="6"/>
      <c r="J355" s="7">
        <f t="shared" si="16"/>
        <v>46230</v>
      </c>
      <c r="K355" s="8">
        <v>130</v>
      </c>
      <c r="L355" s="9">
        <f t="shared" si="15"/>
        <v>29</v>
      </c>
      <c r="M355" s="9" t="str" cm="1">
        <f t="array" ref="M355">_xlfn.IFS(L355&gt;=10,"HIGH",L355=0,"LOW",L355&lt;=9,"MEDIUM")</f>
        <v>HIGH</v>
      </c>
      <c r="N355" s="9" cm="1">
        <f t="array" ref="N355">_xlfn.IFS(M355="HIGH",K355*L355,M355="MEDIUM",K355*L355,M355="LOW","NA")</f>
        <v>3770</v>
      </c>
      <c r="O355" s="18" t="str">
        <f t="shared" si="17"/>
        <v>still in yard</v>
      </c>
    </row>
    <row r="356" spans="1:15" x14ac:dyDescent="0.25">
      <c r="A356" s="17">
        <v>352</v>
      </c>
      <c r="B356" s="6" t="s">
        <v>389</v>
      </c>
      <c r="C356" s="6" t="s">
        <v>11</v>
      </c>
      <c r="D356" s="6" t="s">
        <v>41</v>
      </c>
      <c r="E356" s="6" t="s">
        <v>44</v>
      </c>
      <c r="F356" s="6" t="s">
        <v>24</v>
      </c>
      <c r="G356" s="7">
        <v>46246</v>
      </c>
      <c r="H356" s="6">
        <v>5</v>
      </c>
      <c r="I356" s="7">
        <v>46251</v>
      </c>
      <c r="J356" s="7">
        <f t="shared" si="16"/>
        <v>46251</v>
      </c>
      <c r="K356" s="8">
        <v>75</v>
      </c>
      <c r="L356" s="9">
        <f t="shared" si="15"/>
        <v>0</v>
      </c>
      <c r="M356" s="9" t="str" cm="1">
        <f t="array" ref="M356">_xlfn.IFS(L356&gt;=10,"HIGH",L356=0,"LOW",L356&lt;=9,"MEDIUM")</f>
        <v>LOW</v>
      </c>
      <c r="N356" s="9" t="str" cm="1">
        <f t="array" ref="N356">_xlfn.IFS(M356="HIGH",K356*L356,M356="MEDIUM",K356*L356,M356="LOW","NA")</f>
        <v>NA</v>
      </c>
      <c r="O356" s="18" t="str">
        <f t="shared" si="17"/>
        <v>cleared</v>
      </c>
    </row>
    <row r="357" spans="1:15" x14ac:dyDescent="0.25">
      <c r="A357" s="17">
        <v>353</v>
      </c>
      <c r="B357" s="6" t="s">
        <v>390</v>
      </c>
      <c r="C357" s="6" t="s">
        <v>11</v>
      </c>
      <c r="D357" s="6" t="s">
        <v>34</v>
      </c>
      <c r="E357" s="6" t="s">
        <v>18</v>
      </c>
      <c r="F357" s="6" t="s">
        <v>29</v>
      </c>
      <c r="G357" s="7">
        <v>46256</v>
      </c>
      <c r="H357" s="6">
        <v>4</v>
      </c>
      <c r="I357" s="7">
        <v>46258</v>
      </c>
      <c r="J357" s="7">
        <f t="shared" si="16"/>
        <v>46260</v>
      </c>
      <c r="K357" s="8">
        <v>120</v>
      </c>
      <c r="L357" s="9">
        <f t="shared" si="15"/>
        <v>0</v>
      </c>
      <c r="M357" s="9" t="str" cm="1">
        <f t="array" ref="M357">_xlfn.IFS(L357&gt;=10,"HIGH",L357=0,"LOW",L357&lt;=9,"MEDIUM")</f>
        <v>LOW</v>
      </c>
      <c r="N357" s="9" t="str" cm="1">
        <f t="array" ref="N357">_xlfn.IFS(M357="HIGH",K357*L357,M357="MEDIUM",K357*L357,M357="LOW","NA")</f>
        <v>NA</v>
      </c>
      <c r="O357" s="18" t="str">
        <f t="shared" si="17"/>
        <v>cleared</v>
      </c>
    </row>
    <row r="358" spans="1:15" x14ac:dyDescent="0.25">
      <c r="A358" s="17">
        <v>354</v>
      </c>
      <c r="B358" s="6" t="s">
        <v>391</v>
      </c>
      <c r="C358" s="6" t="s">
        <v>33</v>
      </c>
      <c r="D358" s="6" t="s">
        <v>56</v>
      </c>
      <c r="E358" s="6" t="s">
        <v>42</v>
      </c>
      <c r="F358" s="6" t="s">
        <v>24</v>
      </c>
      <c r="G358" s="7">
        <v>46235</v>
      </c>
      <c r="H358" s="6">
        <v>5</v>
      </c>
      <c r="I358" s="7">
        <v>46238</v>
      </c>
      <c r="J358" s="7">
        <f t="shared" si="16"/>
        <v>46240</v>
      </c>
      <c r="K358" s="8">
        <v>110</v>
      </c>
      <c r="L358" s="9">
        <f t="shared" si="15"/>
        <v>0</v>
      </c>
      <c r="M358" s="9" t="str" cm="1">
        <f t="array" ref="M358">_xlfn.IFS(L358&gt;=10,"HIGH",L358=0,"LOW",L358&lt;=9,"MEDIUM")</f>
        <v>LOW</v>
      </c>
      <c r="N358" s="9" t="str" cm="1">
        <f t="array" ref="N358">_xlfn.IFS(M358="HIGH",K358*L358,M358="MEDIUM",K358*L358,M358="LOW","NA")</f>
        <v>NA</v>
      </c>
      <c r="O358" s="18" t="str">
        <f t="shared" si="17"/>
        <v>cleared</v>
      </c>
    </row>
    <row r="359" spans="1:15" x14ac:dyDescent="0.25">
      <c r="A359" s="17">
        <v>355</v>
      </c>
      <c r="B359" s="6" t="s">
        <v>392</v>
      </c>
      <c r="C359" s="6" t="s">
        <v>37</v>
      </c>
      <c r="D359" s="6" t="s">
        <v>26</v>
      </c>
      <c r="E359" s="6" t="s">
        <v>46</v>
      </c>
      <c r="F359" s="6" t="s">
        <v>24</v>
      </c>
      <c r="G359" s="7">
        <v>46202</v>
      </c>
      <c r="H359" s="6">
        <v>4</v>
      </c>
      <c r="I359" s="6"/>
      <c r="J359" s="7">
        <f t="shared" si="16"/>
        <v>46206</v>
      </c>
      <c r="K359" s="8">
        <v>75</v>
      </c>
      <c r="L359" s="9">
        <f t="shared" si="15"/>
        <v>53</v>
      </c>
      <c r="M359" s="9" t="str" cm="1">
        <f t="array" ref="M359">_xlfn.IFS(L359&gt;=10,"HIGH",L359=0,"LOW",L359&lt;=9,"MEDIUM")</f>
        <v>HIGH</v>
      </c>
      <c r="N359" s="9" cm="1">
        <f t="array" ref="N359">_xlfn.IFS(M359="HIGH",K359*L359,M359="MEDIUM",K359*L359,M359="LOW","NA")</f>
        <v>3975</v>
      </c>
      <c r="O359" s="18" t="str">
        <f t="shared" si="17"/>
        <v>still in yard</v>
      </c>
    </row>
    <row r="360" spans="1:15" x14ac:dyDescent="0.25">
      <c r="A360" s="17">
        <v>356</v>
      </c>
      <c r="B360" s="6" t="s">
        <v>393</v>
      </c>
      <c r="C360" s="6" t="s">
        <v>33</v>
      </c>
      <c r="D360" s="6" t="s">
        <v>17</v>
      </c>
      <c r="E360" s="6" t="s">
        <v>35</v>
      </c>
      <c r="F360" s="6" t="s">
        <v>14</v>
      </c>
      <c r="G360" s="7">
        <v>46254</v>
      </c>
      <c r="H360" s="6">
        <v>4</v>
      </c>
      <c r="I360" s="6"/>
      <c r="J360" s="7">
        <f t="shared" si="16"/>
        <v>46258</v>
      </c>
      <c r="K360" s="8">
        <v>130</v>
      </c>
      <c r="L360" s="9">
        <f t="shared" si="15"/>
        <v>1</v>
      </c>
      <c r="M360" s="9" t="str" cm="1">
        <f t="array" ref="M360">_xlfn.IFS(L360&gt;=10,"HIGH",L360=0,"LOW",L360&lt;=9,"MEDIUM")</f>
        <v>MEDIUM</v>
      </c>
      <c r="N360" s="9" cm="1">
        <f t="array" ref="N360">_xlfn.IFS(M360="HIGH",K360*L360,M360="MEDIUM",K360*L360,M360="LOW","NA")</f>
        <v>130</v>
      </c>
      <c r="O360" s="18" t="str">
        <f t="shared" si="17"/>
        <v>still in yard</v>
      </c>
    </row>
    <row r="361" spans="1:15" x14ac:dyDescent="0.25">
      <c r="A361" s="17">
        <v>357</v>
      </c>
      <c r="B361" s="6" t="s">
        <v>394</v>
      </c>
      <c r="C361" s="6" t="s">
        <v>33</v>
      </c>
      <c r="D361" s="6" t="s">
        <v>41</v>
      </c>
      <c r="E361" s="6" t="s">
        <v>23</v>
      </c>
      <c r="F361" s="6" t="s">
        <v>29</v>
      </c>
      <c r="G361" s="7">
        <v>46208</v>
      </c>
      <c r="H361" s="6">
        <v>3</v>
      </c>
      <c r="I361" s="7">
        <v>46216</v>
      </c>
      <c r="J361" s="7">
        <f t="shared" si="16"/>
        <v>46211</v>
      </c>
      <c r="K361" s="8">
        <v>180</v>
      </c>
      <c r="L361" s="9">
        <f t="shared" si="15"/>
        <v>5</v>
      </c>
      <c r="M361" s="9" t="str" cm="1">
        <f t="array" ref="M361">_xlfn.IFS(L361&gt;=10,"HIGH",L361=0,"LOW",L361&lt;=9,"MEDIUM")</f>
        <v>MEDIUM</v>
      </c>
      <c r="N361" s="9" cm="1">
        <f t="array" ref="N361">_xlfn.IFS(M361="HIGH",K361*L361,M361="MEDIUM",K361*L361,M361="LOW","NA")</f>
        <v>900</v>
      </c>
      <c r="O361" s="18" t="str">
        <f t="shared" si="17"/>
        <v>cleared</v>
      </c>
    </row>
    <row r="362" spans="1:15" x14ac:dyDescent="0.25">
      <c r="A362" s="17">
        <v>358</v>
      </c>
      <c r="B362" s="6" t="s">
        <v>395</v>
      </c>
      <c r="C362" s="6" t="s">
        <v>16</v>
      </c>
      <c r="D362" s="6" t="s">
        <v>34</v>
      </c>
      <c r="E362" s="6" t="s">
        <v>39</v>
      </c>
      <c r="F362" s="6" t="s">
        <v>27</v>
      </c>
      <c r="G362" s="7">
        <v>46219</v>
      </c>
      <c r="H362" s="6">
        <v>5</v>
      </c>
      <c r="I362" s="7">
        <v>46226</v>
      </c>
      <c r="J362" s="7">
        <f t="shared" si="16"/>
        <v>46224</v>
      </c>
      <c r="K362" s="8">
        <v>90</v>
      </c>
      <c r="L362" s="9">
        <f t="shared" si="15"/>
        <v>2</v>
      </c>
      <c r="M362" s="9" t="str" cm="1">
        <f t="array" ref="M362">_xlfn.IFS(L362&gt;=10,"HIGH",L362=0,"LOW",L362&lt;=9,"MEDIUM")</f>
        <v>MEDIUM</v>
      </c>
      <c r="N362" s="9" cm="1">
        <f t="array" ref="N362">_xlfn.IFS(M362="HIGH",K362*L362,M362="MEDIUM",K362*L362,M362="LOW","NA")</f>
        <v>180</v>
      </c>
      <c r="O362" s="18" t="str">
        <f t="shared" si="17"/>
        <v>cleared</v>
      </c>
    </row>
    <row r="363" spans="1:15" x14ac:dyDescent="0.25">
      <c r="A363" s="17">
        <v>359</v>
      </c>
      <c r="B363" s="6" t="s">
        <v>396</v>
      </c>
      <c r="C363" s="6" t="s">
        <v>33</v>
      </c>
      <c r="D363" s="6" t="s">
        <v>34</v>
      </c>
      <c r="E363" s="6" t="s">
        <v>21</v>
      </c>
      <c r="F363" s="6" t="s">
        <v>29</v>
      </c>
      <c r="G363" s="7">
        <v>46209</v>
      </c>
      <c r="H363" s="6">
        <v>4</v>
      </c>
      <c r="I363" s="7">
        <v>46213</v>
      </c>
      <c r="J363" s="7">
        <f t="shared" si="16"/>
        <v>46213</v>
      </c>
      <c r="K363" s="8">
        <v>150</v>
      </c>
      <c r="L363" s="9">
        <f t="shared" si="15"/>
        <v>0</v>
      </c>
      <c r="M363" s="9" t="str" cm="1">
        <f t="array" ref="M363">_xlfn.IFS(L363&gt;=10,"HIGH",L363=0,"LOW",L363&lt;=9,"MEDIUM")</f>
        <v>LOW</v>
      </c>
      <c r="N363" s="9" t="str" cm="1">
        <f t="array" ref="N363">_xlfn.IFS(M363="HIGH",K363*L363,M363="MEDIUM",K363*L363,M363="LOW","NA")</f>
        <v>NA</v>
      </c>
      <c r="O363" s="18" t="str">
        <f t="shared" si="17"/>
        <v>cleared</v>
      </c>
    </row>
    <row r="364" spans="1:15" x14ac:dyDescent="0.25">
      <c r="A364" s="17">
        <v>360</v>
      </c>
      <c r="B364" s="6" t="s">
        <v>397</v>
      </c>
      <c r="C364" s="6" t="s">
        <v>33</v>
      </c>
      <c r="D364" s="6" t="s">
        <v>34</v>
      </c>
      <c r="E364" s="6" t="s">
        <v>18</v>
      </c>
      <c r="F364" s="6" t="s">
        <v>14</v>
      </c>
      <c r="G364" s="7">
        <v>46227</v>
      </c>
      <c r="H364" s="6">
        <v>6</v>
      </c>
      <c r="I364" s="7">
        <v>46228</v>
      </c>
      <c r="J364" s="7">
        <f t="shared" si="16"/>
        <v>46233</v>
      </c>
      <c r="K364" s="8">
        <v>75</v>
      </c>
      <c r="L364" s="9">
        <f t="shared" si="15"/>
        <v>0</v>
      </c>
      <c r="M364" s="9" t="str" cm="1">
        <f t="array" ref="M364">_xlfn.IFS(L364&gt;=10,"HIGH",L364=0,"LOW",L364&lt;=9,"MEDIUM")</f>
        <v>LOW</v>
      </c>
      <c r="N364" s="9" t="str" cm="1">
        <f t="array" ref="N364">_xlfn.IFS(M364="HIGH",K364*L364,M364="MEDIUM",K364*L364,M364="LOW","NA")</f>
        <v>NA</v>
      </c>
      <c r="O364" s="18" t="str">
        <f t="shared" si="17"/>
        <v>cleared</v>
      </c>
    </row>
    <row r="365" spans="1:15" x14ac:dyDescent="0.25">
      <c r="A365" s="17">
        <v>361</v>
      </c>
      <c r="B365" s="6" t="s">
        <v>398</v>
      </c>
      <c r="C365" s="6" t="s">
        <v>11</v>
      </c>
      <c r="D365" s="6" t="s">
        <v>49</v>
      </c>
      <c r="E365" s="6" t="s">
        <v>46</v>
      </c>
      <c r="F365" s="6" t="s">
        <v>14</v>
      </c>
      <c r="G365" s="7">
        <v>46194</v>
      </c>
      <c r="H365" s="6">
        <v>5</v>
      </c>
      <c r="I365" s="7">
        <v>46195</v>
      </c>
      <c r="J365" s="7">
        <f t="shared" si="16"/>
        <v>46199</v>
      </c>
      <c r="K365" s="8">
        <v>130</v>
      </c>
      <c r="L365" s="9">
        <f t="shared" si="15"/>
        <v>0</v>
      </c>
      <c r="M365" s="9" t="str" cm="1">
        <f t="array" ref="M365">_xlfn.IFS(L365&gt;=10,"HIGH",L365=0,"LOW",L365&lt;=9,"MEDIUM")</f>
        <v>LOW</v>
      </c>
      <c r="N365" s="9" t="str" cm="1">
        <f t="array" ref="N365">_xlfn.IFS(M365="HIGH",K365*L365,M365="MEDIUM",K365*L365,M365="LOW","NA")</f>
        <v>NA</v>
      </c>
      <c r="O365" s="18" t="str">
        <f t="shared" si="17"/>
        <v>cleared</v>
      </c>
    </row>
    <row r="366" spans="1:15" x14ac:dyDescent="0.25">
      <c r="A366" s="17">
        <v>362</v>
      </c>
      <c r="B366" s="6" t="s">
        <v>399</v>
      </c>
      <c r="C366" s="6" t="s">
        <v>37</v>
      </c>
      <c r="D366" s="6" t="s">
        <v>54</v>
      </c>
      <c r="E366" s="6" t="s">
        <v>61</v>
      </c>
      <c r="F366" s="6" t="s">
        <v>14</v>
      </c>
      <c r="G366" s="7">
        <v>46233</v>
      </c>
      <c r="H366" s="6">
        <v>6</v>
      </c>
      <c r="I366" s="7">
        <v>46236</v>
      </c>
      <c r="J366" s="7">
        <f t="shared" si="16"/>
        <v>46239</v>
      </c>
      <c r="K366" s="8">
        <v>90</v>
      </c>
      <c r="L366" s="9">
        <f t="shared" si="15"/>
        <v>0</v>
      </c>
      <c r="M366" s="9" t="str" cm="1">
        <f t="array" ref="M366">_xlfn.IFS(L366&gt;=10,"HIGH",L366=0,"LOW",L366&lt;=9,"MEDIUM")</f>
        <v>LOW</v>
      </c>
      <c r="N366" s="9" t="str" cm="1">
        <f t="array" ref="N366">_xlfn.IFS(M366="HIGH",K366*L366,M366="MEDIUM",K366*L366,M366="LOW","NA")</f>
        <v>NA</v>
      </c>
      <c r="O366" s="18" t="str">
        <f t="shared" si="17"/>
        <v>cleared</v>
      </c>
    </row>
    <row r="367" spans="1:15" x14ac:dyDescent="0.25">
      <c r="A367" s="17">
        <v>363</v>
      </c>
      <c r="B367" s="6" t="s">
        <v>400</v>
      </c>
      <c r="C367" s="6" t="s">
        <v>37</v>
      </c>
      <c r="D367" s="6" t="s">
        <v>12</v>
      </c>
      <c r="E367" s="6" t="s">
        <v>42</v>
      </c>
      <c r="F367" s="6" t="s">
        <v>24</v>
      </c>
      <c r="G367" s="7">
        <v>46215</v>
      </c>
      <c r="H367" s="6">
        <v>5</v>
      </c>
      <c r="I367" s="7">
        <v>46217</v>
      </c>
      <c r="J367" s="7">
        <f t="shared" si="16"/>
        <v>46220</v>
      </c>
      <c r="K367" s="8">
        <v>75</v>
      </c>
      <c r="L367" s="9">
        <f t="shared" si="15"/>
        <v>0</v>
      </c>
      <c r="M367" s="9" t="str" cm="1">
        <f t="array" ref="M367">_xlfn.IFS(L367&gt;=10,"HIGH",L367=0,"LOW",L367&lt;=9,"MEDIUM")</f>
        <v>LOW</v>
      </c>
      <c r="N367" s="9" t="str" cm="1">
        <f t="array" ref="N367">_xlfn.IFS(M367="HIGH",K367*L367,M367="MEDIUM",K367*L367,M367="LOW","NA")</f>
        <v>NA</v>
      </c>
      <c r="O367" s="18" t="str">
        <f t="shared" si="17"/>
        <v>cleared</v>
      </c>
    </row>
    <row r="368" spans="1:15" x14ac:dyDescent="0.25">
      <c r="A368" s="17">
        <v>364</v>
      </c>
      <c r="B368" s="6" t="s">
        <v>401</v>
      </c>
      <c r="C368" s="6" t="s">
        <v>11</v>
      </c>
      <c r="D368" s="6" t="s">
        <v>17</v>
      </c>
      <c r="E368" s="6" t="s">
        <v>13</v>
      </c>
      <c r="F368" s="6" t="s">
        <v>24</v>
      </c>
      <c r="G368" s="7">
        <v>46251</v>
      </c>
      <c r="H368" s="6">
        <v>5</v>
      </c>
      <c r="I368" s="7">
        <v>46259</v>
      </c>
      <c r="J368" s="7">
        <f t="shared" si="16"/>
        <v>46256</v>
      </c>
      <c r="K368" s="8">
        <v>130</v>
      </c>
      <c r="L368" s="9">
        <f t="shared" si="15"/>
        <v>3</v>
      </c>
      <c r="M368" s="9" t="str" cm="1">
        <f t="array" ref="M368">_xlfn.IFS(L368&gt;=10,"HIGH",L368=0,"LOW",L368&lt;=9,"MEDIUM")</f>
        <v>MEDIUM</v>
      </c>
      <c r="N368" s="9" cm="1">
        <f t="array" ref="N368">_xlfn.IFS(M368="HIGH",K368*L368,M368="MEDIUM",K368*L368,M368="LOW","NA")</f>
        <v>390</v>
      </c>
      <c r="O368" s="18" t="str">
        <f t="shared" si="17"/>
        <v>cleared</v>
      </c>
    </row>
    <row r="369" spans="1:15" x14ac:dyDescent="0.25">
      <c r="A369" s="17">
        <v>365</v>
      </c>
      <c r="B369" s="6" t="s">
        <v>402</v>
      </c>
      <c r="C369" s="6" t="s">
        <v>11</v>
      </c>
      <c r="D369" s="6" t="s">
        <v>20</v>
      </c>
      <c r="E369" s="6" t="s">
        <v>18</v>
      </c>
      <c r="F369" s="6" t="s">
        <v>24</v>
      </c>
      <c r="G369" s="7">
        <v>46239</v>
      </c>
      <c r="H369" s="6">
        <v>5</v>
      </c>
      <c r="I369" s="6"/>
      <c r="J369" s="7">
        <f t="shared" si="16"/>
        <v>46244</v>
      </c>
      <c r="K369" s="8">
        <v>110</v>
      </c>
      <c r="L369" s="9">
        <f t="shared" si="15"/>
        <v>15</v>
      </c>
      <c r="M369" s="9" t="str" cm="1">
        <f t="array" ref="M369">_xlfn.IFS(L369&gt;=10,"HIGH",L369=0,"LOW",L369&lt;=9,"MEDIUM")</f>
        <v>HIGH</v>
      </c>
      <c r="N369" s="9" cm="1">
        <f t="array" ref="N369">_xlfn.IFS(M369="HIGH",K369*L369,M369="MEDIUM",K369*L369,M369="LOW","NA")</f>
        <v>1650</v>
      </c>
      <c r="O369" s="18" t="str">
        <f t="shared" si="17"/>
        <v>still in yard</v>
      </c>
    </row>
    <row r="370" spans="1:15" x14ac:dyDescent="0.25">
      <c r="A370" s="17">
        <v>366</v>
      </c>
      <c r="B370" s="6" t="s">
        <v>403</v>
      </c>
      <c r="C370" s="6" t="s">
        <v>33</v>
      </c>
      <c r="D370" s="6" t="s">
        <v>41</v>
      </c>
      <c r="E370" s="6" t="s">
        <v>13</v>
      </c>
      <c r="F370" s="6" t="s">
        <v>24</v>
      </c>
      <c r="G370" s="7">
        <v>46237</v>
      </c>
      <c r="H370" s="6">
        <v>7</v>
      </c>
      <c r="I370" s="6"/>
      <c r="J370" s="7">
        <f t="shared" si="16"/>
        <v>46244</v>
      </c>
      <c r="K370" s="8">
        <v>90</v>
      </c>
      <c r="L370" s="9">
        <f t="shared" si="15"/>
        <v>15</v>
      </c>
      <c r="M370" s="9" t="str" cm="1">
        <f t="array" ref="M370">_xlfn.IFS(L370&gt;=10,"HIGH",L370=0,"LOW",L370&lt;=9,"MEDIUM")</f>
        <v>HIGH</v>
      </c>
      <c r="N370" s="9" cm="1">
        <f t="array" ref="N370">_xlfn.IFS(M370="HIGH",K370*L370,M370="MEDIUM",K370*L370,M370="LOW","NA")</f>
        <v>1350</v>
      </c>
      <c r="O370" s="18" t="str">
        <f t="shared" si="17"/>
        <v>still in yard</v>
      </c>
    </row>
    <row r="371" spans="1:15" x14ac:dyDescent="0.25">
      <c r="A371" s="17">
        <v>367</v>
      </c>
      <c r="B371" s="6" t="s">
        <v>404</v>
      </c>
      <c r="C371" s="6" t="s">
        <v>11</v>
      </c>
      <c r="D371" s="6" t="s">
        <v>31</v>
      </c>
      <c r="E371" s="6" t="s">
        <v>21</v>
      </c>
      <c r="F371" s="6" t="s">
        <v>24</v>
      </c>
      <c r="G371" s="7">
        <v>46249</v>
      </c>
      <c r="H371" s="6">
        <v>5</v>
      </c>
      <c r="I371" s="7">
        <v>46250</v>
      </c>
      <c r="J371" s="7">
        <f t="shared" si="16"/>
        <v>46254</v>
      </c>
      <c r="K371" s="8">
        <v>60</v>
      </c>
      <c r="L371" s="9">
        <f t="shared" si="15"/>
        <v>0</v>
      </c>
      <c r="M371" s="9" t="str" cm="1">
        <f t="array" ref="M371">_xlfn.IFS(L371&gt;=10,"HIGH",L371=0,"LOW",L371&lt;=9,"MEDIUM")</f>
        <v>LOW</v>
      </c>
      <c r="N371" s="9" t="str" cm="1">
        <f t="array" ref="N371">_xlfn.IFS(M371="HIGH",K371*L371,M371="MEDIUM",K371*L371,M371="LOW","NA")</f>
        <v>NA</v>
      </c>
      <c r="O371" s="18" t="str">
        <f t="shared" si="17"/>
        <v>cleared</v>
      </c>
    </row>
    <row r="372" spans="1:15" x14ac:dyDescent="0.25">
      <c r="A372" s="17">
        <v>368</v>
      </c>
      <c r="B372" s="6" t="s">
        <v>405</v>
      </c>
      <c r="C372" s="6" t="s">
        <v>37</v>
      </c>
      <c r="D372" s="6" t="s">
        <v>31</v>
      </c>
      <c r="E372" s="6" t="s">
        <v>21</v>
      </c>
      <c r="F372" s="6" t="s">
        <v>24</v>
      </c>
      <c r="G372" s="7">
        <v>46199</v>
      </c>
      <c r="H372" s="6">
        <v>5</v>
      </c>
      <c r="I372" s="7">
        <v>46201</v>
      </c>
      <c r="J372" s="7">
        <f t="shared" si="16"/>
        <v>46204</v>
      </c>
      <c r="K372" s="8">
        <v>60</v>
      </c>
      <c r="L372" s="9">
        <f t="shared" si="15"/>
        <v>0</v>
      </c>
      <c r="M372" s="9" t="str" cm="1">
        <f t="array" ref="M372">_xlfn.IFS(L372&gt;=10,"HIGH",L372=0,"LOW",L372&lt;=9,"MEDIUM")</f>
        <v>LOW</v>
      </c>
      <c r="N372" s="9" t="str" cm="1">
        <f t="array" ref="N372">_xlfn.IFS(M372="HIGH",K372*L372,M372="MEDIUM",K372*L372,M372="LOW","NA")</f>
        <v>NA</v>
      </c>
      <c r="O372" s="18" t="str">
        <f t="shared" si="17"/>
        <v>cleared</v>
      </c>
    </row>
    <row r="373" spans="1:15" x14ac:dyDescent="0.25">
      <c r="A373" s="17">
        <v>369</v>
      </c>
      <c r="B373" s="6" t="s">
        <v>406</v>
      </c>
      <c r="C373" s="6" t="s">
        <v>33</v>
      </c>
      <c r="D373" s="6" t="s">
        <v>34</v>
      </c>
      <c r="E373" s="6" t="s">
        <v>23</v>
      </c>
      <c r="F373" s="6" t="s">
        <v>24</v>
      </c>
      <c r="G373" s="7">
        <v>46226</v>
      </c>
      <c r="H373" s="6">
        <v>7</v>
      </c>
      <c r="I373" s="6"/>
      <c r="J373" s="7">
        <f t="shared" si="16"/>
        <v>46233</v>
      </c>
      <c r="K373" s="8">
        <v>75</v>
      </c>
      <c r="L373" s="9">
        <f t="shared" si="15"/>
        <v>26</v>
      </c>
      <c r="M373" s="9" t="str" cm="1">
        <f t="array" ref="M373">_xlfn.IFS(L373&gt;=10,"HIGH",L373=0,"LOW",L373&lt;=9,"MEDIUM")</f>
        <v>HIGH</v>
      </c>
      <c r="N373" s="9" cm="1">
        <f t="array" ref="N373">_xlfn.IFS(M373="HIGH",K373*L373,M373="MEDIUM",K373*L373,M373="LOW","NA")</f>
        <v>1950</v>
      </c>
      <c r="O373" s="18" t="str">
        <f t="shared" si="17"/>
        <v>still in yard</v>
      </c>
    </row>
    <row r="374" spans="1:15" x14ac:dyDescent="0.25">
      <c r="A374" s="17">
        <v>370</v>
      </c>
      <c r="B374" s="6" t="s">
        <v>407</v>
      </c>
      <c r="C374" s="6" t="s">
        <v>11</v>
      </c>
      <c r="D374" s="6" t="s">
        <v>20</v>
      </c>
      <c r="E374" s="6" t="s">
        <v>44</v>
      </c>
      <c r="F374" s="6" t="s">
        <v>27</v>
      </c>
      <c r="G374" s="7">
        <v>46252</v>
      </c>
      <c r="H374" s="6">
        <v>6</v>
      </c>
      <c r="I374" s="7">
        <v>46253</v>
      </c>
      <c r="J374" s="7">
        <f t="shared" si="16"/>
        <v>46258</v>
      </c>
      <c r="K374" s="8">
        <v>130</v>
      </c>
      <c r="L374" s="9">
        <f t="shared" si="15"/>
        <v>0</v>
      </c>
      <c r="M374" s="9" t="str" cm="1">
        <f t="array" ref="M374">_xlfn.IFS(L374&gt;=10,"HIGH",L374=0,"LOW",L374&lt;=9,"MEDIUM")</f>
        <v>LOW</v>
      </c>
      <c r="N374" s="9" t="str" cm="1">
        <f t="array" ref="N374">_xlfn.IFS(M374="HIGH",K374*L374,M374="MEDIUM",K374*L374,M374="LOW","NA")</f>
        <v>NA</v>
      </c>
      <c r="O374" s="18" t="str">
        <f t="shared" si="17"/>
        <v>cleared</v>
      </c>
    </row>
    <row r="375" spans="1:15" x14ac:dyDescent="0.25">
      <c r="A375" s="17">
        <v>371</v>
      </c>
      <c r="B375" s="6" t="s">
        <v>408</v>
      </c>
      <c r="C375" s="6" t="s">
        <v>11</v>
      </c>
      <c r="D375" s="6" t="s">
        <v>17</v>
      </c>
      <c r="E375" s="6" t="s">
        <v>42</v>
      </c>
      <c r="F375" s="6" t="s">
        <v>27</v>
      </c>
      <c r="G375" s="7">
        <v>46228</v>
      </c>
      <c r="H375" s="6">
        <v>4</v>
      </c>
      <c r="I375" s="7">
        <v>46230</v>
      </c>
      <c r="J375" s="7">
        <f t="shared" si="16"/>
        <v>46232</v>
      </c>
      <c r="K375" s="8">
        <v>130</v>
      </c>
      <c r="L375" s="9">
        <f t="shared" si="15"/>
        <v>0</v>
      </c>
      <c r="M375" s="9" t="str" cm="1">
        <f t="array" ref="M375">_xlfn.IFS(L375&gt;=10,"HIGH",L375=0,"LOW",L375&lt;=9,"MEDIUM")</f>
        <v>LOW</v>
      </c>
      <c r="N375" s="9" t="str" cm="1">
        <f t="array" ref="N375">_xlfn.IFS(M375="HIGH",K375*L375,M375="MEDIUM",K375*L375,M375="LOW","NA")</f>
        <v>NA</v>
      </c>
      <c r="O375" s="18" t="str">
        <f t="shared" si="17"/>
        <v>cleared</v>
      </c>
    </row>
    <row r="376" spans="1:15" x14ac:dyDescent="0.25">
      <c r="A376" s="17">
        <v>372</v>
      </c>
      <c r="B376" s="6" t="s">
        <v>409</v>
      </c>
      <c r="C376" s="6" t="s">
        <v>11</v>
      </c>
      <c r="D376" s="6" t="s">
        <v>12</v>
      </c>
      <c r="E376" s="6" t="s">
        <v>44</v>
      </c>
      <c r="F376" s="6" t="s">
        <v>27</v>
      </c>
      <c r="G376" s="7">
        <v>46224</v>
      </c>
      <c r="H376" s="6">
        <v>7</v>
      </c>
      <c r="I376" s="7">
        <v>46230</v>
      </c>
      <c r="J376" s="7">
        <f t="shared" si="16"/>
        <v>46231</v>
      </c>
      <c r="K376" s="8">
        <v>60</v>
      </c>
      <c r="L376" s="9">
        <f t="shared" si="15"/>
        <v>0</v>
      </c>
      <c r="M376" s="9" t="str" cm="1">
        <f t="array" ref="M376">_xlfn.IFS(L376&gt;=10,"HIGH",L376=0,"LOW",L376&lt;=9,"MEDIUM")</f>
        <v>LOW</v>
      </c>
      <c r="N376" s="9" t="str" cm="1">
        <f t="array" ref="N376">_xlfn.IFS(M376="HIGH",K376*L376,M376="MEDIUM",K376*L376,M376="LOW","NA")</f>
        <v>NA</v>
      </c>
      <c r="O376" s="18" t="str">
        <f t="shared" si="17"/>
        <v>cleared</v>
      </c>
    </row>
    <row r="377" spans="1:15" x14ac:dyDescent="0.25">
      <c r="A377" s="17">
        <v>373</v>
      </c>
      <c r="B377" s="6" t="s">
        <v>410</v>
      </c>
      <c r="C377" s="6" t="s">
        <v>11</v>
      </c>
      <c r="D377" s="6" t="s">
        <v>54</v>
      </c>
      <c r="E377" s="6" t="s">
        <v>18</v>
      </c>
      <c r="F377" s="6" t="s">
        <v>24</v>
      </c>
      <c r="G377" s="7">
        <v>46217</v>
      </c>
      <c r="H377" s="6">
        <v>4</v>
      </c>
      <c r="I377" s="7">
        <v>46218</v>
      </c>
      <c r="J377" s="7">
        <f t="shared" si="16"/>
        <v>46221</v>
      </c>
      <c r="K377" s="8">
        <v>90</v>
      </c>
      <c r="L377" s="9">
        <f t="shared" si="15"/>
        <v>0</v>
      </c>
      <c r="M377" s="9" t="str" cm="1">
        <f t="array" ref="M377">_xlfn.IFS(L377&gt;=10,"HIGH",L377=0,"LOW",L377&lt;=9,"MEDIUM")</f>
        <v>LOW</v>
      </c>
      <c r="N377" s="9" t="str" cm="1">
        <f t="array" ref="N377">_xlfn.IFS(M377="HIGH",K377*L377,M377="MEDIUM",K377*L377,M377="LOW","NA")</f>
        <v>NA</v>
      </c>
      <c r="O377" s="18" t="str">
        <f t="shared" si="17"/>
        <v>cleared</v>
      </c>
    </row>
    <row r="378" spans="1:15" x14ac:dyDescent="0.25">
      <c r="A378" s="17">
        <v>374</v>
      </c>
      <c r="B378" s="6" t="s">
        <v>411</v>
      </c>
      <c r="C378" s="6" t="s">
        <v>37</v>
      </c>
      <c r="D378" s="6" t="s">
        <v>54</v>
      </c>
      <c r="E378" s="6" t="s">
        <v>13</v>
      </c>
      <c r="F378" s="6" t="s">
        <v>14</v>
      </c>
      <c r="G378" s="7">
        <v>46247</v>
      </c>
      <c r="H378" s="6">
        <v>7</v>
      </c>
      <c r="I378" s="7">
        <v>46257</v>
      </c>
      <c r="J378" s="7">
        <f t="shared" si="16"/>
        <v>46254</v>
      </c>
      <c r="K378" s="8">
        <v>110</v>
      </c>
      <c r="L378" s="9">
        <f t="shared" si="15"/>
        <v>3</v>
      </c>
      <c r="M378" s="9" t="str" cm="1">
        <f t="array" ref="M378">_xlfn.IFS(L378&gt;=10,"HIGH",L378=0,"LOW",L378&lt;=9,"MEDIUM")</f>
        <v>MEDIUM</v>
      </c>
      <c r="N378" s="9" cm="1">
        <f t="array" ref="N378">_xlfn.IFS(M378="HIGH",K378*L378,M378="MEDIUM",K378*L378,M378="LOW","NA")</f>
        <v>330</v>
      </c>
      <c r="O378" s="18" t="str">
        <f t="shared" si="17"/>
        <v>cleared</v>
      </c>
    </row>
    <row r="379" spans="1:15" x14ac:dyDescent="0.25">
      <c r="A379" s="17">
        <v>375</v>
      </c>
      <c r="B379" s="6" t="s">
        <v>412</v>
      </c>
      <c r="C379" s="6" t="s">
        <v>33</v>
      </c>
      <c r="D379" s="6" t="s">
        <v>31</v>
      </c>
      <c r="E379" s="6" t="s">
        <v>35</v>
      </c>
      <c r="F379" s="6" t="s">
        <v>14</v>
      </c>
      <c r="G379" s="7">
        <v>46255</v>
      </c>
      <c r="H379" s="6">
        <v>5</v>
      </c>
      <c r="I379" s="7">
        <v>46259</v>
      </c>
      <c r="J379" s="7">
        <f t="shared" si="16"/>
        <v>46260</v>
      </c>
      <c r="K379" s="8">
        <v>130</v>
      </c>
      <c r="L379" s="9">
        <f t="shared" si="15"/>
        <v>0</v>
      </c>
      <c r="M379" s="9" t="str" cm="1">
        <f t="array" ref="M379">_xlfn.IFS(L379&gt;=10,"HIGH",L379=0,"LOW",L379&lt;=9,"MEDIUM")</f>
        <v>LOW</v>
      </c>
      <c r="N379" s="9" t="str" cm="1">
        <f t="array" ref="N379">_xlfn.IFS(M379="HIGH",K379*L379,M379="MEDIUM",K379*L379,M379="LOW","NA")</f>
        <v>NA</v>
      </c>
      <c r="O379" s="18" t="str">
        <f t="shared" si="17"/>
        <v>cleared</v>
      </c>
    </row>
    <row r="380" spans="1:15" x14ac:dyDescent="0.25">
      <c r="A380" s="17">
        <v>376</v>
      </c>
      <c r="B380" s="6" t="s">
        <v>413</v>
      </c>
      <c r="C380" s="6" t="s">
        <v>11</v>
      </c>
      <c r="D380" s="6" t="s">
        <v>12</v>
      </c>
      <c r="E380" s="6" t="s">
        <v>42</v>
      </c>
      <c r="F380" s="6" t="s">
        <v>14</v>
      </c>
      <c r="G380" s="7">
        <v>46239</v>
      </c>
      <c r="H380" s="6">
        <v>5</v>
      </c>
      <c r="I380" s="6"/>
      <c r="J380" s="7">
        <f t="shared" si="16"/>
        <v>46244</v>
      </c>
      <c r="K380" s="8">
        <v>60</v>
      </c>
      <c r="L380" s="9">
        <f t="shared" si="15"/>
        <v>15</v>
      </c>
      <c r="M380" s="9" t="str" cm="1">
        <f t="array" ref="M380">_xlfn.IFS(L380&gt;=10,"HIGH",L380=0,"LOW",L380&lt;=9,"MEDIUM")</f>
        <v>HIGH</v>
      </c>
      <c r="N380" s="9" cm="1">
        <f t="array" ref="N380">_xlfn.IFS(M380="HIGH",K380*L380,M380="MEDIUM",K380*L380,M380="LOW","NA")</f>
        <v>900</v>
      </c>
      <c r="O380" s="18" t="str">
        <f t="shared" si="17"/>
        <v>still in yard</v>
      </c>
    </row>
    <row r="381" spans="1:15" x14ac:dyDescent="0.25">
      <c r="A381" s="17">
        <v>377</v>
      </c>
      <c r="B381" s="6" t="s">
        <v>414</v>
      </c>
      <c r="C381" s="6" t="s">
        <v>11</v>
      </c>
      <c r="D381" s="6" t="s">
        <v>34</v>
      </c>
      <c r="E381" s="6" t="s">
        <v>13</v>
      </c>
      <c r="F381" s="6" t="s">
        <v>24</v>
      </c>
      <c r="G381" s="7">
        <v>46190</v>
      </c>
      <c r="H381" s="6">
        <v>7</v>
      </c>
      <c r="I381" s="7">
        <v>46196</v>
      </c>
      <c r="J381" s="7">
        <f t="shared" si="16"/>
        <v>46197</v>
      </c>
      <c r="K381" s="8">
        <v>75</v>
      </c>
      <c r="L381" s="9">
        <f t="shared" si="15"/>
        <v>0</v>
      </c>
      <c r="M381" s="9" t="str" cm="1">
        <f t="array" ref="M381">_xlfn.IFS(L381&gt;=10,"HIGH",L381=0,"LOW",L381&lt;=9,"MEDIUM")</f>
        <v>LOW</v>
      </c>
      <c r="N381" s="9" t="str" cm="1">
        <f t="array" ref="N381">_xlfn.IFS(M381="HIGH",K381*L381,M381="MEDIUM",K381*L381,M381="LOW","NA")</f>
        <v>NA</v>
      </c>
      <c r="O381" s="18" t="str">
        <f t="shared" si="17"/>
        <v>cleared</v>
      </c>
    </row>
    <row r="382" spans="1:15" x14ac:dyDescent="0.25">
      <c r="A382" s="17">
        <v>378</v>
      </c>
      <c r="B382" s="6" t="s">
        <v>415</v>
      </c>
      <c r="C382" s="6" t="s">
        <v>11</v>
      </c>
      <c r="D382" s="6" t="s">
        <v>20</v>
      </c>
      <c r="E382" s="6" t="s">
        <v>21</v>
      </c>
      <c r="F382" s="6" t="s">
        <v>24</v>
      </c>
      <c r="G382" s="7">
        <v>46197</v>
      </c>
      <c r="H382" s="6">
        <v>4</v>
      </c>
      <c r="I382" s="7">
        <v>46198</v>
      </c>
      <c r="J382" s="7">
        <f t="shared" si="16"/>
        <v>46201</v>
      </c>
      <c r="K382" s="8">
        <v>110</v>
      </c>
      <c r="L382" s="9">
        <f t="shared" si="15"/>
        <v>0</v>
      </c>
      <c r="M382" s="9" t="str" cm="1">
        <f t="array" ref="M382">_xlfn.IFS(L382&gt;=10,"HIGH",L382=0,"LOW",L382&lt;=9,"MEDIUM")</f>
        <v>LOW</v>
      </c>
      <c r="N382" s="9" t="str" cm="1">
        <f t="array" ref="N382">_xlfn.IFS(M382="HIGH",K382*L382,M382="MEDIUM",K382*L382,M382="LOW","NA")</f>
        <v>NA</v>
      </c>
      <c r="O382" s="18" t="str">
        <f t="shared" si="17"/>
        <v>cleared</v>
      </c>
    </row>
    <row r="383" spans="1:15" x14ac:dyDescent="0.25">
      <c r="A383" s="17">
        <v>379</v>
      </c>
      <c r="B383" s="6" t="s">
        <v>416</v>
      </c>
      <c r="C383" s="6" t="s">
        <v>11</v>
      </c>
      <c r="D383" s="6" t="s">
        <v>34</v>
      </c>
      <c r="E383" s="6" t="s">
        <v>61</v>
      </c>
      <c r="F383" s="6" t="s">
        <v>24</v>
      </c>
      <c r="G383" s="7">
        <v>46242</v>
      </c>
      <c r="H383" s="6">
        <v>5</v>
      </c>
      <c r="I383" s="6"/>
      <c r="J383" s="7">
        <f t="shared" si="16"/>
        <v>46247</v>
      </c>
      <c r="K383" s="8">
        <v>110</v>
      </c>
      <c r="L383" s="9">
        <f t="shared" si="15"/>
        <v>12</v>
      </c>
      <c r="M383" s="9" t="str" cm="1">
        <f t="array" ref="M383">_xlfn.IFS(L383&gt;=10,"HIGH",L383=0,"LOW",L383&lt;=9,"MEDIUM")</f>
        <v>HIGH</v>
      </c>
      <c r="N383" s="9" cm="1">
        <f t="array" ref="N383">_xlfn.IFS(M383="HIGH",K383*L383,M383="MEDIUM",K383*L383,M383="LOW","NA")</f>
        <v>1320</v>
      </c>
      <c r="O383" s="18" t="str">
        <f t="shared" si="17"/>
        <v>still in yard</v>
      </c>
    </row>
    <row r="384" spans="1:15" x14ac:dyDescent="0.25">
      <c r="A384" s="17">
        <v>380</v>
      </c>
      <c r="B384" s="6" t="s">
        <v>417</v>
      </c>
      <c r="C384" s="6" t="s">
        <v>16</v>
      </c>
      <c r="D384" s="6" t="s">
        <v>34</v>
      </c>
      <c r="E384" s="6" t="s">
        <v>23</v>
      </c>
      <c r="F384" s="6" t="s">
        <v>27</v>
      </c>
      <c r="G384" s="7">
        <v>46207</v>
      </c>
      <c r="H384" s="6">
        <v>4</v>
      </c>
      <c r="I384" s="7">
        <v>46217</v>
      </c>
      <c r="J384" s="7">
        <f t="shared" si="16"/>
        <v>46211</v>
      </c>
      <c r="K384" s="8">
        <v>130</v>
      </c>
      <c r="L384" s="9">
        <f t="shared" si="15"/>
        <v>6</v>
      </c>
      <c r="M384" s="9" t="str" cm="1">
        <f t="array" ref="M384">_xlfn.IFS(L384&gt;=10,"HIGH",L384=0,"LOW",L384&lt;=9,"MEDIUM")</f>
        <v>MEDIUM</v>
      </c>
      <c r="N384" s="9" cm="1">
        <f t="array" ref="N384">_xlfn.IFS(M384="HIGH",K384*L384,M384="MEDIUM",K384*L384,M384="LOW","NA")</f>
        <v>780</v>
      </c>
      <c r="O384" s="18" t="str">
        <f t="shared" si="17"/>
        <v>cleared</v>
      </c>
    </row>
    <row r="385" spans="1:15" x14ac:dyDescent="0.25">
      <c r="A385" s="17">
        <v>381</v>
      </c>
      <c r="B385" s="6" t="s">
        <v>418</v>
      </c>
      <c r="C385" s="6" t="s">
        <v>37</v>
      </c>
      <c r="D385" s="6" t="s">
        <v>56</v>
      </c>
      <c r="E385" s="6" t="s">
        <v>44</v>
      </c>
      <c r="F385" s="6" t="s">
        <v>27</v>
      </c>
      <c r="G385" s="7">
        <v>46187</v>
      </c>
      <c r="H385" s="6">
        <v>5</v>
      </c>
      <c r="I385" s="6"/>
      <c r="J385" s="7">
        <f t="shared" si="16"/>
        <v>46192</v>
      </c>
      <c r="K385" s="8">
        <v>130</v>
      </c>
      <c r="L385" s="9">
        <f t="shared" si="15"/>
        <v>67</v>
      </c>
      <c r="M385" s="9" t="str" cm="1">
        <f t="array" ref="M385">_xlfn.IFS(L385&gt;=10,"HIGH",L385=0,"LOW",L385&lt;=9,"MEDIUM")</f>
        <v>HIGH</v>
      </c>
      <c r="N385" s="9" cm="1">
        <f t="array" ref="N385">_xlfn.IFS(M385="HIGH",K385*L385,M385="MEDIUM",K385*L385,M385="LOW","NA")</f>
        <v>8710</v>
      </c>
      <c r="O385" s="18" t="str">
        <f t="shared" si="17"/>
        <v>still in yard</v>
      </c>
    </row>
    <row r="386" spans="1:15" x14ac:dyDescent="0.25">
      <c r="A386" s="17">
        <v>382</v>
      </c>
      <c r="B386" s="6" t="s">
        <v>419</v>
      </c>
      <c r="C386" s="6" t="s">
        <v>11</v>
      </c>
      <c r="D386" s="6" t="s">
        <v>12</v>
      </c>
      <c r="E386" s="6" t="s">
        <v>23</v>
      </c>
      <c r="F386" s="6" t="s">
        <v>27</v>
      </c>
      <c r="G386" s="7">
        <v>46191</v>
      </c>
      <c r="H386" s="6">
        <v>4</v>
      </c>
      <c r="I386" s="7">
        <v>46193</v>
      </c>
      <c r="J386" s="7">
        <f t="shared" si="16"/>
        <v>46195</v>
      </c>
      <c r="K386" s="8">
        <v>110</v>
      </c>
      <c r="L386" s="9">
        <f t="shared" si="15"/>
        <v>0</v>
      </c>
      <c r="M386" s="9" t="str" cm="1">
        <f t="array" ref="M386">_xlfn.IFS(L386&gt;=10,"HIGH",L386=0,"LOW",L386&lt;=9,"MEDIUM")</f>
        <v>LOW</v>
      </c>
      <c r="N386" s="9" t="str" cm="1">
        <f t="array" ref="N386">_xlfn.IFS(M386="HIGH",K386*L386,M386="MEDIUM",K386*L386,M386="LOW","NA")</f>
        <v>NA</v>
      </c>
      <c r="O386" s="18" t="str">
        <f t="shared" si="17"/>
        <v>cleared</v>
      </c>
    </row>
    <row r="387" spans="1:15" x14ac:dyDescent="0.25">
      <c r="A387" s="17">
        <v>383</v>
      </c>
      <c r="B387" s="6" t="s">
        <v>420</v>
      </c>
      <c r="C387" s="6" t="s">
        <v>37</v>
      </c>
      <c r="D387" s="6" t="s">
        <v>34</v>
      </c>
      <c r="E387" s="6" t="s">
        <v>13</v>
      </c>
      <c r="F387" s="6" t="s">
        <v>29</v>
      </c>
      <c r="G387" s="7">
        <v>46231</v>
      </c>
      <c r="H387" s="6">
        <v>4</v>
      </c>
      <c r="I387" s="7">
        <v>46232</v>
      </c>
      <c r="J387" s="7">
        <f t="shared" si="16"/>
        <v>46235</v>
      </c>
      <c r="K387" s="8">
        <v>120</v>
      </c>
      <c r="L387" s="9">
        <f t="shared" si="15"/>
        <v>0</v>
      </c>
      <c r="M387" s="9" t="str" cm="1">
        <f t="array" ref="M387">_xlfn.IFS(L387&gt;=10,"HIGH",L387=0,"LOW",L387&lt;=9,"MEDIUM")</f>
        <v>LOW</v>
      </c>
      <c r="N387" s="9" t="str" cm="1">
        <f t="array" ref="N387">_xlfn.IFS(M387="HIGH",K387*L387,M387="MEDIUM",K387*L387,M387="LOW","NA")</f>
        <v>NA</v>
      </c>
      <c r="O387" s="18" t="str">
        <f t="shared" si="17"/>
        <v>cleared</v>
      </c>
    </row>
    <row r="388" spans="1:15" x14ac:dyDescent="0.25">
      <c r="A388" s="17">
        <v>384</v>
      </c>
      <c r="B388" s="6" t="s">
        <v>421</v>
      </c>
      <c r="C388" s="6" t="s">
        <v>16</v>
      </c>
      <c r="D388" s="6" t="s">
        <v>54</v>
      </c>
      <c r="E388" s="6" t="s">
        <v>42</v>
      </c>
      <c r="F388" s="6" t="s">
        <v>29</v>
      </c>
      <c r="G388" s="7">
        <v>46172</v>
      </c>
      <c r="H388" s="6">
        <v>4</v>
      </c>
      <c r="I388" s="6"/>
      <c r="J388" s="7">
        <f t="shared" si="16"/>
        <v>46176</v>
      </c>
      <c r="K388" s="8">
        <v>180</v>
      </c>
      <c r="L388" s="9">
        <f t="shared" si="15"/>
        <v>83</v>
      </c>
      <c r="M388" s="9" t="str" cm="1">
        <f t="array" ref="M388">_xlfn.IFS(L388&gt;=10,"HIGH",L388=0,"LOW",L388&lt;=9,"MEDIUM")</f>
        <v>HIGH</v>
      </c>
      <c r="N388" s="9" cm="1">
        <f t="array" ref="N388">_xlfn.IFS(M388="HIGH",K388*L388,M388="MEDIUM",K388*L388,M388="LOW","NA")</f>
        <v>14940</v>
      </c>
      <c r="O388" s="18" t="str">
        <f t="shared" si="17"/>
        <v>still in yard</v>
      </c>
    </row>
    <row r="389" spans="1:15" x14ac:dyDescent="0.25">
      <c r="A389" s="17">
        <v>385</v>
      </c>
      <c r="B389" s="6" t="s">
        <v>422</v>
      </c>
      <c r="C389" s="6" t="s">
        <v>33</v>
      </c>
      <c r="D389" s="6" t="s">
        <v>49</v>
      </c>
      <c r="E389" s="6" t="s">
        <v>13</v>
      </c>
      <c r="F389" s="6" t="s">
        <v>27</v>
      </c>
      <c r="G389" s="7">
        <v>46255</v>
      </c>
      <c r="H389" s="6">
        <v>5</v>
      </c>
      <c r="I389" s="6"/>
      <c r="J389" s="7">
        <f t="shared" si="16"/>
        <v>46260</v>
      </c>
      <c r="K389" s="8">
        <v>110</v>
      </c>
      <c r="L389" s="9">
        <f t="shared" ref="L389:L452" si="18">MAX(0, IF(I389="", $C$2-J389, I389-J389))</f>
        <v>0</v>
      </c>
      <c r="M389" s="9" t="str" cm="1">
        <f t="array" ref="M389">_xlfn.IFS(L389&gt;=10,"HIGH",L389=0,"LOW",L389&lt;=9,"MEDIUM")</f>
        <v>LOW</v>
      </c>
      <c r="N389" s="9" t="str" cm="1">
        <f t="array" ref="N389">_xlfn.IFS(M389="HIGH",K389*L389,M389="MEDIUM",K389*L389,M389="LOW","NA")</f>
        <v>NA</v>
      </c>
      <c r="O389" s="18" t="str">
        <f t="shared" si="17"/>
        <v>still in yard</v>
      </c>
    </row>
    <row r="390" spans="1:15" x14ac:dyDescent="0.25">
      <c r="A390" s="17">
        <v>386</v>
      </c>
      <c r="B390" s="6" t="s">
        <v>423</v>
      </c>
      <c r="C390" s="6" t="s">
        <v>37</v>
      </c>
      <c r="D390" s="6" t="s">
        <v>20</v>
      </c>
      <c r="E390" s="6" t="s">
        <v>39</v>
      </c>
      <c r="F390" s="6" t="s">
        <v>27</v>
      </c>
      <c r="G390" s="7">
        <v>46217</v>
      </c>
      <c r="H390" s="6">
        <v>6</v>
      </c>
      <c r="I390" s="7">
        <v>46219</v>
      </c>
      <c r="J390" s="7">
        <f t="shared" ref="J390:J453" si="19">G390+H390</f>
        <v>46223</v>
      </c>
      <c r="K390" s="8">
        <v>75</v>
      </c>
      <c r="L390" s="9">
        <f t="shared" si="18"/>
        <v>0</v>
      </c>
      <c r="M390" s="9" t="str" cm="1">
        <f t="array" ref="M390">_xlfn.IFS(L390&gt;=10,"HIGH",L390=0,"LOW",L390&lt;=9,"MEDIUM")</f>
        <v>LOW</v>
      </c>
      <c r="N390" s="9" t="str" cm="1">
        <f t="array" ref="N390">_xlfn.IFS(M390="HIGH",K390*L390,M390="MEDIUM",K390*L390,M390="LOW","NA")</f>
        <v>NA</v>
      </c>
      <c r="O390" s="18" t="str">
        <f t="shared" ref="O390:O453" si="20">IF(I390="","still in yard","cleared")</f>
        <v>cleared</v>
      </c>
    </row>
    <row r="391" spans="1:15" x14ac:dyDescent="0.25">
      <c r="A391" s="17">
        <v>387</v>
      </c>
      <c r="B391" s="6" t="s">
        <v>424</v>
      </c>
      <c r="C391" s="6" t="s">
        <v>37</v>
      </c>
      <c r="D391" s="6" t="s">
        <v>41</v>
      </c>
      <c r="E391" s="6" t="s">
        <v>46</v>
      </c>
      <c r="F391" s="6" t="s">
        <v>27</v>
      </c>
      <c r="G391" s="7">
        <v>46220</v>
      </c>
      <c r="H391" s="6">
        <v>5</v>
      </c>
      <c r="I391" s="6"/>
      <c r="J391" s="7">
        <f t="shared" si="19"/>
        <v>46225</v>
      </c>
      <c r="K391" s="8">
        <v>60</v>
      </c>
      <c r="L391" s="9">
        <f t="shared" si="18"/>
        <v>34</v>
      </c>
      <c r="M391" s="9" t="str" cm="1">
        <f t="array" ref="M391">_xlfn.IFS(L391&gt;=10,"HIGH",L391=0,"LOW",L391&lt;=9,"MEDIUM")</f>
        <v>HIGH</v>
      </c>
      <c r="N391" s="9" cm="1">
        <f t="array" ref="N391">_xlfn.IFS(M391="HIGH",K391*L391,M391="MEDIUM",K391*L391,M391="LOW","NA")</f>
        <v>2040</v>
      </c>
      <c r="O391" s="18" t="str">
        <f t="shared" si="20"/>
        <v>still in yard</v>
      </c>
    </row>
    <row r="392" spans="1:15" x14ac:dyDescent="0.25">
      <c r="A392" s="17">
        <v>388</v>
      </c>
      <c r="B392" s="6" t="s">
        <v>425</v>
      </c>
      <c r="C392" s="6" t="s">
        <v>33</v>
      </c>
      <c r="D392" s="6" t="s">
        <v>20</v>
      </c>
      <c r="E392" s="6" t="s">
        <v>23</v>
      </c>
      <c r="F392" s="6" t="s">
        <v>24</v>
      </c>
      <c r="G392" s="7">
        <v>46171</v>
      </c>
      <c r="H392" s="6">
        <v>7</v>
      </c>
      <c r="I392" s="7">
        <v>46190</v>
      </c>
      <c r="J392" s="7">
        <f t="shared" si="19"/>
        <v>46178</v>
      </c>
      <c r="K392" s="8">
        <v>110</v>
      </c>
      <c r="L392" s="9">
        <f t="shared" si="18"/>
        <v>12</v>
      </c>
      <c r="M392" s="9" t="str" cm="1">
        <f t="array" ref="M392">_xlfn.IFS(L392&gt;=10,"HIGH",L392=0,"LOW",L392&lt;=9,"MEDIUM")</f>
        <v>HIGH</v>
      </c>
      <c r="N392" s="9" cm="1">
        <f t="array" ref="N392">_xlfn.IFS(M392="HIGH",K392*L392,M392="MEDIUM",K392*L392,M392="LOW","NA")</f>
        <v>1320</v>
      </c>
      <c r="O392" s="18" t="str">
        <f t="shared" si="20"/>
        <v>cleared</v>
      </c>
    </row>
    <row r="393" spans="1:15" x14ac:dyDescent="0.25">
      <c r="A393" s="17">
        <v>389</v>
      </c>
      <c r="B393" s="6" t="s">
        <v>426</v>
      </c>
      <c r="C393" s="6" t="s">
        <v>37</v>
      </c>
      <c r="D393" s="6" t="s">
        <v>26</v>
      </c>
      <c r="E393" s="6" t="s">
        <v>44</v>
      </c>
      <c r="F393" s="6" t="s">
        <v>27</v>
      </c>
      <c r="G393" s="7">
        <v>46212</v>
      </c>
      <c r="H393" s="6">
        <v>4</v>
      </c>
      <c r="I393" s="7">
        <v>46217</v>
      </c>
      <c r="J393" s="7">
        <f t="shared" si="19"/>
        <v>46216</v>
      </c>
      <c r="K393" s="8">
        <v>75</v>
      </c>
      <c r="L393" s="9">
        <f t="shared" si="18"/>
        <v>1</v>
      </c>
      <c r="M393" s="9" t="str" cm="1">
        <f t="array" ref="M393">_xlfn.IFS(L393&gt;=10,"HIGH",L393=0,"LOW",L393&lt;=9,"MEDIUM")</f>
        <v>MEDIUM</v>
      </c>
      <c r="N393" s="9" cm="1">
        <f t="array" ref="N393">_xlfn.IFS(M393="HIGH",K393*L393,M393="MEDIUM",K393*L393,M393="LOW","NA")</f>
        <v>75</v>
      </c>
      <c r="O393" s="18" t="str">
        <f t="shared" si="20"/>
        <v>cleared</v>
      </c>
    </row>
    <row r="394" spans="1:15" x14ac:dyDescent="0.25">
      <c r="A394" s="17">
        <v>390</v>
      </c>
      <c r="B394" s="6" t="s">
        <v>427</v>
      </c>
      <c r="C394" s="6" t="s">
        <v>11</v>
      </c>
      <c r="D394" s="6" t="s">
        <v>54</v>
      </c>
      <c r="E394" s="6" t="s">
        <v>42</v>
      </c>
      <c r="F394" s="6" t="s">
        <v>27</v>
      </c>
      <c r="G394" s="7">
        <v>46257</v>
      </c>
      <c r="H394" s="6">
        <v>5</v>
      </c>
      <c r="I394" s="7">
        <v>46259</v>
      </c>
      <c r="J394" s="7">
        <f t="shared" si="19"/>
        <v>46262</v>
      </c>
      <c r="K394" s="8">
        <v>75</v>
      </c>
      <c r="L394" s="9">
        <f t="shared" si="18"/>
        <v>0</v>
      </c>
      <c r="M394" s="9" t="str" cm="1">
        <f t="array" ref="M394">_xlfn.IFS(L394&gt;=10,"HIGH",L394=0,"LOW",L394&lt;=9,"MEDIUM")</f>
        <v>LOW</v>
      </c>
      <c r="N394" s="9" t="str" cm="1">
        <f t="array" ref="N394">_xlfn.IFS(M394="HIGH",K394*L394,M394="MEDIUM",K394*L394,M394="LOW","NA")</f>
        <v>NA</v>
      </c>
      <c r="O394" s="18" t="str">
        <f t="shared" si="20"/>
        <v>cleared</v>
      </c>
    </row>
    <row r="395" spans="1:15" x14ac:dyDescent="0.25">
      <c r="A395" s="17">
        <v>391</v>
      </c>
      <c r="B395" s="6" t="s">
        <v>428</v>
      </c>
      <c r="C395" s="6" t="s">
        <v>11</v>
      </c>
      <c r="D395" s="6" t="s">
        <v>56</v>
      </c>
      <c r="E395" s="6" t="s">
        <v>23</v>
      </c>
      <c r="F395" s="6" t="s">
        <v>29</v>
      </c>
      <c r="G395" s="7">
        <v>46171</v>
      </c>
      <c r="H395" s="6">
        <v>4</v>
      </c>
      <c r="I395" s="6"/>
      <c r="J395" s="7">
        <f t="shared" si="19"/>
        <v>46175</v>
      </c>
      <c r="K395" s="8">
        <v>150</v>
      </c>
      <c r="L395" s="9">
        <f t="shared" si="18"/>
        <v>84</v>
      </c>
      <c r="M395" s="9" t="str" cm="1">
        <f t="array" ref="M395">_xlfn.IFS(L395&gt;=10,"HIGH",L395=0,"LOW",L395&lt;=9,"MEDIUM")</f>
        <v>HIGH</v>
      </c>
      <c r="N395" s="9" cm="1">
        <f t="array" ref="N395">_xlfn.IFS(M395="HIGH",K395*L395,M395="MEDIUM",K395*L395,M395="LOW","NA")</f>
        <v>12600</v>
      </c>
      <c r="O395" s="18" t="str">
        <f t="shared" si="20"/>
        <v>still in yard</v>
      </c>
    </row>
    <row r="396" spans="1:15" x14ac:dyDescent="0.25">
      <c r="A396" s="17">
        <v>392</v>
      </c>
      <c r="B396" s="6" t="s">
        <v>429</v>
      </c>
      <c r="C396" s="6" t="s">
        <v>33</v>
      </c>
      <c r="D396" s="6" t="s">
        <v>34</v>
      </c>
      <c r="E396" s="6" t="s">
        <v>44</v>
      </c>
      <c r="F396" s="6" t="s">
        <v>27</v>
      </c>
      <c r="G396" s="7">
        <v>46233</v>
      </c>
      <c r="H396" s="6">
        <v>4</v>
      </c>
      <c r="I396" s="6"/>
      <c r="J396" s="7">
        <f t="shared" si="19"/>
        <v>46237</v>
      </c>
      <c r="K396" s="8">
        <v>130</v>
      </c>
      <c r="L396" s="9">
        <f t="shared" si="18"/>
        <v>22</v>
      </c>
      <c r="M396" s="9" t="str" cm="1">
        <f t="array" ref="M396">_xlfn.IFS(L396&gt;=10,"HIGH",L396=0,"LOW",L396&lt;=9,"MEDIUM")</f>
        <v>HIGH</v>
      </c>
      <c r="N396" s="9" cm="1">
        <f t="array" ref="N396">_xlfn.IFS(M396="HIGH",K396*L396,M396="MEDIUM",K396*L396,M396="LOW","NA")</f>
        <v>2860</v>
      </c>
      <c r="O396" s="18" t="str">
        <f t="shared" si="20"/>
        <v>still in yard</v>
      </c>
    </row>
    <row r="397" spans="1:15" x14ac:dyDescent="0.25">
      <c r="A397" s="17">
        <v>393</v>
      </c>
      <c r="B397" s="6" t="s">
        <v>430</v>
      </c>
      <c r="C397" s="6" t="s">
        <v>37</v>
      </c>
      <c r="D397" s="6" t="s">
        <v>26</v>
      </c>
      <c r="E397" s="6" t="s">
        <v>13</v>
      </c>
      <c r="F397" s="6" t="s">
        <v>14</v>
      </c>
      <c r="G397" s="7">
        <v>46256</v>
      </c>
      <c r="H397" s="6">
        <v>4</v>
      </c>
      <c r="I397" s="7">
        <v>46257</v>
      </c>
      <c r="J397" s="7">
        <f t="shared" si="19"/>
        <v>46260</v>
      </c>
      <c r="K397" s="8">
        <v>60</v>
      </c>
      <c r="L397" s="9">
        <f t="shared" si="18"/>
        <v>0</v>
      </c>
      <c r="M397" s="9" t="str" cm="1">
        <f t="array" ref="M397">_xlfn.IFS(L397&gt;=10,"HIGH",L397=0,"LOW",L397&lt;=9,"MEDIUM")</f>
        <v>LOW</v>
      </c>
      <c r="N397" s="9" t="str" cm="1">
        <f t="array" ref="N397">_xlfn.IFS(M397="HIGH",K397*L397,M397="MEDIUM",K397*L397,M397="LOW","NA")</f>
        <v>NA</v>
      </c>
      <c r="O397" s="18" t="str">
        <f t="shared" si="20"/>
        <v>cleared</v>
      </c>
    </row>
    <row r="398" spans="1:15" x14ac:dyDescent="0.25">
      <c r="A398" s="17">
        <v>394</v>
      </c>
      <c r="B398" s="6" t="s">
        <v>431</v>
      </c>
      <c r="C398" s="6" t="s">
        <v>33</v>
      </c>
      <c r="D398" s="6" t="s">
        <v>12</v>
      </c>
      <c r="E398" s="6" t="s">
        <v>61</v>
      </c>
      <c r="F398" s="6" t="s">
        <v>29</v>
      </c>
      <c r="G398" s="7">
        <v>46258</v>
      </c>
      <c r="H398" s="6">
        <v>3</v>
      </c>
      <c r="I398" s="6"/>
      <c r="J398" s="7">
        <f t="shared" si="19"/>
        <v>46261</v>
      </c>
      <c r="K398" s="8">
        <v>180</v>
      </c>
      <c r="L398" s="9">
        <f t="shared" si="18"/>
        <v>0</v>
      </c>
      <c r="M398" s="9" t="str" cm="1">
        <f t="array" ref="M398">_xlfn.IFS(L398&gt;=10,"HIGH",L398=0,"LOW",L398&lt;=9,"MEDIUM")</f>
        <v>LOW</v>
      </c>
      <c r="N398" s="9" t="str" cm="1">
        <f t="array" ref="N398">_xlfn.IFS(M398="HIGH",K398*L398,M398="MEDIUM",K398*L398,M398="LOW","NA")</f>
        <v>NA</v>
      </c>
      <c r="O398" s="18" t="str">
        <f t="shared" si="20"/>
        <v>still in yard</v>
      </c>
    </row>
    <row r="399" spans="1:15" x14ac:dyDescent="0.25">
      <c r="A399" s="17">
        <v>395</v>
      </c>
      <c r="B399" s="6" t="s">
        <v>432</v>
      </c>
      <c r="C399" s="6" t="s">
        <v>37</v>
      </c>
      <c r="D399" s="6" t="s">
        <v>17</v>
      </c>
      <c r="E399" s="6" t="s">
        <v>61</v>
      </c>
      <c r="F399" s="6" t="s">
        <v>14</v>
      </c>
      <c r="G399" s="7">
        <v>46191</v>
      </c>
      <c r="H399" s="6">
        <v>5</v>
      </c>
      <c r="I399" s="7">
        <v>46203</v>
      </c>
      <c r="J399" s="7">
        <f t="shared" si="19"/>
        <v>46196</v>
      </c>
      <c r="K399" s="8">
        <v>60</v>
      </c>
      <c r="L399" s="9">
        <f t="shared" si="18"/>
        <v>7</v>
      </c>
      <c r="M399" s="9" t="str" cm="1">
        <f t="array" ref="M399">_xlfn.IFS(L399&gt;=10,"HIGH",L399=0,"LOW",L399&lt;=9,"MEDIUM")</f>
        <v>MEDIUM</v>
      </c>
      <c r="N399" s="9" cm="1">
        <f t="array" ref="N399">_xlfn.IFS(M399="HIGH",K399*L399,M399="MEDIUM",K399*L399,M399="LOW","NA")</f>
        <v>420</v>
      </c>
      <c r="O399" s="18" t="str">
        <f t="shared" si="20"/>
        <v>cleared</v>
      </c>
    </row>
    <row r="400" spans="1:15" x14ac:dyDescent="0.25">
      <c r="A400" s="17">
        <v>396</v>
      </c>
      <c r="B400" s="6" t="s">
        <v>433</v>
      </c>
      <c r="C400" s="6" t="s">
        <v>11</v>
      </c>
      <c r="D400" s="6" t="s">
        <v>20</v>
      </c>
      <c r="E400" s="6" t="s">
        <v>18</v>
      </c>
      <c r="F400" s="6" t="s">
        <v>14</v>
      </c>
      <c r="G400" s="7">
        <v>46224</v>
      </c>
      <c r="H400" s="6">
        <v>5</v>
      </c>
      <c r="I400" s="6"/>
      <c r="J400" s="7">
        <f t="shared" si="19"/>
        <v>46229</v>
      </c>
      <c r="K400" s="8">
        <v>90</v>
      </c>
      <c r="L400" s="9">
        <f t="shared" si="18"/>
        <v>30</v>
      </c>
      <c r="M400" s="9" t="str" cm="1">
        <f t="array" ref="M400">_xlfn.IFS(L400&gt;=10,"HIGH",L400=0,"LOW",L400&lt;=9,"MEDIUM")</f>
        <v>HIGH</v>
      </c>
      <c r="N400" s="9" cm="1">
        <f t="array" ref="N400">_xlfn.IFS(M400="HIGH",K400*L400,M400="MEDIUM",K400*L400,M400="LOW","NA")</f>
        <v>2700</v>
      </c>
      <c r="O400" s="18" t="str">
        <f t="shared" si="20"/>
        <v>still in yard</v>
      </c>
    </row>
    <row r="401" spans="1:15" x14ac:dyDescent="0.25">
      <c r="A401" s="17">
        <v>397</v>
      </c>
      <c r="B401" s="6" t="s">
        <v>434</v>
      </c>
      <c r="C401" s="6" t="s">
        <v>16</v>
      </c>
      <c r="D401" s="6" t="s">
        <v>54</v>
      </c>
      <c r="E401" s="6" t="s">
        <v>18</v>
      </c>
      <c r="F401" s="6" t="s">
        <v>14</v>
      </c>
      <c r="G401" s="7">
        <v>46206</v>
      </c>
      <c r="H401" s="6">
        <v>7</v>
      </c>
      <c r="I401" s="7">
        <v>46212</v>
      </c>
      <c r="J401" s="7">
        <f t="shared" si="19"/>
        <v>46213</v>
      </c>
      <c r="K401" s="8">
        <v>60</v>
      </c>
      <c r="L401" s="9">
        <f t="shared" si="18"/>
        <v>0</v>
      </c>
      <c r="M401" s="9" t="str" cm="1">
        <f t="array" ref="M401">_xlfn.IFS(L401&gt;=10,"HIGH",L401=0,"LOW",L401&lt;=9,"MEDIUM")</f>
        <v>LOW</v>
      </c>
      <c r="N401" s="9" t="str" cm="1">
        <f t="array" ref="N401">_xlfn.IFS(M401="HIGH",K401*L401,M401="MEDIUM",K401*L401,M401="LOW","NA")</f>
        <v>NA</v>
      </c>
      <c r="O401" s="18" t="str">
        <f t="shared" si="20"/>
        <v>cleared</v>
      </c>
    </row>
    <row r="402" spans="1:15" x14ac:dyDescent="0.25">
      <c r="A402" s="17">
        <v>398</v>
      </c>
      <c r="B402" s="6" t="s">
        <v>435</v>
      </c>
      <c r="C402" s="6" t="s">
        <v>33</v>
      </c>
      <c r="D402" s="6" t="s">
        <v>17</v>
      </c>
      <c r="E402" s="6" t="s">
        <v>46</v>
      </c>
      <c r="F402" s="6" t="s">
        <v>24</v>
      </c>
      <c r="G402" s="7">
        <v>46170</v>
      </c>
      <c r="H402" s="6">
        <v>6</v>
      </c>
      <c r="I402" s="7">
        <v>46179</v>
      </c>
      <c r="J402" s="7">
        <f t="shared" si="19"/>
        <v>46176</v>
      </c>
      <c r="K402" s="8">
        <v>90</v>
      </c>
      <c r="L402" s="9">
        <f t="shared" si="18"/>
        <v>3</v>
      </c>
      <c r="M402" s="9" t="str" cm="1">
        <f t="array" ref="M402">_xlfn.IFS(L402&gt;=10,"HIGH",L402=0,"LOW",L402&lt;=9,"MEDIUM")</f>
        <v>MEDIUM</v>
      </c>
      <c r="N402" s="9" cm="1">
        <f t="array" ref="N402">_xlfn.IFS(M402="HIGH",K402*L402,M402="MEDIUM",K402*L402,M402="LOW","NA")</f>
        <v>270</v>
      </c>
      <c r="O402" s="18" t="str">
        <f t="shared" si="20"/>
        <v>cleared</v>
      </c>
    </row>
    <row r="403" spans="1:15" x14ac:dyDescent="0.25">
      <c r="A403" s="17">
        <v>399</v>
      </c>
      <c r="B403" s="6" t="s">
        <v>436</v>
      </c>
      <c r="C403" s="6" t="s">
        <v>33</v>
      </c>
      <c r="D403" s="6" t="s">
        <v>49</v>
      </c>
      <c r="E403" s="6" t="s">
        <v>39</v>
      </c>
      <c r="F403" s="6" t="s">
        <v>29</v>
      </c>
      <c r="G403" s="7">
        <v>46209</v>
      </c>
      <c r="H403" s="6">
        <v>3</v>
      </c>
      <c r="I403" s="7">
        <v>46210</v>
      </c>
      <c r="J403" s="7">
        <f t="shared" si="19"/>
        <v>46212</v>
      </c>
      <c r="K403" s="8">
        <v>120</v>
      </c>
      <c r="L403" s="9">
        <f t="shared" si="18"/>
        <v>0</v>
      </c>
      <c r="M403" s="9" t="str" cm="1">
        <f t="array" ref="M403">_xlfn.IFS(L403&gt;=10,"HIGH",L403=0,"LOW",L403&lt;=9,"MEDIUM")</f>
        <v>LOW</v>
      </c>
      <c r="N403" s="9" t="str" cm="1">
        <f t="array" ref="N403">_xlfn.IFS(M403="HIGH",K403*L403,M403="MEDIUM",K403*L403,M403="LOW","NA")</f>
        <v>NA</v>
      </c>
      <c r="O403" s="18" t="str">
        <f t="shared" si="20"/>
        <v>cleared</v>
      </c>
    </row>
    <row r="404" spans="1:15" x14ac:dyDescent="0.25">
      <c r="A404" s="17">
        <v>400</v>
      </c>
      <c r="B404" s="6" t="s">
        <v>437</v>
      </c>
      <c r="C404" s="6" t="s">
        <v>16</v>
      </c>
      <c r="D404" s="6" t="s">
        <v>20</v>
      </c>
      <c r="E404" s="6" t="s">
        <v>21</v>
      </c>
      <c r="F404" s="6" t="s">
        <v>24</v>
      </c>
      <c r="G404" s="7">
        <v>46170</v>
      </c>
      <c r="H404" s="6">
        <v>7</v>
      </c>
      <c r="I404" s="7">
        <v>46179</v>
      </c>
      <c r="J404" s="7">
        <f t="shared" si="19"/>
        <v>46177</v>
      </c>
      <c r="K404" s="8">
        <v>75</v>
      </c>
      <c r="L404" s="9">
        <f t="shared" si="18"/>
        <v>2</v>
      </c>
      <c r="M404" s="9" t="str" cm="1">
        <f t="array" ref="M404">_xlfn.IFS(L404&gt;=10,"HIGH",L404=0,"LOW",L404&lt;=9,"MEDIUM")</f>
        <v>MEDIUM</v>
      </c>
      <c r="N404" s="9" cm="1">
        <f t="array" ref="N404">_xlfn.IFS(M404="HIGH",K404*L404,M404="MEDIUM",K404*L404,M404="LOW","NA")</f>
        <v>150</v>
      </c>
      <c r="O404" s="18" t="str">
        <f t="shared" si="20"/>
        <v>cleared</v>
      </c>
    </row>
    <row r="405" spans="1:15" x14ac:dyDescent="0.25">
      <c r="A405" s="17">
        <v>401</v>
      </c>
      <c r="B405" s="6" t="s">
        <v>438</v>
      </c>
      <c r="C405" s="6" t="s">
        <v>37</v>
      </c>
      <c r="D405" s="6" t="s">
        <v>56</v>
      </c>
      <c r="E405" s="6" t="s">
        <v>42</v>
      </c>
      <c r="F405" s="6" t="s">
        <v>14</v>
      </c>
      <c r="G405" s="7">
        <v>46252</v>
      </c>
      <c r="H405" s="6">
        <v>6</v>
      </c>
      <c r="I405" s="7">
        <v>46255</v>
      </c>
      <c r="J405" s="7">
        <f t="shared" si="19"/>
        <v>46258</v>
      </c>
      <c r="K405" s="8">
        <v>130</v>
      </c>
      <c r="L405" s="9">
        <f t="shared" si="18"/>
        <v>0</v>
      </c>
      <c r="M405" s="9" t="str" cm="1">
        <f t="array" ref="M405">_xlfn.IFS(L405&gt;=10,"HIGH",L405=0,"LOW",L405&lt;=9,"MEDIUM")</f>
        <v>LOW</v>
      </c>
      <c r="N405" s="9" t="str" cm="1">
        <f t="array" ref="N405">_xlfn.IFS(M405="HIGH",K405*L405,M405="MEDIUM",K405*L405,M405="LOW","NA")</f>
        <v>NA</v>
      </c>
      <c r="O405" s="18" t="str">
        <f t="shared" si="20"/>
        <v>cleared</v>
      </c>
    </row>
    <row r="406" spans="1:15" x14ac:dyDescent="0.25">
      <c r="A406" s="17">
        <v>402</v>
      </c>
      <c r="B406" s="6" t="s">
        <v>439</v>
      </c>
      <c r="C406" s="6" t="s">
        <v>11</v>
      </c>
      <c r="D406" s="6" t="s">
        <v>41</v>
      </c>
      <c r="E406" s="6" t="s">
        <v>21</v>
      </c>
      <c r="F406" s="6" t="s">
        <v>14</v>
      </c>
      <c r="G406" s="7">
        <v>46198</v>
      </c>
      <c r="H406" s="6">
        <v>6</v>
      </c>
      <c r="I406" s="7">
        <v>46209</v>
      </c>
      <c r="J406" s="7">
        <f t="shared" si="19"/>
        <v>46204</v>
      </c>
      <c r="K406" s="8">
        <v>130</v>
      </c>
      <c r="L406" s="9">
        <f t="shared" si="18"/>
        <v>5</v>
      </c>
      <c r="M406" s="9" t="str" cm="1">
        <f t="array" ref="M406">_xlfn.IFS(L406&gt;=10,"HIGH",L406=0,"LOW",L406&lt;=9,"MEDIUM")</f>
        <v>MEDIUM</v>
      </c>
      <c r="N406" s="9" cm="1">
        <f t="array" ref="N406">_xlfn.IFS(M406="HIGH",K406*L406,M406="MEDIUM",K406*L406,M406="LOW","NA")</f>
        <v>650</v>
      </c>
      <c r="O406" s="18" t="str">
        <f t="shared" si="20"/>
        <v>cleared</v>
      </c>
    </row>
    <row r="407" spans="1:15" x14ac:dyDescent="0.25">
      <c r="A407" s="17">
        <v>403</v>
      </c>
      <c r="B407" s="6" t="s">
        <v>440</v>
      </c>
      <c r="C407" s="6" t="s">
        <v>33</v>
      </c>
      <c r="D407" s="6" t="s">
        <v>20</v>
      </c>
      <c r="E407" s="6" t="s">
        <v>13</v>
      </c>
      <c r="F407" s="6" t="s">
        <v>24</v>
      </c>
      <c r="G407" s="7">
        <v>46250</v>
      </c>
      <c r="H407" s="6">
        <v>6</v>
      </c>
      <c r="I407" s="7">
        <v>46255</v>
      </c>
      <c r="J407" s="7">
        <f t="shared" si="19"/>
        <v>46256</v>
      </c>
      <c r="K407" s="8">
        <v>90</v>
      </c>
      <c r="L407" s="9">
        <f t="shared" si="18"/>
        <v>0</v>
      </c>
      <c r="M407" s="9" t="str" cm="1">
        <f t="array" ref="M407">_xlfn.IFS(L407&gt;=10,"HIGH",L407=0,"LOW",L407&lt;=9,"MEDIUM")</f>
        <v>LOW</v>
      </c>
      <c r="N407" s="9" t="str" cm="1">
        <f t="array" ref="N407">_xlfn.IFS(M407="HIGH",K407*L407,M407="MEDIUM",K407*L407,M407="LOW","NA")</f>
        <v>NA</v>
      </c>
      <c r="O407" s="18" t="str">
        <f t="shared" si="20"/>
        <v>cleared</v>
      </c>
    </row>
    <row r="408" spans="1:15" x14ac:dyDescent="0.25">
      <c r="A408" s="17">
        <v>404</v>
      </c>
      <c r="B408" s="6" t="s">
        <v>441</v>
      </c>
      <c r="C408" s="6" t="s">
        <v>16</v>
      </c>
      <c r="D408" s="6" t="s">
        <v>17</v>
      </c>
      <c r="E408" s="6" t="s">
        <v>18</v>
      </c>
      <c r="F408" s="6" t="s">
        <v>24</v>
      </c>
      <c r="G408" s="7">
        <v>46225</v>
      </c>
      <c r="H408" s="6">
        <v>6</v>
      </c>
      <c r="I408" s="7">
        <v>46236</v>
      </c>
      <c r="J408" s="7">
        <f t="shared" si="19"/>
        <v>46231</v>
      </c>
      <c r="K408" s="8">
        <v>90</v>
      </c>
      <c r="L408" s="9">
        <f t="shared" si="18"/>
        <v>5</v>
      </c>
      <c r="M408" s="9" t="str" cm="1">
        <f t="array" ref="M408">_xlfn.IFS(L408&gt;=10,"HIGH",L408=0,"LOW",L408&lt;=9,"MEDIUM")</f>
        <v>MEDIUM</v>
      </c>
      <c r="N408" s="9" cm="1">
        <f t="array" ref="N408">_xlfn.IFS(M408="HIGH",K408*L408,M408="MEDIUM",K408*L408,M408="LOW","NA")</f>
        <v>450</v>
      </c>
      <c r="O408" s="18" t="str">
        <f t="shared" si="20"/>
        <v>cleared</v>
      </c>
    </row>
    <row r="409" spans="1:15" x14ac:dyDescent="0.25">
      <c r="A409" s="17">
        <v>405</v>
      </c>
      <c r="B409" s="6" t="s">
        <v>442</v>
      </c>
      <c r="C409" s="6" t="s">
        <v>33</v>
      </c>
      <c r="D409" s="6" t="s">
        <v>26</v>
      </c>
      <c r="E409" s="6" t="s">
        <v>18</v>
      </c>
      <c r="F409" s="6" t="s">
        <v>27</v>
      </c>
      <c r="G409" s="7">
        <v>46250</v>
      </c>
      <c r="H409" s="6">
        <v>7</v>
      </c>
      <c r="I409" s="7">
        <v>46257</v>
      </c>
      <c r="J409" s="7">
        <f t="shared" si="19"/>
        <v>46257</v>
      </c>
      <c r="K409" s="8">
        <v>90</v>
      </c>
      <c r="L409" s="9">
        <f t="shared" si="18"/>
        <v>0</v>
      </c>
      <c r="M409" s="9" t="str" cm="1">
        <f t="array" ref="M409">_xlfn.IFS(L409&gt;=10,"HIGH",L409=0,"LOW",L409&lt;=9,"MEDIUM")</f>
        <v>LOW</v>
      </c>
      <c r="N409" s="9" t="str" cm="1">
        <f t="array" ref="N409">_xlfn.IFS(M409="HIGH",K409*L409,M409="MEDIUM",K409*L409,M409="LOW","NA")</f>
        <v>NA</v>
      </c>
      <c r="O409" s="18" t="str">
        <f t="shared" si="20"/>
        <v>cleared</v>
      </c>
    </row>
    <row r="410" spans="1:15" x14ac:dyDescent="0.25">
      <c r="A410" s="17">
        <v>406</v>
      </c>
      <c r="B410" s="6" t="s">
        <v>443</v>
      </c>
      <c r="C410" s="6" t="s">
        <v>37</v>
      </c>
      <c r="D410" s="6" t="s">
        <v>12</v>
      </c>
      <c r="E410" s="6" t="s">
        <v>23</v>
      </c>
      <c r="F410" s="6" t="s">
        <v>29</v>
      </c>
      <c r="G410" s="7">
        <v>46236</v>
      </c>
      <c r="H410" s="6">
        <v>4</v>
      </c>
      <c r="I410" s="7">
        <v>46242</v>
      </c>
      <c r="J410" s="7">
        <f t="shared" si="19"/>
        <v>46240</v>
      </c>
      <c r="K410" s="8">
        <v>180</v>
      </c>
      <c r="L410" s="9">
        <f t="shared" si="18"/>
        <v>2</v>
      </c>
      <c r="M410" s="9" t="str" cm="1">
        <f t="array" ref="M410">_xlfn.IFS(L410&gt;=10,"HIGH",L410=0,"LOW",L410&lt;=9,"MEDIUM")</f>
        <v>MEDIUM</v>
      </c>
      <c r="N410" s="9" cm="1">
        <f t="array" ref="N410">_xlfn.IFS(M410="HIGH",K410*L410,M410="MEDIUM",K410*L410,M410="LOW","NA")</f>
        <v>360</v>
      </c>
      <c r="O410" s="18" t="str">
        <f t="shared" si="20"/>
        <v>cleared</v>
      </c>
    </row>
    <row r="411" spans="1:15" x14ac:dyDescent="0.25">
      <c r="A411" s="17">
        <v>407</v>
      </c>
      <c r="B411" s="6" t="s">
        <v>444</v>
      </c>
      <c r="C411" s="6" t="s">
        <v>16</v>
      </c>
      <c r="D411" s="6" t="s">
        <v>34</v>
      </c>
      <c r="E411" s="6" t="s">
        <v>13</v>
      </c>
      <c r="F411" s="6" t="s">
        <v>24</v>
      </c>
      <c r="G411" s="7">
        <v>46204</v>
      </c>
      <c r="H411" s="6">
        <v>4</v>
      </c>
      <c r="I411" s="7">
        <v>46206</v>
      </c>
      <c r="J411" s="7">
        <f t="shared" si="19"/>
        <v>46208</v>
      </c>
      <c r="K411" s="8">
        <v>90</v>
      </c>
      <c r="L411" s="9">
        <f t="shared" si="18"/>
        <v>0</v>
      </c>
      <c r="M411" s="9" t="str" cm="1">
        <f t="array" ref="M411">_xlfn.IFS(L411&gt;=10,"HIGH",L411=0,"LOW",L411&lt;=9,"MEDIUM")</f>
        <v>LOW</v>
      </c>
      <c r="N411" s="9" t="str" cm="1">
        <f t="array" ref="N411">_xlfn.IFS(M411="HIGH",K411*L411,M411="MEDIUM",K411*L411,M411="LOW","NA")</f>
        <v>NA</v>
      </c>
      <c r="O411" s="18" t="str">
        <f t="shared" si="20"/>
        <v>cleared</v>
      </c>
    </row>
    <row r="412" spans="1:15" x14ac:dyDescent="0.25">
      <c r="A412" s="17">
        <v>408</v>
      </c>
      <c r="B412" s="6" t="s">
        <v>445</v>
      </c>
      <c r="C412" s="6" t="s">
        <v>11</v>
      </c>
      <c r="D412" s="6" t="s">
        <v>17</v>
      </c>
      <c r="E412" s="6" t="s">
        <v>61</v>
      </c>
      <c r="F412" s="6" t="s">
        <v>24</v>
      </c>
      <c r="G412" s="7">
        <v>46201</v>
      </c>
      <c r="H412" s="6">
        <v>4</v>
      </c>
      <c r="I412" s="6"/>
      <c r="J412" s="7">
        <f t="shared" si="19"/>
        <v>46205</v>
      </c>
      <c r="K412" s="8">
        <v>90</v>
      </c>
      <c r="L412" s="9">
        <f t="shared" si="18"/>
        <v>54</v>
      </c>
      <c r="M412" s="9" t="str" cm="1">
        <f t="array" ref="M412">_xlfn.IFS(L412&gt;=10,"HIGH",L412=0,"LOW",L412&lt;=9,"MEDIUM")</f>
        <v>HIGH</v>
      </c>
      <c r="N412" s="9" cm="1">
        <f t="array" ref="N412">_xlfn.IFS(M412="HIGH",K412*L412,M412="MEDIUM",K412*L412,M412="LOW","NA")</f>
        <v>4860</v>
      </c>
      <c r="O412" s="18" t="str">
        <f t="shared" si="20"/>
        <v>still in yard</v>
      </c>
    </row>
    <row r="413" spans="1:15" x14ac:dyDescent="0.25">
      <c r="A413" s="17">
        <v>409</v>
      </c>
      <c r="B413" s="6" t="s">
        <v>446</v>
      </c>
      <c r="C413" s="6" t="s">
        <v>33</v>
      </c>
      <c r="D413" s="6" t="s">
        <v>56</v>
      </c>
      <c r="E413" s="6" t="s">
        <v>35</v>
      </c>
      <c r="F413" s="6" t="s">
        <v>29</v>
      </c>
      <c r="G413" s="7">
        <v>46236</v>
      </c>
      <c r="H413" s="6">
        <v>4</v>
      </c>
      <c r="I413" s="6"/>
      <c r="J413" s="7">
        <f t="shared" si="19"/>
        <v>46240</v>
      </c>
      <c r="K413" s="8">
        <v>180</v>
      </c>
      <c r="L413" s="9">
        <f t="shared" si="18"/>
        <v>19</v>
      </c>
      <c r="M413" s="9" t="str" cm="1">
        <f t="array" ref="M413">_xlfn.IFS(L413&gt;=10,"HIGH",L413=0,"LOW",L413&lt;=9,"MEDIUM")</f>
        <v>HIGH</v>
      </c>
      <c r="N413" s="9" cm="1">
        <f t="array" ref="N413">_xlfn.IFS(M413="HIGH",K413*L413,M413="MEDIUM",K413*L413,M413="LOW","NA")</f>
        <v>3420</v>
      </c>
      <c r="O413" s="18" t="str">
        <f t="shared" si="20"/>
        <v>still in yard</v>
      </c>
    </row>
    <row r="414" spans="1:15" x14ac:dyDescent="0.25">
      <c r="A414" s="17">
        <v>410</v>
      </c>
      <c r="B414" s="6" t="s">
        <v>447</v>
      </c>
      <c r="C414" s="6" t="s">
        <v>37</v>
      </c>
      <c r="D414" s="6" t="s">
        <v>34</v>
      </c>
      <c r="E414" s="6" t="s">
        <v>35</v>
      </c>
      <c r="F414" s="6" t="s">
        <v>27</v>
      </c>
      <c r="G414" s="7">
        <v>46179</v>
      </c>
      <c r="H414" s="6">
        <v>5</v>
      </c>
      <c r="I414" s="7">
        <v>46180</v>
      </c>
      <c r="J414" s="7">
        <f t="shared" si="19"/>
        <v>46184</v>
      </c>
      <c r="K414" s="8">
        <v>110</v>
      </c>
      <c r="L414" s="9">
        <f t="shared" si="18"/>
        <v>0</v>
      </c>
      <c r="M414" s="9" t="str" cm="1">
        <f t="array" ref="M414">_xlfn.IFS(L414&gt;=10,"HIGH",L414=0,"LOW",L414&lt;=9,"MEDIUM")</f>
        <v>LOW</v>
      </c>
      <c r="N414" s="9" t="str" cm="1">
        <f t="array" ref="N414">_xlfn.IFS(M414="HIGH",K414*L414,M414="MEDIUM",K414*L414,M414="LOW","NA")</f>
        <v>NA</v>
      </c>
      <c r="O414" s="18" t="str">
        <f t="shared" si="20"/>
        <v>cleared</v>
      </c>
    </row>
    <row r="415" spans="1:15" x14ac:dyDescent="0.25">
      <c r="A415" s="17">
        <v>411</v>
      </c>
      <c r="B415" s="6" t="s">
        <v>448</v>
      </c>
      <c r="C415" s="6" t="s">
        <v>11</v>
      </c>
      <c r="D415" s="6" t="s">
        <v>54</v>
      </c>
      <c r="E415" s="6" t="s">
        <v>61</v>
      </c>
      <c r="F415" s="6" t="s">
        <v>27</v>
      </c>
      <c r="G415" s="7">
        <v>46258</v>
      </c>
      <c r="H415" s="6">
        <v>7</v>
      </c>
      <c r="I415" s="6"/>
      <c r="J415" s="7">
        <f t="shared" si="19"/>
        <v>46265</v>
      </c>
      <c r="K415" s="8">
        <v>130</v>
      </c>
      <c r="L415" s="9">
        <f t="shared" si="18"/>
        <v>0</v>
      </c>
      <c r="M415" s="9" t="str" cm="1">
        <f t="array" ref="M415">_xlfn.IFS(L415&gt;=10,"HIGH",L415=0,"LOW",L415&lt;=9,"MEDIUM")</f>
        <v>LOW</v>
      </c>
      <c r="N415" s="9" t="str" cm="1">
        <f t="array" ref="N415">_xlfn.IFS(M415="HIGH",K415*L415,M415="MEDIUM",K415*L415,M415="LOW","NA")</f>
        <v>NA</v>
      </c>
      <c r="O415" s="18" t="str">
        <f t="shared" si="20"/>
        <v>still in yard</v>
      </c>
    </row>
    <row r="416" spans="1:15" x14ac:dyDescent="0.25">
      <c r="A416" s="17">
        <v>412</v>
      </c>
      <c r="B416" s="6" t="s">
        <v>449</v>
      </c>
      <c r="C416" s="6" t="s">
        <v>37</v>
      </c>
      <c r="D416" s="6" t="s">
        <v>31</v>
      </c>
      <c r="E416" s="6" t="s">
        <v>61</v>
      </c>
      <c r="F416" s="6" t="s">
        <v>24</v>
      </c>
      <c r="G416" s="7">
        <v>46217</v>
      </c>
      <c r="H416" s="6">
        <v>5</v>
      </c>
      <c r="I416" s="6"/>
      <c r="J416" s="7">
        <f t="shared" si="19"/>
        <v>46222</v>
      </c>
      <c r="K416" s="8">
        <v>110</v>
      </c>
      <c r="L416" s="9">
        <f t="shared" si="18"/>
        <v>37</v>
      </c>
      <c r="M416" s="9" t="str" cm="1">
        <f t="array" ref="M416">_xlfn.IFS(L416&gt;=10,"HIGH",L416=0,"LOW",L416&lt;=9,"MEDIUM")</f>
        <v>HIGH</v>
      </c>
      <c r="N416" s="9" cm="1">
        <f t="array" ref="N416">_xlfn.IFS(M416="HIGH",K416*L416,M416="MEDIUM",K416*L416,M416="LOW","NA")</f>
        <v>4070</v>
      </c>
      <c r="O416" s="18" t="str">
        <f t="shared" si="20"/>
        <v>still in yard</v>
      </c>
    </row>
    <row r="417" spans="1:15" x14ac:dyDescent="0.25">
      <c r="A417" s="17">
        <v>413</v>
      </c>
      <c r="B417" s="6" t="s">
        <v>450</v>
      </c>
      <c r="C417" s="6" t="s">
        <v>16</v>
      </c>
      <c r="D417" s="6" t="s">
        <v>17</v>
      </c>
      <c r="E417" s="6" t="s">
        <v>35</v>
      </c>
      <c r="F417" s="6" t="s">
        <v>14</v>
      </c>
      <c r="G417" s="7">
        <v>46233</v>
      </c>
      <c r="H417" s="6">
        <v>5</v>
      </c>
      <c r="I417" s="7">
        <v>46239</v>
      </c>
      <c r="J417" s="7">
        <f t="shared" si="19"/>
        <v>46238</v>
      </c>
      <c r="K417" s="8">
        <v>90</v>
      </c>
      <c r="L417" s="9">
        <f t="shared" si="18"/>
        <v>1</v>
      </c>
      <c r="M417" s="9" t="str" cm="1">
        <f t="array" ref="M417">_xlfn.IFS(L417&gt;=10,"HIGH",L417=0,"LOW",L417&lt;=9,"MEDIUM")</f>
        <v>MEDIUM</v>
      </c>
      <c r="N417" s="9" cm="1">
        <f t="array" ref="N417">_xlfn.IFS(M417="HIGH",K417*L417,M417="MEDIUM",K417*L417,M417="LOW","NA")</f>
        <v>90</v>
      </c>
      <c r="O417" s="18" t="str">
        <f t="shared" si="20"/>
        <v>cleared</v>
      </c>
    </row>
    <row r="418" spans="1:15" x14ac:dyDescent="0.25">
      <c r="A418" s="17">
        <v>414</v>
      </c>
      <c r="B418" s="6" t="s">
        <v>451</v>
      </c>
      <c r="C418" s="6" t="s">
        <v>16</v>
      </c>
      <c r="D418" s="6" t="s">
        <v>41</v>
      </c>
      <c r="E418" s="6" t="s">
        <v>13</v>
      </c>
      <c r="F418" s="6" t="s">
        <v>24</v>
      </c>
      <c r="G418" s="7">
        <v>46253</v>
      </c>
      <c r="H418" s="6">
        <v>5</v>
      </c>
      <c r="I418" s="7">
        <v>46254</v>
      </c>
      <c r="J418" s="7">
        <f t="shared" si="19"/>
        <v>46258</v>
      </c>
      <c r="K418" s="8">
        <v>110</v>
      </c>
      <c r="L418" s="9">
        <f t="shared" si="18"/>
        <v>0</v>
      </c>
      <c r="M418" s="9" t="str" cm="1">
        <f t="array" ref="M418">_xlfn.IFS(L418&gt;=10,"HIGH",L418=0,"LOW",L418&lt;=9,"MEDIUM")</f>
        <v>LOW</v>
      </c>
      <c r="N418" s="9" t="str" cm="1">
        <f t="array" ref="N418">_xlfn.IFS(M418="HIGH",K418*L418,M418="MEDIUM",K418*L418,M418="LOW","NA")</f>
        <v>NA</v>
      </c>
      <c r="O418" s="18" t="str">
        <f t="shared" si="20"/>
        <v>cleared</v>
      </c>
    </row>
    <row r="419" spans="1:15" x14ac:dyDescent="0.25">
      <c r="A419" s="17">
        <v>415</v>
      </c>
      <c r="B419" s="6" t="s">
        <v>452</v>
      </c>
      <c r="C419" s="6" t="s">
        <v>11</v>
      </c>
      <c r="D419" s="6" t="s">
        <v>34</v>
      </c>
      <c r="E419" s="6" t="s">
        <v>18</v>
      </c>
      <c r="F419" s="6" t="s">
        <v>29</v>
      </c>
      <c r="G419" s="7">
        <v>46184</v>
      </c>
      <c r="H419" s="6">
        <v>3</v>
      </c>
      <c r="I419" s="7">
        <v>46190</v>
      </c>
      <c r="J419" s="7">
        <f t="shared" si="19"/>
        <v>46187</v>
      </c>
      <c r="K419" s="8">
        <v>180</v>
      </c>
      <c r="L419" s="9">
        <f t="shared" si="18"/>
        <v>3</v>
      </c>
      <c r="M419" s="9" t="str" cm="1">
        <f t="array" ref="M419">_xlfn.IFS(L419&gt;=10,"HIGH",L419=0,"LOW",L419&lt;=9,"MEDIUM")</f>
        <v>MEDIUM</v>
      </c>
      <c r="N419" s="9" cm="1">
        <f t="array" ref="N419">_xlfn.IFS(M419="HIGH",K419*L419,M419="MEDIUM",K419*L419,M419="LOW","NA")</f>
        <v>540</v>
      </c>
      <c r="O419" s="18" t="str">
        <f t="shared" si="20"/>
        <v>cleared</v>
      </c>
    </row>
    <row r="420" spans="1:15" x14ac:dyDescent="0.25">
      <c r="A420" s="17">
        <v>416</v>
      </c>
      <c r="B420" s="6" t="s">
        <v>453</v>
      </c>
      <c r="C420" s="6" t="s">
        <v>11</v>
      </c>
      <c r="D420" s="6" t="s">
        <v>56</v>
      </c>
      <c r="E420" s="6" t="s">
        <v>18</v>
      </c>
      <c r="F420" s="6" t="s">
        <v>24</v>
      </c>
      <c r="G420" s="7">
        <v>46249</v>
      </c>
      <c r="H420" s="6">
        <v>4</v>
      </c>
      <c r="I420" s="7">
        <v>46259</v>
      </c>
      <c r="J420" s="7">
        <f t="shared" si="19"/>
        <v>46253</v>
      </c>
      <c r="K420" s="8">
        <v>110</v>
      </c>
      <c r="L420" s="9">
        <f t="shared" si="18"/>
        <v>6</v>
      </c>
      <c r="M420" s="9" t="str" cm="1">
        <f t="array" ref="M420">_xlfn.IFS(L420&gt;=10,"HIGH",L420=0,"LOW",L420&lt;=9,"MEDIUM")</f>
        <v>MEDIUM</v>
      </c>
      <c r="N420" s="9" cm="1">
        <f t="array" ref="N420">_xlfn.IFS(M420="HIGH",K420*L420,M420="MEDIUM",K420*L420,M420="LOW","NA")</f>
        <v>660</v>
      </c>
      <c r="O420" s="18" t="str">
        <f t="shared" si="20"/>
        <v>cleared</v>
      </c>
    </row>
    <row r="421" spans="1:15" x14ac:dyDescent="0.25">
      <c r="A421" s="17">
        <v>417</v>
      </c>
      <c r="B421" s="6" t="s">
        <v>454</v>
      </c>
      <c r="C421" s="6" t="s">
        <v>33</v>
      </c>
      <c r="D421" s="6" t="s">
        <v>17</v>
      </c>
      <c r="E421" s="6" t="s">
        <v>13</v>
      </c>
      <c r="F421" s="6" t="s">
        <v>29</v>
      </c>
      <c r="G421" s="7">
        <v>46176</v>
      </c>
      <c r="H421" s="6">
        <v>3</v>
      </c>
      <c r="I421" s="6"/>
      <c r="J421" s="7">
        <f t="shared" si="19"/>
        <v>46179</v>
      </c>
      <c r="K421" s="8">
        <v>180</v>
      </c>
      <c r="L421" s="9">
        <f t="shared" si="18"/>
        <v>80</v>
      </c>
      <c r="M421" s="9" t="str" cm="1">
        <f t="array" ref="M421">_xlfn.IFS(L421&gt;=10,"HIGH",L421=0,"LOW",L421&lt;=9,"MEDIUM")</f>
        <v>HIGH</v>
      </c>
      <c r="N421" s="9" cm="1">
        <f t="array" ref="N421">_xlfn.IFS(M421="HIGH",K421*L421,M421="MEDIUM",K421*L421,M421="LOW","NA")</f>
        <v>14400</v>
      </c>
      <c r="O421" s="18" t="str">
        <f t="shared" si="20"/>
        <v>still in yard</v>
      </c>
    </row>
    <row r="422" spans="1:15" x14ac:dyDescent="0.25">
      <c r="A422" s="17">
        <v>418</v>
      </c>
      <c r="B422" s="6" t="s">
        <v>455</v>
      </c>
      <c r="C422" s="6" t="s">
        <v>33</v>
      </c>
      <c r="D422" s="6" t="s">
        <v>41</v>
      </c>
      <c r="E422" s="6" t="s">
        <v>13</v>
      </c>
      <c r="F422" s="6" t="s">
        <v>29</v>
      </c>
      <c r="G422" s="7">
        <v>46198</v>
      </c>
      <c r="H422" s="6">
        <v>3</v>
      </c>
      <c r="I422" s="7">
        <v>46199</v>
      </c>
      <c r="J422" s="7">
        <f t="shared" si="19"/>
        <v>46201</v>
      </c>
      <c r="K422" s="8">
        <v>180</v>
      </c>
      <c r="L422" s="9">
        <f t="shared" si="18"/>
        <v>0</v>
      </c>
      <c r="M422" s="9" t="str" cm="1">
        <f t="array" ref="M422">_xlfn.IFS(L422&gt;=10,"HIGH",L422=0,"LOW",L422&lt;=9,"MEDIUM")</f>
        <v>LOW</v>
      </c>
      <c r="N422" s="9" t="str" cm="1">
        <f t="array" ref="N422">_xlfn.IFS(M422="HIGH",K422*L422,M422="MEDIUM",K422*L422,M422="LOW","NA")</f>
        <v>NA</v>
      </c>
      <c r="O422" s="18" t="str">
        <f t="shared" si="20"/>
        <v>cleared</v>
      </c>
    </row>
    <row r="423" spans="1:15" x14ac:dyDescent="0.25">
      <c r="A423" s="17">
        <v>419</v>
      </c>
      <c r="B423" s="6" t="s">
        <v>456</v>
      </c>
      <c r="C423" s="6" t="s">
        <v>16</v>
      </c>
      <c r="D423" s="6" t="s">
        <v>20</v>
      </c>
      <c r="E423" s="6" t="s">
        <v>18</v>
      </c>
      <c r="F423" s="6" t="s">
        <v>29</v>
      </c>
      <c r="G423" s="7">
        <v>46189</v>
      </c>
      <c r="H423" s="6">
        <v>3</v>
      </c>
      <c r="I423" s="7">
        <v>46193</v>
      </c>
      <c r="J423" s="7">
        <f t="shared" si="19"/>
        <v>46192</v>
      </c>
      <c r="K423" s="8">
        <v>150</v>
      </c>
      <c r="L423" s="9">
        <f t="shared" si="18"/>
        <v>1</v>
      </c>
      <c r="M423" s="9" t="str" cm="1">
        <f t="array" ref="M423">_xlfn.IFS(L423&gt;=10,"HIGH",L423=0,"LOW",L423&lt;=9,"MEDIUM")</f>
        <v>MEDIUM</v>
      </c>
      <c r="N423" s="9" cm="1">
        <f t="array" ref="N423">_xlfn.IFS(M423="HIGH",K423*L423,M423="MEDIUM",K423*L423,M423="LOW","NA")</f>
        <v>150</v>
      </c>
      <c r="O423" s="18" t="str">
        <f t="shared" si="20"/>
        <v>cleared</v>
      </c>
    </row>
    <row r="424" spans="1:15" x14ac:dyDescent="0.25">
      <c r="A424" s="17">
        <v>420</v>
      </c>
      <c r="B424" s="6" t="s">
        <v>457</v>
      </c>
      <c r="C424" s="6" t="s">
        <v>11</v>
      </c>
      <c r="D424" s="6" t="s">
        <v>49</v>
      </c>
      <c r="E424" s="6" t="s">
        <v>35</v>
      </c>
      <c r="F424" s="6" t="s">
        <v>14</v>
      </c>
      <c r="G424" s="7">
        <v>46247</v>
      </c>
      <c r="H424" s="6">
        <v>5</v>
      </c>
      <c r="I424" s="7">
        <v>46251</v>
      </c>
      <c r="J424" s="7">
        <f t="shared" si="19"/>
        <v>46252</v>
      </c>
      <c r="K424" s="8">
        <v>110</v>
      </c>
      <c r="L424" s="9">
        <f t="shared" si="18"/>
        <v>0</v>
      </c>
      <c r="M424" s="9" t="str" cm="1">
        <f t="array" ref="M424">_xlfn.IFS(L424&gt;=10,"HIGH",L424=0,"LOW",L424&lt;=9,"MEDIUM")</f>
        <v>LOW</v>
      </c>
      <c r="N424" s="9" t="str" cm="1">
        <f t="array" ref="N424">_xlfn.IFS(M424="HIGH",K424*L424,M424="MEDIUM",K424*L424,M424="LOW","NA")</f>
        <v>NA</v>
      </c>
      <c r="O424" s="18" t="str">
        <f t="shared" si="20"/>
        <v>cleared</v>
      </c>
    </row>
    <row r="425" spans="1:15" x14ac:dyDescent="0.25">
      <c r="A425" s="17">
        <v>421</v>
      </c>
      <c r="B425" s="6" t="s">
        <v>458</v>
      </c>
      <c r="C425" s="6" t="s">
        <v>16</v>
      </c>
      <c r="D425" s="6" t="s">
        <v>20</v>
      </c>
      <c r="E425" s="6" t="s">
        <v>21</v>
      </c>
      <c r="F425" s="6" t="s">
        <v>29</v>
      </c>
      <c r="G425" s="7">
        <v>46251</v>
      </c>
      <c r="H425" s="6">
        <v>4</v>
      </c>
      <c r="I425" s="6"/>
      <c r="J425" s="7">
        <f t="shared" si="19"/>
        <v>46255</v>
      </c>
      <c r="K425" s="8">
        <v>150</v>
      </c>
      <c r="L425" s="9">
        <f t="shared" si="18"/>
        <v>4</v>
      </c>
      <c r="M425" s="9" t="str" cm="1">
        <f t="array" ref="M425">_xlfn.IFS(L425&gt;=10,"HIGH",L425=0,"LOW",L425&lt;=9,"MEDIUM")</f>
        <v>MEDIUM</v>
      </c>
      <c r="N425" s="9" cm="1">
        <f t="array" ref="N425">_xlfn.IFS(M425="HIGH",K425*L425,M425="MEDIUM",K425*L425,M425="LOW","NA")</f>
        <v>600</v>
      </c>
      <c r="O425" s="18" t="str">
        <f t="shared" si="20"/>
        <v>still in yard</v>
      </c>
    </row>
    <row r="426" spans="1:15" x14ac:dyDescent="0.25">
      <c r="A426" s="17">
        <v>422</v>
      </c>
      <c r="B426" s="6" t="s">
        <v>459</v>
      </c>
      <c r="C426" s="6" t="s">
        <v>33</v>
      </c>
      <c r="D426" s="6" t="s">
        <v>54</v>
      </c>
      <c r="E426" s="6" t="s">
        <v>61</v>
      </c>
      <c r="F426" s="6" t="s">
        <v>29</v>
      </c>
      <c r="G426" s="7">
        <v>46184</v>
      </c>
      <c r="H426" s="6">
        <v>3</v>
      </c>
      <c r="I426" s="7">
        <v>46186</v>
      </c>
      <c r="J426" s="7">
        <f t="shared" si="19"/>
        <v>46187</v>
      </c>
      <c r="K426" s="8">
        <v>120</v>
      </c>
      <c r="L426" s="9">
        <f t="shared" si="18"/>
        <v>0</v>
      </c>
      <c r="M426" s="9" t="str" cm="1">
        <f t="array" ref="M426">_xlfn.IFS(L426&gt;=10,"HIGH",L426=0,"LOW",L426&lt;=9,"MEDIUM")</f>
        <v>LOW</v>
      </c>
      <c r="N426" s="9" t="str" cm="1">
        <f t="array" ref="N426">_xlfn.IFS(M426="HIGH",K426*L426,M426="MEDIUM",K426*L426,M426="LOW","NA")</f>
        <v>NA</v>
      </c>
      <c r="O426" s="18" t="str">
        <f t="shared" si="20"/>
        <v>cleared</v>
      </c>
    </row>
    <row r="427" spans="1:15" x14ac:dyDescent="0.25">
      <c r="A427" s="17">
        <v>423</v>
      </c>
      <c r="B427" s="6" t="s">
        <v>460</v>
      </c>
      <c r="C427" s="6" t="s">
        <v>37</v>
      </c>
      <c r="D427" s="6" t="s">
        <v>34</v>
      </c>
      <c r="E427" s="6" t="s">
        <v>39</v>
      </c>
      <c r="F427" s="6" t="s">
        <v>27</v>
      </c>
      <c r="G427" s="7">
        <v>46192</v>
      </c>
      <c r="H427" s="6">
        <v>4</v>
      </c>
      <c r="I427" s="6"/>
      <c r="J427" s="7">
        <f t="shared" si="19"/>
        <v>46196</v>
      </c>
      <c r="K427" s="8">
        <v>130</v>
      </c>
      <c r="L427" s="9">
        <f t="shared" si="18"/>
        <v>63</v>
      </c>
      <c r="M427" s="9" t="str" cm="1">
        <f t="array" ref="M427">_xlfn.IFS(L427&gt;=10,"HIGH",L427=0,"LOW",L427&lt;=9,"MEDIUM")</f>
        <v>HIGH</v>
      </c>
      <c r="N427" s="9" cm="1">
        <f t="array" ref="N427">_xlfn.IFS(M427="HIGH",K427*L427,M427="MEDIUM",K427*L427,M427="LOW","NA")</f>
        <v>8190</v>
      </c>
      <c r="O427" s="18" t="str">
        <f t="shared" si="20"/>
        <v>still in yard</v>
      </c>
    </row>
    <row r="428" spans="1:15" x14ac:dyDescent="0.25">
      <c r="A428" s="17">
        <v>424</v>
      </c>
      <c r="B428" s="6" t="s">
        <v>461</v>
      </c>
      <c r="C428" s="6" t="s">
        <v>11</v>
      </c>
      <c r="D428" s="6" t="s">
        <v>17</v>
      </c>
      <c r="E428" s="6" t="s">
        <v>46</v>
      </c>
      <c r="F428" s="6" t="s">
        <v>14</v>
      </c>
      <c r="G428" s="7">
        <v>46218</v>
      </c>
      <c r="H428" s="6">
        <v>6</v>
      </c>
      <c r="I428" s="6"/>
      <c r="J428" s="7">
        <f t="shared" si="19"/>
        <v>46224</v>
      </c>
      <c r="K428" s="8">
        <v>90</v>
      </c>
      <c r="L428" s="9">
        <f t="shared" si="18"/>
        <v>35</v>
      </c>
      <c r="M428" s="9" t="str" cm="1">
        <f t="array" ref="M428">_xlfn.IFS(L428&gt;=10,"HIGH",L428=0,"LOW",L428&lt;=9,"MEDIUM")</f>
        <v>HIGH</v>
      </c>
      <c r="N428" s="9" cm="1">
        <f t="array" ref="N428">_xlfn.IFS(M428="HIGH",K428*L428,M428="MEDIUM",K428*L428,M428="LOW","NA")</f>
        <v>3150</v>
      </c>
      <c r="O428" s="18" t="str">
        <f t="shared" si="20"/>
        <v>still in yard</v>
      </c>
    </row>
    <row r="429" spans="1:15" x14ac:dyDescent="0.25">
      <c r="A429" s="17">
        <v>425</v>
      </c>
      <c r="B429" s="6" t="s">
        <v>462</v>
      </c>
      <c r="C429" s="6" t="s">
        <v>33</v>
      </c>
      <c r="D429" s="6" t="s">
        <v>17</v>
      </c>
      <c r="E429" s="6" t="s">
        <v>13</v>
      </c>
      <c r="F429" s="6" t="s">
        <v>14</v>
      </c>
      <c r="G429" s="7">
        <v>46219</v>
      </c>
      <c r="H429" s="6">
        <v>5</v>
      </c>
      <c r="I429" s="6"/>
      <c r="J429" s="7">
        <f t="shared" si="19"/>
        <v>46224</v>
      </c>
      <c r="K429" s="8">
        <v>110</v>
      </c>
      <c r="L429" s="9">
        <f t="shared" si="18"/>
        <v>35</v>
      </c>
      <c r="M429" s="9" t="str" cm="1">
        <f t="array" ref="M429">_xlfn.IFS(L429&gt;=10,"HIGH",L429=0,"LOW",L429&lt;=9,"MEDIUM")</f>
        <v>HIGH</v>
      </c>
      <c r="N429" s="9" cm="1">
        <f t="array" ref="N429">_xlfn.IFS(M429="HIGH",K429*L429,M429="MEDIUM",K429*L429,M429="LOW","NA")</f>
        <v>3850</v>
      </c>
      <c r="O429" s="18" t="str">
        <f t="shared" si="20"/>
        <v>still in yard</v>
      </c>
    </row>
    <row r="430" spans="1:15" x14ac:dyDescent="0.25">
      <c r="A430" s="17">
        <v>426</v>
      </c>
      <c r="B430" s="6" t="s">
        <v>463</v>
      </c>
      <c r="C430" s="6" t="s">
        <v>33</v>
      </c>
      <c r="D430" s="6" t="s">
        <v>17</v>
      </c>
      <c r="E430" s="6" t="s">
        <v>46</v>
      </c>
      <c r="F430" s="6" t="s">
        <v>24</v>
      </c>
      <c r="G430" s="7">
        <v>46233</v>
      </c>
      <c r="H430" s="6">
        <v>5</v>
      </c>
      <c r="I430" s="6"/>
      <c r="J430" s="7">
        <f t="shared" si="19"/>
        <v>46238</v>
      </c>
      <c r="K430" s="8">
        <v>130</v>
      </c>
      <c r="L430" s="9">
        <f t="shared" si="18"/>
        <v>21</v>
      </c>
      <c r="M430" s="9" t="str" cm="1">
        <f t="array" ref="M430">_xlfn.IFS(L430&gt;=10,"HIGH",L430=0,"LOW",L430&lt;=9,"MEDIUM")</f>
        <v>HIGH</v>
      </c>
      <c r="N430" s="9" cm="1">
        <f t="array" ref="N430">_xlfn.IFS(M430="HIGH",K430*L430,M430="MEDIUM",K430*L430,M430="LOW","NA")</f>
        <v>2730</v>
      </c>
      <c r="O430" s="18" t="str">
        <f t="shared" si="20"/>
        <v>still in yard</v>
      </c>
    </row>
    <row r="431" spans="1:15" x14ac:dyDescent="0.25">
      <c r="A431" s="17">
        <v>427</v>
      </c>
      <c r="B431" s="6" t="s">
        <v>464</v>
      </c>
      <c r="C431" s="6" t="s">
        <v>11</v>
      </c>
      <c r="D431" s="6" t="s">
        <v>41</v>
      </c>
      <c r="E431" s="6" t="s">
        <v>35</v>
      </c>
      <c r="F431" s="6" t="s">
        <v>27</v>
      </c>
      <c r="G431" s="7">
        <v>46212</v>
      </c>
      <c r="H431" s="6">
        <v>5</v>
      </c>
      <c r="I431" s="6"/>
      <c r="J431" s="7">
        <f t="shared" si="19"/>
        <v>46217</v>
      </c>
      <c r="K431" s="8">
        <v>130</v>
      </c>
      <c r="L431" s="9">
        <f t="shared" si="18"/>
        <v>42</v>
      </c>
      <c r="M431" s="9" t="str" cm="1">
        <f t="array" ref="M431">_xlfn.IFS(L431&gt;=10,"HIGH",L431=0,"LOW",L431&lt;=9,"MEDIUM")</f>
        <v>HIGH</v>
      </c>
      <c r="N431" s="9" cm="1">
        <f t="array" ref="N431">_xlfn.IFS(M431="HIGH",K431*L431,M431="MEDIUM",K431*L431,M431="LOW","NA")</f>
        <v>5460</v>
      </c>
      <c r="O431" s="18" t="str">
        <f t="shared" si="20"/>
        <v>still in yard</v>
      </c>
    </row>
    <row r="432" spans="1:15" x14ac:dyDescent="0.25">
      <c r="A432" s="17">
        <v>428</v>
      </c>
      <c r="B432" s="6" t="s">
        <v>465</v>
      </c>
      <c r="C432" s="6" t="s">
        <v>16</v>
      </c>
      <c r="D432" s="6" t="s">
        <v>34</v>
      </c>
      <c r="E432" s="6" t="s">
        <v>44</v>
      </c>
      <c r="F432" s="6" t="s">
        <v>14</v>
      </c>
      <c r="G432" s="7">
        <v>46206</v>
      </c>
      <c r="H432" s="6">
        <v>7</v>
      </c>
      <c r="I432" s="7">
        <v>46215</v>
      </c>
      <c r="J432" s="7">
        <f t="shared" si="19"/>
        <v>46213</v>
      </c>
      <c r="K432" s="8">
        <v>110</v>
      </c>
      <c r="L432" s="9">
        <f t="shared" si="18"/>
        <v>2</v>
      </c>
      <c r="M432" s="9" t="str" cm="1">
        <f t="array" ref="M432">_xlfn.IFS(L432&gt;=10,"HIGH",L432=0,"LOW",L432&lt;=9,"MEDIUM")</f>
        <v>MEDIUM</v>
      </c>
      <c r="N432" s="9" cm="1">
        <f t="array" ref="N432">_xlfn.IFS(M432="HIGH",K432*L432,M432="MEDIUM",K432*L432,M432="LOW","NA")</f>
        <v>220</v>
      </c>
      <c r="O432" s="18" t="str">
        <f t="shared" si="20"/>
        <v>cleared</v>
      </c>
    </row>
    <row r="433" spans="1:15" x14ac:dyDescent="0.25">
      <c r="A433" s="17">
        <v>429</v>
      </c>
      <c r="B433" s="6" t="s">
        <v>466</v>
      </c>
      <c r="C433" s="6" t="s">
        <v>11</v>
      </c>
      <c r="D433" s="6" t="s">
        <v>20</v>
      </c>
      <c r="E433" s="6" t="s">
        <v>18</v>
      </c>
      <c r="F433" s="6" t="s">
        <v>29</v>
      </c>
      <c r="G433" s="7">
        <v>46207</v>
      </c>
      <c r="H433" s="6">
        <v>4</v>
      </c>
      <c r="I433" s="7">
        <v>46211</v>
      </c>
      <c r="J433" s="7">
        <f t="shared" si="19"/>
        <v>46211</v>
      </c>
      <c r="K433" s="8">
        <v>120</v>
      </c>
      <c r="L433" s="9">
        <f t="shared" si="18"/>
        <v>0</v>
      </c>
      <c r="M433" s="9" t="str" cm="1">
        <f t="array" ref="M433">_xlfn.IFS(L433&gt;=10,"HIGH",L433=0,"LOW",L433&lt;=9,"MEDIUM")</f>
        <v>LOW</v>
      </c>
      <c r="N433" s="9" t="str" cm="1">
        <f t="array" ref="N433">_xlfn.IFS(M433="HIGH",K433*L433,M433="MEDIUM",K433*L433,M433="LOW","NA")</f>
        <v>NA</v>
      </c>
      <c r="O433" s="18" t="str">
        <f t="shared" si="20"/>
        <v>cleared</v>
      </c>
    </row>
    <row r="434" spans="1:15" x14ac:dyDescent="0.25">
      <c r="A434" s="17">
        <v>430</v>
      </c>
      <c r="B434" s="6" t="s">
        <v>467</v>
      </c>
      <c r="C434" s="6" t="s">
        <v>16</v>
      </c>
      <c r="D434" s="6" t="s">
        <v>12</v>
      </c>
      <c r="E434" s="6" t="s">
        <v>13</v>
      </c>
      <c r="F434" s="6" t="s">
        <v>14</v>
      </c>
      <c r="G434" s="7">
        <v>46252</v>
      </c>
      <c r="H434" s="6">
        <v>5</v>
      </c>
      <c r="I434" s="7">
        <v>46259</v>
      </c>
      <c r="J434" s="7">
        <f t="shared" si="19"/>
        <v>46257</v>
      </c>
      <c r="K434" s="8">
        <v>75</v>
      </c>
      <c r="L434" s="9">
        <f t="shared" si="18"/>
        <v>2</v>
      </c>
      <c r="M434" s="9" t="str" cm="1">
        <f t="array" ref="M434">_xlfn.IFS(L434&gt;=10,"HIGH",L434=0,"LOW",L434&lt;=9,"MEDIUM")</f>
        <v>MEDIUM</v>
      </c>
      <c r="N434" s="9" cm="1">
        <f t="array" ref="N434">_xlfn.IFS(M434="HIGH",K434*L434,M434="MEDIUM",K434*L434,M434="LOW","NA")</f>
        <v>150</v>
      </c>
      <c r="O434" s="18" t="str">
        <f t="shared" si="20"/>
        <v>cleared</v>
      </c>
    </row>
    <row r="435" spans="1:15" x14ac:dyDescent="0.25">
      <c r="A435" s="17">
        <v>431</v>
      </c>
      <c r="B435" s="6" t="s">
        <v>468</v>
      </c>
      <c r="C435" s="6" t="s">
        <v>16</v>
      </c>
      <c r="D435" s="6" t="s">
        <v>17</v>
      </c>
      <c r="E435" s="6" t="s">
        <v>23</v>
      </c>
      <c r="F435" s="6" t="s">
        <v>29</v>
      </c>
      <c r="G435" s="7">
        <v>46230</v>
      </c>
      <c r="H435" s="6">
        <v>4</v>
      </c>
      <c r="I435" s="7">
        <v>46236</v>
      </c>
      <c r="J435" s="7">
        <f t="shared" si="19"/>
        <v>46234</v>
      </c>
      <c r="K435" s="8">
        <v>180</v>
      </c>
      <c r="L435" s="9">
        <f t="shared" si="18"/>
        <v>2</v>
      </c>
      <c r="M435" s="9" t="str" cm="1">
        <f t="array" ref="M435">_xlfn.IFS(L435&gt;=10,"HIGH",L435=0,"LOW",L435&lt;=9,"MEDIUM")</f>
        <v>MEDIUM</v>
      </c>
      <c r="N435" s="9" cm="1">
        <f t="array" ref="N435">_xlfn.IFS(M435="HIGH",K435*L435,M435="MEDIUM",K435*L435,M435="LOW","NA")</f>
        <v>360</v>
      </c>
      <c r="O435" s="18" t="str">
        <f t="shared" si="20"/>
        <v>cleared</v>
      </c>
    </row>
    <row r="436" spans="1:15" x14ac:dyDescent="0.25">
      <c r="A436" s="17">
        <v>432</v>
      </c>
      <c r="B436" s="6" t="s">
        <v>469</v>
      </c>
      <c r="C436" s="6" t="s">
        <v>11</v>
      </c>
      <c r="D436" s="6" t="s">
        <v>20</v>
      </c>
      <c r="E436" s="6" t="s">
        <v>61</v>
      </c>
      <c r="F436" s="6" t="s">
        <v>27</v>
      </c>
      <c r="G436" s="7">
        <v>46240</v>
      </c>
      <c r="H436" s="6">
        <v>5</v>
      </c>
      <c r="I436" s="7">
        <v>46242</v>
      </c>
      <c r="J436" s="7">
        <f t="shared" si="19"/>
        <v>46245</v>
      </c>
      <c r="K436" s="8">
        <v>60</v>
      </c>
      <c r="L436" s="9">
        <f t="shared" si="18"/>
        <v>0</v>
      </c>
      <c r="M436" s="9" t="str" cm="1">
        <f t="array" ref="M436">_xlfn.IFS(L436&gt;=10,"HIGH",L436=0,"LOW",L436&lt;=9,"MEDIUM")</f>
        <v>LOW</v>
      </c>
      <c r="N436" s="9" t="str" cm="1">
        <f t="array" ref="N436">_xlfn.IFS(M436="HIGH",K436*L436,M436="MEDIUM",K436*L436,M436="LOW","NA")</f>
        <v>NA</v>
      </c>
      <c r="O436" s="18" t="str">
        <f t="shared" si="20"/>
        <v>cleared</v>
      </c>
    </row>
    <row r="437" spans="1:15" x14ac:dyDescent="0.25">
      <c r="A437" s="17">
        <v>433</v>
      </c>
      <c r="B437" s="6" t="s">
        <v>470</v>
      </c>
      <c r="C437" s="6" t="s">
        <v>16</v>
      </c>
      <c r="D437" s="6" t="s">
        <v>49</v>
      </c>
      <c r="E437" s="6" t="s">
        <v>18</v>
      </c>
      <c r="F437" s="6" t="s">
        <v>24</v>
      </c>
      <c r="G437" s="7">
        <v>46202</v>
      </c>
      <c r="H437" s="6">
        <v>6</v>
      </c>
      <c r="I437" s="6"/>
      <c r="J437" s="7">
        <f t="shared" si="19"/>
        <v>46208</v>
      </c>
      <c r="K437" s="8">
        <v>60</v>
      </c>
      <c r="L437" s="9">
        <f t="shared" si="18"/>
        <v>51</v>
      </c>
      <c r="M437" s="9" t="str" cm="1">
        <f t="array" ref="M437">_xlfn.IFS(L437&gt;=10,"HIGH",L437=0,"LOW",L437&lt;=9,"MEDIUM")</f>
        <v>HIGH</v>
      </c>
      <c r="N437" s="9" cm="1">
        <f t="array" ref="N437">_xlfn.IFS(M437="HIGH",K437*L437,M437="MEDIUM",K437*L437,M437="LOW","NA")</f>
        <v>3060</v>
      </c>
      <c r="O437" s="18" t="str">
        <f t="shared" si="20"/>
        <v>still in yard</v>
      </c>
    </row>
    <row r="438" spans="1:15" x14ac:dyDescent="0.25">
      <c r="A438" s="17">
        <v>434</v>
      </c>
      <c r="B438" s="6" t="s">
        <v>471</v>
      </c>
      <c r="C438" s="6" t="s">
        <v>37</v>
      </c>
      <c r="D438" s="6" t="s">
        <v>54</v>
      </c>
      <c r="E438" s="6" t="s">
        <v>23</v>
      </c>
      <c r="F438" s="6" t="s">
        <v>29</v>
      </c>
      <c r="G438" s="7">
        <v>46221</v>
      </c>
      <c r="H438" s="6">
        <v>3</v>
      </c>
      <c r="I438" s="7">
        <v>46224</v>
      </c>
      <c r="J438" s="7">
        <f t="shared" si="19"/>
        <v>46224</v>
      </c>
      <c r="K438" s="8">
        <v>150</v>
      </c>
      <c r="L438" s="9">
        <f t="shared" si="18"/>
        <v>0</v>
      </c>
      <c r="M438" s="9" t="str" cm="1">
        <f t="array" ref="M438">_xlfn.IFS(L438&gt;=10,"HIGH",L438=0,"LOW",L438&lt;=9,"MEDIUM")</f>
        <v>LOW</v>
      </c>
      <c r="N438" s="9" t="str" cm="1">
        <f t="array" ref="N438">_xlfn.IFS(M438="HIGH",K438*L438,M438="MEDIUM",K438*L438,M438="LOW","NA")</f>
        <v>NA</v>
      </c>
      <c r="O438" s="18" t="str">
        <f t="shared" si="20"/>
        <v>cleared</v>
      </c>
    </row>
    <row r="439" spans="1:15" x14ac:dyDescent="0.25">
      <c r="A439" s="17">
        <v>435</v>
      </c>
      <c r="B439" s="6" t="s">
        <v>472</v>
      </c>
      <c r="C439" s="6" t="s">
        <v>37</v>
      </c>
      <c r="D439" s="6" t="s">
        <v>31</v>
      </c>
      <c r="E439" s="6" t="s">
        <v>46</v>
      </c>
      <c r="F439" s="6" t="s">
        <v>24</v>
      </c>
      <c r="G439" s="7">
        <v>46188</v>
      </c>
      <c r="H439" s="6">
        <v>5</v>
      </c>
      <c r="I439" s="6"/>
      <c r="J439" s="7">
        <f t="shared" si="19"/>
        <v>46193</v>
      </c>
      <c r="K439" s="8">
        <v>75</v>
      </c>
      <c r="L439" s="9">
        <f t="shared" si="18"/>
        <v>66</v>
      </c>
      <c r="M439" s="9" t="str" cm="1">
        <f t="array" ref="M439">_xlfn.IFS(L439&gt;=10,"HIGH",L439=0,"LOW",L439&lt;=9,"MEDIUM")</f>
        <v>HIGH</v>
      </c>
      <c r="N439" s="9" cm="1">
        <f t="array" ref="N439">_xlfn.IFS(M439="HIGH",K439*L439,M439="MEDIUM",K439*L439,M439="LOW","NA")</f>
        <v>4950</v>
      </c>
      <c r="O439" s="18" t="str">
        <f t="shared" si="20"/>
        <v>still in yard</v>
      </c>
    </row>
    <row r="440" spans="1:15" x14ac:dyDescent="0.25">
      <c r="A440" s="17">
        <v>436</v>
      </c>
      <c r="B440" s="6" t="s">
        <v>473</v>
      </c>
      <c r="C440" s="6" t="s">
        <v>33</v>
      </c>
      <c r="D440" s="6" t="s">
        <v>54</v>
      </c>
      <c r="E440" s="6" t="s">
        <v>39</v>
      </c>
      <c r="F440" s="6" t="s">
        <v>29</v>
      </c>
      <c r="G440" s="7">
        <v>46239</v>
      </c>
      <c r="H440" s="6">
        <v>4</v>
      </c>
      <c r="I440" s="6"/>
      <c r="J440" s="7">
        <f t="shared" si="19"/>
        <v>46243</v>
      </c>
      <c r="K440" s="8">
        <v>180</v>
      </c>
      <c r="L440" s="9">
        <f t="shared" si="18"/>
        <v>16</v>
      </c>
      <c r="M440" s="9" t="str" cm="1">
        <f t="array" ref="M440">_xlfn.IFS(L440&gt;=10,"HIGH",L440=0,"LOW",L440&lt;=9,"MEDIUM")</f>
        <v>HIGH</v>
      </c>
      <c r="N440" s="9" cm="1">
        <f t="array" ref="N440">_xlfn.IFS(M440="HIGH",K440*L440,M440="MEDIUM",K440*L440,M440="LOW","NA")</f>
        <v>2880</v>
      </c>
      <c r="O440" s="18" t="str">
        <f t="shared" si="20"/>
        <v>still in yard</v>
      </c>
    </row>
    <row r="441" spans="1:15" x14ac:dyDescent="0.25">
      <c r="A441" s="17">
        <v>437</v>
      </c>
      <c r="B441" s="6" t="s">
        <v>474</v>
      </c>
      <c r="C441" s="6" t="s">
        <v>16</v>
      </c>
      <c r="D441" s="6" t="s">
        <v>20</v>
      </c>
      <c r="E441" s="6" t="s">
        <v>35</v>
      </c>
      <c r="F441" s="6" t="s">
        <v>27</v>
      </c>
      <c r="G441" s="7">
        <v>46235</v>
      </c>
      <c r="H441" s="6">
        <v>6</v>
      </c>
      <c r="I441" s="7">
        <v>46240</v>
      </c>
      <c r="J441" s="7">
        <f t="shared" si="19"/>
        <v>46241</v>
      </c>
      <c r="K441" s="8">
        <v>90</v>
      </c>
      <c r="L441" s="9">
        <f t="shared" si="18"/>
        <v>0</v>
      </c>
      <c r="M441" s="9" t="str" cm="1">
        <f t="array" ref="M441">_xlfn.IFS(L441&gt;=10,"HIGH",L441=0,"LOW",L441&lt;=9,"MEDIUM")</f>
        <v>LOW</v>
      </c>
      <c r="N441" s="9" t="str" cm="1">
        <f t="array" ref="N441">_xlfn.IFS(M441="HIGH",K441*L441,M441="MEDIUM",K441*L441,M441="LOW","NA")</f>
        <v>NA</v>
      </c>
      <c r="O441" s="18" t="str">
        <f t="shared" si="20"/>
        <v>cleared</v>
      </c>
    </row>
    <row r="442" spans="1:15" x14ac:dyDescent="0.25">
      <c r="A442" s="17">
        <v>438</v>
      </c>
      <c r="B442" s="6" t="s">
        <v>475</v>
      </c>
      <c r="C442" s="6" t="s">
        <v>16</v>
      </c>
      <c r="D442" s="6" t="s">
        <v>20</v>
      </c>
      <c r="E442" s="6" t="s">
        <v>61</v>
      </c>
      <c r="F442" s="6" t="s">
        <v>14</v>
      </c>
      <c r="G442" s="7">
        <v>46221</v>
      </c>
      <c r="H442" s="6">
        <v>6</v>
      </c>
      <c r="I442" s="7">
        <v>46227</v>
      </c>
      <c r="J442" s="7">
        <f t="shared" si="19"/>
        <v>46227</v>
      </c>
      <c r="K442" s="8">
        <v>110</v>
      </c>
      <c r="L442" s="9">
        <f t="shared" si="18"/>
        <v>0</v>
      </c>
      <c r="M442" s="9" t="str" cm="1">
        <f t="array" ref="M442">_xlfn.IFS(L442&gt;=10,"HIGH",L442=0,"LOW",L442&lt;=9,"MEDIUM")</f>
        <v>LOW</v>
      </c>
      <c r="N442" s="9" t="str" cm="1">
        <f t="array" ref="N442">_xlfn.IFS(M442="HIGH",K442*L442,M442="MEDIUM",K442*L442,M442="LOW","NA")</f>
        <v>NA</v>
      </c>
      <c r="O442" s="18" t="str">
        <f t="shared" si="20"/>
        <v>cleared</v>
      </c>
    </row>
    <row r="443" spans="1:15" x14ac:dyDescent="0.25">
      <c r="A443" s="17">
        <v>439</v>
      </c>
      <c r="B443" s="6" t="s">
        <v>476</v>
      </c>
      <c r="C443" s="6" t="s">
        <v>16</v>
      </c>
      <c r="D443" s="6" t="s">
        <v>20</v>
      </c>
      <c r="E443" s="6" t="s">
        <v>35</v>
      </c>
      <c r="F443" s="6" t="s">
        <v>24</v>
      </c>
      <c r="G443" s="7">
        <v>46220</v>
      </c>
      <c r="H443" s="6">
        <v>7</v>
      </c>
      <c r="I443" s="7">
        <v>46227</v>
      </c>
      <c r="J443" s="7">
        <f t="shared" si="19"/>
        <v>46227</v>
      </c>
      <c r="K443" s="8">
        <v>110</v>
      </c>
      <c r="L443" s="9">
        <f t="shared" si="18"/>
        <v>0</v>
      </c>
      <c r="M443" s="9" t="str" cm="1">
        <f t="array" ref="M443">_xlfn.IFS(L443&gt;=10,"HIGH",L443=0,"LOW",L443&lt;=9,"MEDIUM")</f>
        <v>LOW</v>
      </c>
      <c r="N443" s="9" t="str" cm="1">
        <f t="array" ref="N443">_xlfn.IFS(M443="HIGH",K443*L443,M443="MEDIUM",K443*L443,M443="LOW","NA")</f>
        <v>NA</v>
      </c>
      <c r="O443" s="18" t="str">
        <f t="shared" si="20"/>
        <v>cleared</v>
      </c>
    </row>
    <row r="444" spans="1:15" x14ac:dyDescent="0.25">
      <c r="A444" s="17">
        <v>440</v>
      </c>
      <c r="B444" s="6" t="s">
        <v>477</v>
      </c>
      <c r="C444" s="6" t="s">
        <v>11</v>
      </c>
      <c r="D444" s="6" t="s">
        <v>20</v>
      </c>
      <c r="E444" s="6" t="s">
        <v>21</v>
      </c>
      <c r="F444" s="6" t="s">
        <v>24</v>
      </c>
      <c r="G444" s="7">
        <v>46254</v>
      </c>
      <c r="H444" s="6">
        <v>7</v>
      </c>
      <c r="I444" s="7">
        <v>46258</v>
      </c>
      <c r="J444" s="7">
        <f t="shared" si="19"/>
        <v>46261</v>
      </c>
      <c r="K444" s="8">
        <v>60</v>
      </c>
      <c r="L444" s="9">
        <f t="shared" si="18"/>
        <v>0</v>
      </c>
      <c r="M444" s="9" t="str" cm="1">
        <f t="array" ref="M444">_xlfn.IFS(L444&gt;=10,"HIGH",L444=0,"LOW",L444&lt;=9,"MEDIUM")</f>
        <v>LOW</v>
      </c>
      <c r="N444" s="9" t="str" cm="1">
        <f t="array" ref="N444">_xlfn.IFS(M444="HIGH",K444*L444,M444="MEDIUM",K444*L444,M444="LOW","NA")</f>
        <v>NA</v>
      </c>
      <c r="O444" s="18" t="str">
        <f t="shared" si="20"/>
        <v>cleared</v>
      </c>
    </row>
    <row r="445" spans="1:15" x14ac:dyDescent="0.25">
      <c r="A445" s="17">
        <v>441</v>
      </c>
      <c r="B445" s="6" t="s">
        <v>478</v>
      </c>
      <c r="C445" s="6" t="s">
        <v>11</v>
      </c>
      <c r="D445" s="6" t="s">
        <v>20</v>
      </c>
      <c r="E445" s="6" t="s">
        <v>23</v>
      </c>
      <c r="F445" s="6" t="s">
        <v>24</v>
      </c>
      <c r="G445" s="7">
        <v>46252</v>
      </c>
      <c r="H445" s="6">
        <v>5</v>
      </c>
      <c r="I445" s="7">
        <v>46254</v>
      </c>
      <c r="J445" s="7">
        <f t="shared" si="19"/>
        <v>46257</v>
      </c>
      <c r="K445" s="8">
        <v>90</v>
      </c>
      <c r="L445" s="9">
        <f t="shared" si="18"/>
        <v>0</v>
      </c>
      <c r="M445" s="9" t="str" cm="1">
        <f t="array" ref="M445">_xlfn.IFS(L445&gt;=10,"HIGH",L445=0,"LOW",L445&lt;=9,"MEDIUM")</f>
        <v>LOW</v>
      </c>
      <c r="N445" s="9" t="str" cm="1">
        <f t="array" ref="N445">_xlfn.IFS(M445="HIGH",K445*L445,M445="MEDIUM",K445*L445,M445="LOW","NA")</f>
        <v>NA</v>
      </c>
      <c r="O445" s="18" t="str">
        <f t="shared" si="20"/>
        <v>cleared</v>
      </c>
    </row>
    <row r="446" spans="1:15" x14ac:dyDescent="0.25">
      <c r="A446" s="17">
        <v>442</v>
      </c>
      <c r="B446" s="6" t="s">
        <v>479</v>
      </c>
      <c r="C446" s="6" t="s">
        <v>37</v>
      </c>
      <c r="D446" s="6" t="s">
        <v>56</v>
      </c>
      <c r="E446" s="6" t="s">
        <v>46</v>
      </c>
      <c r="F446" s="6" t="s">
        <v>14</v>
      </c>
      <c r="G446" s="7">
        <v>46187</v>
      </c>
      <c r="H446" s="6">
        <v>6</v>
      </c>
      <c r="I446" s="6"/>
      <c r="J446" s="7">
        <f t="shared" si="19"/>
        <v>46193</v>
      </c>
      <c r="K446" s="8">
        <v>130</v>
      </c>
      <c r="L446" s="9">
        <f t="shared" si="18"/>
        <v>66</v>
      </c>
      <c r="M446" s="9" t="str" cm="1">
        <f t="array" ref="M446">_xlfn.IFS(L446&gt;=10,"HIGH",L446=0,"LOW",L446&lt;=9,"MEDIUM")</f>
        <v>HIGH</v>
      </c>
      <c r="N446" s="9" cm="1">
        <f t="array" ref="N446">_xlfn.IFS(M446="HIGH",K446*L446,M446="MEDIUM",K446*L446,M446="LOW","NA")</f>
        <v>8580</v>
      </c>
      <c r="O446" s="18" t="str">
        <f t="shared" si="20"/>
        <v>still in yard</v>
      </c>
    </row>
    <row r="447" spans="1:15" x14ac:dyDescent="0.25">
      <c r="A447" s="17">
        <v>443</v>
      </c>
      <c r="B447" s="6" t="s">
        <v>480</v>
      </c>
      <c r="C447" s="6" t="s">
        <v>16</v>
      </c>
      <c r="D447" s="6" t="s">
        <v>12</v>
      </c>
      <c r="E447" s="6" t="s">
        <v>21</v>
      </c>
      <c r="F447" s="6" t="s">
        <v>29</v>
      </c>
      <c r="G447" s="7">
        <v>46199</v>
      </c>
      <c r="H447" s="6">
        <v>3</v>
      </c>
      <c r="I447" s="6"/>
      <c r="J447" s="7">
        <f t="shared" si="19"/>
        <v>46202</v>
      </c>
      <c r="K447" s="8">
        <v>180</v>
      </c>
      <c r="L447" s="9">
        <f t="shared" si="18"/>
        <v>57</v>
      </c>
      <c r="M447" s="9" t="str" cm="1">
        <f t="array" ref="M447">_xlfn.IFS(L447&gt;=10,"HIGH",L447=0,"LOW",L447&lt;=9,"MEDIUM")</f>
        <v>HIGH</v>
      </c>
      <c r="N447" s="9" cm="1">
        <f t="array" ref="N447">_xlfn.IFS(M447="HIGH",K447*L447,M447="MEDIUM",K447*L447,M447="LOW","NA")</f>
        <v>10260</v>
      </c>
      <c r="O447" s="18" t="str">
        <f t="shared" si="20"/>
        <v>still in yard</v>
      </c>
    </row>
    <row r="448" spans="1:15" x14ac:dyDescent="0.25">
      <c r="A448" s="17">
        <v>444</v>
      </c>
      <c r="B448" s="6" t="s">
        <v>481</v>
      </c>
      <c r="C448" s="6" t="s">
        <v>16</v>
      </c>
      <c r="D448" s="6" t="s">
        <v>49</v>
      </c>
      <c r="E448" s="6" t="s">
        <v>23</v>
      </c>
      <c r="F448" s="6" t="s">
        <v>29</v>
      </c>
      <c r="G448" s="7">
        <v>46185</v>
      </c>
      <c r="H448" s="6">
        <v>4</v>
      </c>
      <c r="I448" s="6"/>
      <c r="J448" s="7">
        <f t="shared" si="19"/>
        <v>46189</v>
      </c>
      <c r="K448" s="8">
        <v>180</v>
      </c>
      <c r="L448" s="9">
        <f t="shared" si="18"/>
        <v>70</v>
      </c>
      <c r="M448" s="9" t="str" cm="1">
        <f t="array" ref="M448">_xlfn.IFS(L448&gt;=10,"HIGH",L448=0,"LOW",L448&lt;=9,"MEDIUM")</f>
        <v>HIGH</v>
      </c>
      <c r="N448" s="9" cm="1">
        <f t="array" ref="N448">_xlfn.IFS(M448="HIGH",K448*L448,M448="MEDIUM",K448*L448,M448="LOW","NA")</f>
        <v>12600</v>
      </c>
      <c r="O448" s="18" t="str">
        <f t="shared" si="20"/>
        <v>still in yard</v>
      </c>
    </row>
    <row r="449" spans="1:15" x14ac:dyDescent="0.25">
      <c r="A449" s="17">
        <v>445</v>
      </c>
      <c r="B449" s="6" t="s">
        <v>482</v>
      </c>
      <c r="C449" s="6" t="s">
        <v>37</v>
      </c>
      <c r="D449" s="6" t="s">
        <v>34</v>
      </c>
      <c r="E449" s="6" t="s">
        <v>23</v>
      </c>
      <c r="F449" s="6" t="s">
        <v>14</v>
      </c>
      <c r="G449" s="7">
        <v>46216</v>
      </c>
      <c r="H449" s="6">
        <v>4</v>
      </c>
      <c r="I449" s="7">
        <v>46220</v>
      </c>
      <c r="J449" s="7">
        <f t="shared" si="19"/>
        <v>46220</v>
      </c>
      <c r="K449" s="8">
        <v>110</v>
      </c>
      <c r="L449" s="9">
        <f t="shared" si="18"/>
        <v>0</v>
      </c>
      <c r="M449" s="9" t="str" cm="1">
        <f t="array" ref="M449">_xlfn.IFS(L449&gt;=10,"HIGH",L449=0,"LOW",L449&lt;=9,"MEDIUM")</f>
        <v>LOW</v>
      </c>
      <c r="N449" s="9" t="str" cm="1">
        <f t="array" ref="N449">_xlfn.IFS(M449="HIGH",K449*L449,M449="MEDIUM",K449*L449,M449="LOW","NA")</f>
        <v>NA</v>
      </c>
      <c r="O449" s="18" t="str">
        <f t="shared" si="20"/>
        <v>cleared</v>
      </c>
    </row>
    <row r="450" spans="1:15" x14ac:dyDescent="0.25">
      <c r="A450" s="17">
        <v>446</v>
      </c>
      <c r="B450" s="6" t="s">
        <v>483</v>
      </c>
      <c r="C450" s="6" t="s">
        <v>11</v>
      </c>
      <c r="D450" s="6" t="s">
        <v>12</v>
      </c>
      <c r="E450" s="6" t="s">
        <v>46</v>
      </c>
      <c r="F450" s="6" t="s">
        <v>14</v>
      </c>
      <c r="G450" s="7">
        <v>46245</v>
      </c>
      <c r="H450" s="6">
        <v>5</v>
      </c>
      <c r="I450" s="6"/>
      <c r="J450" s="7">
        <f t="shared" si="19"/>
        <v>46250</v>
      </c>
      <c r="K450" s="8">
        <v>110</v>
      </c>
      <c r="L450" s="9">
        <f t="shared" si="18"/>
        <v>9</v>
      </c>
      <c r="M450" s="9" t="str" cm="1">
        <f t="array" ref="M450">_xlfn.IFS(L450&gt;=10,"HIGH",L450=0,"LOW",L450&lt;=9,"MEDIUM")</f>
        <v>MEDIUM</v>
      </c>
      <c r="N450" s="9" cm="1">
        <f t="array" ref="N450">_xlfn.IFS(M450="HIGH",K450*L450,M450="MEDIUM",K450*L450,M450="LOW","NA")</f>
        <v>990</v>
      </c>
      <c r="O450" s="18" t="str">
        <f t="shared" si="20"/>
        <v>still in yard</v>
      </c>
    </row>
    <row r="451" spans="1:15" x14ac:dyDescent="0.25">
      <c r="A451" s="17">
        <v>447</v>
      </c>
      <c r="B451" s="6" t="s">
        <v>484</v>
      </c>
      <c r="C451" s="6" t="s">
        <v>11</v>
      </c>
      <c r="D451" s="6" t="s">
        <v>17</v>
      </c>
      <c r="E451" s="6" t="s">
        <v>61</v>
      </c>
      <c r="F451" s="6" t="s">
        <v>14</v>
      </c>
      <c r="G451" s="7">
        <v>46217</v>
      </c>
      <c r="H451" s="6">
        <v>6</v>
      </c>
      <c r="I451" s="6"/>
      <c r="J451" s="7">
        <f t="shared" si="19"/>
        <v>46223</v>
      </c>
      <c r="K451" s="8">
        <v>130</v>
      </c>
      <c r="L451" s="9">
        <f t="shared" si="18"/>
        <v>36</v>
      </c>
      <c r="M451" s="9" t="str" cm="1">
        <f t="array" ref="M451">_xlfn.IFS(L451&gt;=10,"HIGH",L451=0,"LOW",L451&lt;=9,"MEDIUM")</f>
        <v>HIGH</v>
      </c>
      <c r="N451" s="9" cm="1">
        <f t="array" ref="N451">_xlfn.IFS(M451="HIGH",K451*L451,M451="MEDIUM",K451*L451,M451="LOW","NA")</f>
        <v>4680</v>
      </c>
      <c r="O451" s="18" t="str">
        <f t="shared" si="20"/>
        <v>still in yard</v>
      </c>
    </row>
    <row r="452" spans="1:15" x14ac:dyDescent="0.25">
      <c r="A452" s="17">
        <v>448</v>
      </c>
      <c r="B452" s="6" t="s">
        <v>485</v>
      </c>
      <c r="C452" s="6" t="s">
        <v>16</v>
      </c>
      <c r="D452" s="6" t="s">
        <v>17</v>
      </c>
      <c r="E452" s="6" t="s">
        <v>46</v>
      </c>
      <c r="F452" s="6" t="s">
        <v>24</v>
      </c>
      <c r="G452" s="7">
        <v>46233</v>
      </c>
      <c r="H452" s="6">
        <v>5</v>
      </c>
      <c r="I452" s="7">
        <v>46238</v>
      </c>
      <c r="J452" s="7">
        <f t="shared" si="19"/>
        <v>46238</v>
      </c>
      <c r="K452" s="8">
        <v>75</v>
      </c>
      <c r="L452" s="9">
        <f t="shared" si="18"/>
        <v>0</v>
      </c>
      <c r="M452" s="9" t="str" cm="1">
        <f t="array" ref="M452">_xlfn.IFS(L452&gt;=10,"HIGH",L452=0,"LOW",L452&lt;=9,"MEDIUM")</f>
        <v>LOW</v>
      </c>
      <c r="N452" s="9" t="str" cm="1">
        <f t="array" ref="N452">_xlfn.IFS(M452="HIGH",K452*L452,M452="MEDIUM",K452*L452,M452="LOW","NA")</f>
        <v>NA</v>
      </c>
      <c r="O452" s="18" t="str">
        <f t="shared" si="20"/>
        <v>cleared</v>
      </c>
    </row>
    <row r="453" spans="1:15" x14ac:dyDescent="0.25">
      <c r="A453" s="17">
        <v>449</v>
      </c>
      <c r="B453" s="6" t="s">
        <v>486</v>
      </c>
      <c r="C453" s="6" t="s">
        <v>37</v>
      </c>
      <c r="D453" s="6" t="s">
        <v>56</v>
      </c>
      <c r="E453" s="6" t="s">
        <v>44</v>
      </c>
      <c r="F453" s="6" t="s">
        <v>14</v>
      </c>
      <c r="G453" s="7">
        <v>46252</v>
      </c>
      <c r="H453" s="6">
        <v>6</v>
      </c>
      <c r="I453" s="7">
        <v>46259</v>
      </c>
      <c r="J453" s="7">
        <f t="shared" si="19"/>
        <v>46258</v>
      </c>
      <c r="K453" s="8">
        <v>130</v>
      </c>
      <c r="L453" s="9">
        <f t="shared" ref="L453:L516" si="21">MAX(0, IF(I453="", $C$2-J453, I453-J453))</f>
        <v>1</v>
      </c>
      <c r="M453" s="9" t="str" cm="1">
        <f t="array" ref="M453">_xlfn.IFS(L453&gt;=10,"HIGH",L453=0,"LOW",L453&lt;=9,"MEDIUM")</f>
        <v>MEDIUM</v>
      </c>
      <c r="N453" s="9" cm="1">
        <f t="array" ref="N453">_xlfn.IFS(M453="HIGH",K453*L453,M453="MEDIUM",K453*L453,M453="LOW","NA")</f>
        <v>130</v>
      </c>
      <c r="O453" s="18" t="str">
        <f t="shared" si="20"/>
        <v>cleared</v>
      </c>
    </row>
    <row r="454" spans="1:15" x14ac:dyDescent="0.25">
      <c r="A454" s="17">
        <v>450</v>
      </c>
      <c r="B454" s="6" t="s">
        <v>487</v>
      </c>
      <c r="C454" s="6" t="s">
        <v>37</v>
      </c>
      <c r="D454" s="6" t="s">
        <v>20</v>
      </c>
      <c r="E454" s="6" t="s">
        <v>42</v>
      </c>
      <c r="F454" s="6" t="s">
        <v>27</v>
      </c>
      <c r="G454" s="7">
        <v>46239</v>
      </c>
      <c r="H454" s="6">
        <v>5</v>
      </c>
      <c r="I454" s="7">
        <v>46240</v>
      </c>
      <c r="J454" s="7">
        <f t="shared" ref="J454:J517" si="22">G454+H454</f>
        <v>46244</v>
      </c>
      <c r="K454" s="8">
        <v>60</v>
      </c>
      <c r="L454" s="9">
        <f t="shared" si="21"/>
        <v>0</v>
      </c>
      <c r="M454" s="9" t="str" cm="1">
        <f t="array" ref="M454">_xlfn.IFS(L454&gt;=10,"HIGH",L454=0,"LOW",L454&lt;=9,"MEDIUM")</f>
        <v>LOW</v>
      </c>
      <c r="N454" s="9" t="str" cm="1">
        <f t="array" ref="N454">_xlfn.IFS(M454="HIGH",K454*L454,M454="MEDIUM",K454*L454,M454="LOW","NA")</f>
        <v>NA</v>
      </c>
      <c r="O454" s="18" t="str">
        <f t="shared" ref="O454:O517" si="23">IF(I454="","still in yard","cleared")</f>
        <v>cleared</v>
      </c>
    </row>
    <row r="455" spans="1:15" x14ac:dyDescent="0.25">
      <c r="A455" s="17">
        <v>451</v>
      </c>
      <c r="B455" s="6" t="s">
        <v>488</v>
      </c>
      <c r="C455" s="6" t="s">
        <v>11</v>
      </c>
      <c r="D455" s="6" t="s">
        <v>26</v>
      </c>
      <c r="E455" s="6" t="s">
        <v>42</v>
      </c>
      <c r="F455" s="6" t="s">
        <v>14</v>
      </c>
      <c r="G455" s="7">
        <v>46174</v>
      </c>
      <c r="H455" s="6">
        <v>7</v>
      </c>
      <c r="I455" s="6"/>
      <c r="J455" s="7">
        <f t="shared" si="22"/>
        <v>46181</v>
      </c>
      <c r="K455" s="8">
        <v>75</v>
      </c>
      <c r="L455" s="9">
        <f t="shared" si="21"/>
        <v>78</v>
      </c>
      <c r="M455" s="9" t="str" cm="1">
        <f t="array" ref="M455">_xlfn.IFS(L455&gt;=10,"HIGH",L455=0,"LOW",L455&lt;=9,"MEDIUM")</f>
        <v>HIGH</v>
      </c>
      <c r="N455" s="9" cm="1">
        <f t="array" ref="N455">_xlfn.IFS(M455="HIGH",K455*L455,M455="MEDIUM",K455*L455,M455="LOW","NA")</f>
        <v>5850</v>
      </c>
      <c r="O455" s="18" t="str">
        <f t="shared" si="23"/>
        <v>still in yard</v>
      </c>
    </row>
    <row r="456" spans="1:15" x14ac:dyDescent="0.25">
      <c r="A456" s="17">
        <v>452</v>
      </c>
      <c r="B456" s="6" t="s">
        <v>489</v>
      </c>
      <c r="C456" s="6" t="s">
        <v>16</v>
      </c>
      <c r="D456" s="6" t="s">
        <v>20</v>
      </c>
      <c r="E456" s="6" t="s">
        <v>42</v>
      </c>
      <c r="F456" s="6" t="s">
        <v>24</v>
      </c>
      <c r="G456" s="7">
        <v>46246</v>
      </c>
      <c r="H456" s="6">
        <v>4</v>
      </c>
      <c r="I456" s="6"/>
      <c r="J456" s="7">
        <f t="shared" si="22"/>
        <v>46250</v>
      </c>
      <c r="K456" s="8">
        <v>75</v>
      </c>
      <c r="L456" s="9">
        <f t="shared" si="21"/>
        <v>9</v>
      </c>
      <c r="M456" s="9" t="str" cm="1">
        <f t="array" ref="M456">_xlfn.IFS(L456&gt;=10,"HIGH",L456=0,"LOW",L456&lt;=9,"MEDIUM")</f>
        <v>MEDIUM</v>
      </c>
      <c r="N456" s="9" cm="1">
        <f t="array" ref="N456">_xlfn.IFS(M456="HIGH",K456*L456,M456="MEDIUM",K456*L456,M456="LOW","NA")</f>
        <v>675</v>
      </c>
      <c r="O456" s="18" t="str">
        <f t="shared" si="23"/>
        <v>still in yard</v>
      </c>
    </row>
    <row r="457" spans="1:15" x14ac:dyDescent="0.25">
      <c r="A457" s="17">
        <v>453</v>
      </c>
      <c r="B457" s="6" t="s">
        <v>490</v>
      </c>
      <c r="C457" s="6" t="s">
        <v>11</v>
      </c>
      <c r="D457" s="6" t="s">
        <v>34</v>
      </c>
      <c r="E457" s="6" t="s">
        <v>42</v>
      </c>
      <c r="F457" s="6" t="s">
        <v>29</v>
      </c>
      <c r="G457" s="7">
        <v>46183</v>
      </c>
      <c r="H457" s="6">
        <v>3</v>
      </c>
      <c r="I457" s="6"/>
      <c r="J457" s="7">
        <f t="shared" si="22"/>
        <v>46186</v>
      </c>
      <c r="K457" s="8">
        <v>150</v>
      </c>
      <c r="L457" s="9">
        <f t="shared" si="21"/>
        <v>73</v>
      </c>
      <c r="M457" s="9" t="str" cm="1">
        <f t="array" ref="M457">_xlfn.IFS(L457&gt;=10,"HIGH",L457=0,"LOW",L457&lt;=9,"MEDIUM")</f>
        <v>HIGH</v>
      </c>
      <c r="N457" s="9" cm="1">
        <f t="array" ref="N457">_xlfn.IFS(M457="HIGH",K457*L457,M457="MEDIUM",K457*L457,M457="LOW","NA")</f>
        <v>10950</v>
      </c>
      <c r="O457" s="18" t="str">
        <f t="shared" si="23"/>
        <v>still in yard</v>
      </c>
    </row>
    <row r="458" spans="1:15" x14ac:dyDescent="0.25">
      <c r="A458" s="17">
        <v>454</v>
      </c>
      <c r="B458" s="6" t="s">
        <v>491</v>
      </c>
      <c r="C458" s="6" t="s">
        <v>33</v>
      </c>
      <c r="D458" s="6" t="s">
        <v>54</v>
      </c>
      <c r="E458" s="6" t="s">
        <v>42</v>
      </c>
      <c r="F458" s="6" t="s">
        <v>27</v>
      </c>
      <c r="G458" s="7">
        <v>46240</v>
      </c>
      <c r="H458" s="6">
        <v>7</v>
      </c>
      <c r="I458" s="7">
        <v>46249</v>
      </c>
      <c r="J458" s="7">
        <f t="shared" si="22"/>
        <v>46247</v>
      </c>
      <c r="K458" s="8">
        <v>75</v>
      </c>
      <c r="L458" s="9">
        <f t="shared" si="21"/>
        <v>2</v>
      </c>
      <c r="M458" s="9" t="str" cm="1">
        <f t="array" ref="M458">_xlfn.IFS(L458&gt;=10,"HIGH",L458=0,"LOW",L458&lt;=9,"MEDIUM")</f>
        <v>MEDIUM</v>
      </c>
      <c r="N458" s="9" cm="1">
        <f t="array" ref="N458">_xlfn.IFS(M458="HIGH",K458*L458,M458="MEDIUM",K458*L458,M458="LOW","NA")</f>
        <v>150</v>
      </c>
      <c r="O458" s="18" t="str">
        <f t="shared" si="23"/>
        <v>cleared</v>
      </c>
    </row>
    <row r="459" spans="1:15" x14ac:dyDescent="0.25">
      <c r="A459" s="17">
        <v>455</v>
      </c>
      <c r="B459" s="6" t="s">
        <v>492</v>
      </c>
      <c r="C459" s="6" t="s">
        <v>11</v>
      </c>
      <c r="D459" s="6" t="s">
        <v>12</v>
      </c>
      <c r="E459" s="6" t="s">
        <v>18</v>
      </c>
      <c r="F459" s="6" t="s">
        <v>27</v>
      </c>
      <c r="G459" s="7">
        <v>46230</v>
      </c>
      <c r="H459" s="6">
        <v>5</v>
      </c>
      <c r="I459" s="7">
        <v>46235</v>
      </c>
      <c r="J459" s="7">
        <f t="shared" si="22"/>
        <v>46235</v>
      </c>
      <c r="K459" s="8">
        <v>110</v>
      </c>
      <c r="L459" s="9">
        <f t="shared" si="21"/>
        <v>0</v>
      </c>
      <c r="M459" s="9" t="str" cm="1">
        <f t="array" ref="M459">_xlfn.IFS(L459&gt;=10,"HIGH",L459=0,"LOW",L459&lt;=9,"MEDIUM")</f>
        <v>LOW</v>
      </c>
      <c r="N459" s="9" t="str" cm="1">
        <f t="array" ref="N459">_xlfn.IFS(M459="HIGH",K459*L459,M459="MEDIUM",K459*L459,M459="LOW","NA")</f>
        <v>NA</v>
      </c>
      <c r="O459" s="18" t="str">
        <f t="shared" si="23"/>
        <v>cleared</v>
      </c>
    </row>
    <row r="460" spans="1:15" x14ac:dyDescent="0.25">
      <c r="A460" s="17">
        <v>456</v>
      </c>
      <c r="B460" s="6" t="s">
        <v>493</v>
      </c>
      <c r="C460" s="6" t="s">
        <v>16</v>
      </c>
      <c r="D460" s="6" t="s">
        <v>41</v>
      </c>
      <c r="E460" s="6" t="s">
        <v>61</v>
      </c>
      <c r="F460" s="6" t="s">
        <v>24</v>
      </c>
      <c r="G460" s="7">
        <v>46250</v>
      </c>
      <c r="H460" s="6">
        <v>7</v>
      </c>
      <c r="I460" s="7">
        <v>46257</v>
      </c>
      <c r="J460" s="7">
        <f t="shared" si="22"/>
        <v>46257</v>
      </c>
      <c r="K460" s="8">
        <v>75</v>
      </c>
      <c r="L460" s="9">
        <f t="shared" si="21"/>
        <v>0</v>
      </c>
      <c r="M460" s="9" t="str" cm="1">
        <f t="array" ref="M460">_xlfn.IFS(L460&gt;=10,"HIGH",L460=0,"LOW",L460&lt;=9,"MEDIUM")</f>
        <v>LOW</v>
      </c>
      <c r="N460" s="9" t="str" cm="1">
        <f t="array" ref="N460">_xlfn.IFS(M460="HIGH",K460*L460,M460="MEDIUM",K460*L460,M460="LOW","NA")</f>
        <v>NA</v>
      </c>
      <c r="O460" s="18" t="str">
        <f t="shared" si="23"/>
        <v>cleared</v>
      </c>
    </row>
    <row r="461" spans="1:15" x14ac:dyDescent="0.25">
      <c r="A461" s="17">
        <v>457</v>
      </c>
      <c r="B461" s="6" t="s">
        <v>494</v>
      </c>
      <c r="C461" s="6" t="s">
        <v>16</v>
      </c>
      <c r="D461" s="6" t="s">
        <v>34</v>
      </c>
      <c r="E461" s="6" t="s">
        <v>13</v>
      </c>
      <c r="F461" s="6" t="s">
        <v>14</v>
      </c>
      <c r="G461" s="7">
        <v>46175</v>
      </c>
      <c r="H461" s="6">
        <v>5</v>
      </c>
      <c r="I461" s="7">
        <v>46181</v>
      </c>
      <c r="J461" s="7">
        <f t="shared" si="22"/>
        <v>46180</v>
      </c>
      <c r="K461" s="8">
        <v>110</v>
      </c>
      <c r="L461" s="9">
        <f t="shared" si="21"/>
        <v>1</v>
      </c>
      <c r="M461" s="9" t="str" cm="1">
        <f t="array" ref="M461">_xlfn.IFS(L461&gt;=10,"HIGH",L461=0,"LOW",L461&lt;=9,"MEDIUM")</f>
        <v>MEDIUM</v>
      </c>
      <c r="N461" s="9" cm="1">
        <f t="array" ref="N461">_xlfn.IFS(M461="HIGH",K461*L461,M461="MEDIUM",K461*L461,M461="LOW","NA")</f>
        <v>110</v>
      </c>
      <c r="O461" s="18" t="str">
        <f t="shared" si="23"/>
        <v>cleared</v>
      </c>
    </row>
    <row r="462" spans="1:15" x14ac:dyDescent="0.25">
      <c r="A462" s="17">
        <v>458</v>
      </c>
      <c r="B462" s="6" t="s">
        <v>495</v>
      </c>
      <c r="C462" s="6" t="s">
        <v>37</v>
      </c>
      <c r="D462" s="6" t="s">
        <v>31</v>
      </c>
      <c r="E462" s="6" t="s">
        <v>46</v>
      </c>
      <c r="F462" s="6" t="s">
        <v>14</v>
      </c>
      <c r="G462" s="7">
        <v>46199</v>
      </c>
      <c r="H462" s="6">
        <v>7</v>
      </c>
      <c r="I462" s="6"/>
      <c r="J462" s="7">
        <f t="shared" si="22"/>
        <v>46206</v>
      </c>
      <c r="K462" s="8">
        <v>110</v>
      </c>
      <c r="L462" s="9">
        <f t="shared" si="21"/>
        <v>53</v>
      </c>
      <c r="M462" s="9" t="str" cm="1">
        <f t="array" ref="M462">_xlfn.IFS(L462&gt;=10,"HIGH",L462=0,"LOW",L462&lt;=9,"MEDIUM")</f>
        <v>HIGH</v>
      </c>
      <c r="N462" s="9" cm="1">
        <f t="array" ref="N462">_xlfn.IFS(M462="HIGH",K462*L462,M462="MEDIUM",K462*L462,M462="LOW","NA")</f>
        <v>5830</v>
      </c>
      <c r="O462" s="18" t="str">
        <f t="shared" si="23"/>
        <v>still in yard</v>
      </c>
    </row>
    <row r="463" spans="1:15" x14ac:dyDescent="0.25">
      <c r="A463" s="17">
        <v>459</v>
      </c>
      <c r="B463" s="6" t="s">
        <v>496</v>
      </c>
      <c r="C463" s="6" t="s">
        <v>11</v>
      </c>
      <c r="D463" s="6" t="s">
        <v>26</v>
      </c>
      <c r="E463" s="6" t="s">
        <v>61</v>
      </c>
      <c r="F463" s="6" t="s">
        <v>14</v>
      </c>
      <c r="G463" s="7">
        <v>46250</v>
      </c>
      <c r="H463" s="6">
        <v>5</v>
      </c>
      <c r="I463" s="7">
        <v>46251</v>
      </c>
      <c r="J463" s="7">
        <f t="shared" si="22"/>
        <v>46255</v>
      </c>
      <c r="K463" s="8">
        <v>75</v>
      </c>
      <c r="L463" s="9">
        <f t="shared" si="21"/>
        <v>0</v>
      </c>
      <c r="M463" s="9" t="str" cm="1">
        <f t="array" ref="M463">_xlfn.IFS(L463&gt;=10,"HIGH",L463=0,"LOW",L463&lt;=9,"MEDIUM")</f>
        <v>LOW</v>
      </c>
      <c r="N463" s="9" t="str" cm="1">
        <f t="array" ref="N463">_xlfn.IFS(M463="HIGH",K463*L463,M463="MEDIUM",K463*L463,M463="LOW","NA")</f>
        <v>NA</v>
      </c>
      <c r="O463" s="18" t="str">
        <f t="shared" si="23"/>
        <v>cleared</v>
      </c>
    </row>
    <row r="464" spans="1:15" x14ac:dyDescent="0.25">
      <c r="A464" s="17">
        <v>460</v>
      </c>
      <c r="B464" s="6" t="s">
        <v>497</v>
      </c>
      <c r="C464" s="6" t="s">
        <v>37</v>
      </c>
      <c r="D464" s="6" t="s">
        <v>20</v>
      </c>
      <c r="E464" s="6" t="s">
        <v>21</v>
      </c>
      <c r="F464" s="6" t="s">
        <v>29</v>
      </c>
      <c r="G464" s="7">
        <v>46187</v>
      </c>
      <c r="H464" s="6">
        <v>3</v>
      </c>
      <c r="I464" s="7">
        <v>46188</v>
      </c>
      <c r="J464" s="7">
        <f t="shared" si="22"/>
        <v>46190</v>
      </c>
      <c r="K464" s="8">
        <v>180</v>
      </c>
      <c r="L464" s="9">
        <f t="shared" si="21"/>
        <v>0</v>
      </c>
      <c r="M464" s="9" t="str" cm="1">
        <f t="array" ref="M464">_xlfn.IFS(L464&gt;=10,"HIGH",L464=0,"LOW",L464&lt;=9,"MEDIUM")</f>
        <v>LOW</v>
      </c>
      <c r="N464" s="9" t="str" cm="1">
        <f t="array" ref="N464">_xlfn.IFS(M464="HIGH",K464*L464,M464="MEDIUM",K464*L464,M464="LOW","NA")</f>
        <v>NA</v>
      </c>
      <c r="O464" s="18" t="str">
        <f t="shared" si="23"/>
        <v>cleared</v>
      </c>
    </row>
    <row r="465" spans="1:15" x14ac:dyDescent="0.25">
      <c r="A465" s="17">
        <v>461</v>
      </c>
      <c r="B465" s="6" t="s">
        <v>498</v>
      </c>
      <c r="C465" s="6" t="s">
        <v>16</v>
      </c>
      <c r="D465" s="6" t="s">
        <v>49</v>
      </c>
      <c r="E465" s="6" t="s">
        <v>13</v>
      </c>
      <c r="F465" s="6" t="s">
        <v>24</v>
      </c>
      <c r="G465" s="7">
        <v>46210</v>
      </c>
      <c r="H465" s="6">
        <v>6</v>
      </c>
      <c r="I465" s="7">
        <v>46211</v>
      </c>
      <c r="J465" s="7">
        <f t="shared" si="22"/>
        <v>46216</v>
      </c>
      <c r="K465" s="8">
        <v>75</v>
      </c>
      <c r="L465" s="9">
        <f t="shared" si="21"/>
        <v>0</v>
      </c>
      <c r="M465" s="9" t="str" cm="1">
        <f t="array" ref="M465">_xlfn.IFS(L465&gt;=10,"HIGH",L465=0,"LOW",L465&lt;=9,"MEDIUM")</f>
        <v>LOW</v>
      </c>
      <c r="N465" s="9" t="str" cm="1">
        <f t="array" ref="N465">_xlfn.IFS(M465="HIGH",K465*L465,M465="MEDIUM",K465*L465,M465="LOW","NA")</f>
        <v>NA</v>
      </c>
      <c r="O465" s="18" t="str">
        <f t="shared" si="23"/>
        <v>cleared</v>
      </c>
    </row>
    <row r="466" spans="1:15" x14ac:dyDescent="0.25">
      <c r="A466" s="17">
        <v>462</v>
      </c>
      <c r="B466" s="6" t="s">
        <v>499</v>
      </c>
      <c r="C466" s="6" t="s">
        <v>11</v>
      </c>
      <c r="D466" s="6" t="s">
        <v>26</v>
      </c>
      <c r="E466" s="6" t="s">
        <v>13</v>
      </c>
      <c r="F466" s="6" t="s">
        <v>24</v>
      </c>
      <c r="G466" s="7">
        <v>46258</v>
      </c>
      <c r="H466" s="6">
        <v>5</v>
      </c>
      <c r="I466" s="7">
        <v>46259</v>
      </c>
      <c r="J466" s="7">
        <f t="shared" si="22"/>
        <v>46263</v>
      </c>
      <c r="K466" s="8">
        <v>110</v>
      </c>
      <c r="L466" s="9">
        <f t="shared" si="21"/>
        <v>0</v>
      </c>
      <c r="M466" s="9" t="str" cm="1">
        <f t="array" ref="M466">_xlfn.IFS(L466&gt;=10,"HIGH",L466=0,"LOW",L466&lt;=9,"MEDIUM")</f>
        <v>LOW</v>
      </c>
      <c r="N466" s="9" t="str" cm="1">
        <f t="array" ref="N466">_xlfn.IFS(M466="HIGH",K466*L466,M466="MEDIUM",K466*L466,M466="LOW","NA")</f>
        <v>NA</v>
      </c>
      <c r="O466" s="18" t="str">
        <f t="shared" si="23"/>
        <v>cleared</v>
      </c>
    </row>
    <row r="467" spans="1:15" x14ac:dyDescent="0.25">
      <c r="A467" s="17">
        <v>463</v>
      </c>
      <c r="B467" s="6" t="s">
        <v>500</v>
      </c>
      <c r="C467" s="6" t="s">
        <v>33</v>
      </c>
      <c r="D467" s="6" t="s">
        <v>49</v>
      </c>
      <c r="E467" s="6" t="s">
        <v>21</v>
      </c>
      <c r="F467" s="6" t="s">
        <v>24</v>
      </c>
      <c r="G467" s="7">
        <v>46200</v>
      </c>
      <c r="H467" s="6">
        <v>5</v>
      </c>
      <c r="I467" s="7">
        <v>46205</v>
      </c>
      <c r="J467" s="7">
        <f t="shared" si="22"/>
        <v>46205</v>
      </c>
      <c r="K467" s="8">
        <v>75</v>
      </c>
      <c r="L467" s="9">
        <f t="shared" si="21"/>
        <v>0</v>
      </c>
      <c r="M467" s="9" t="str" cm="1">
        <f t="array" ref="M467">_xlfn.IFS(L467&gt;=10,"HIGH",L467=0,"LOW",L467&lt;=9,"MEDIUM")</f>
        <v>LOW</v>
      </c>
      <c r="N467" s="9" t="str" cm="1">
        <f t="array" ref="N467">_xlfn.IFS(M467="HIGH",K467*L467,M467="MEDIUM",K467*L467,M467="LOW","NA")</f>
        <v>NA</v>
      </c>
      <c r="O467" s="18" t="str">
        <f t="shared" si="23"/>
        <v>cleared</v>
      </c>
    </row>
    <row r="468" spans="1:15" x14ac:dyDescent="0.25">
      <c r="A468" s="17">
        <v>464</v>
      </c>
      <c r="B468" s="6" t="s">
        <v>501</v>
      </c>
      <c r="C468" s="6" t="s">
        <v>16</v>
      </c>
      <c r="D468" s="6" t="s">
        <v>34</v>
      </c>
      <c r="E468" s="6" t="s">
        <v>13</v>
      </c>
      <c r="F468" s="6" t="s">
        <v>29</v>
      </c>
      <c r="G468" s="7">
        <v>46179</v>
      </c>
      <c r="H468" s="6">
        <v>3</v>
      </c>
      <c r="I468" s="6"/>
      <c r="J468" s="7">
        <f t="shared" si="22"/>
        <v>46182</v>
      </c>
      <c r="K468" s="8">
        <v>120</v>
      </c>
      <c r="L468" s="9">
        <f t="shared" si="21"/>
        <v>77</v>
      </c>
      <c r="M468" s="9" t="str" cm="1">
        <f t="array" ref="M468">_xlfn.IFS(L468&gt;=10,"HIGH",L468=0,"LOW",L468&lt;=9,"MEDIUM")</f>
        <v>HIGH</v>
      </c>
      <c r="N468" s="9" cm="1">
        <f t="array" ref="N468">_xlfn.IFS(M468="HIGH",K468*L468,M468="MEDIUM",K468*L468,M468="LOW","NA")</f>
        <v>9240</v>
      </c>
      <c r="O468" s="18" t="str">
        <f t="shared" si="23"/>
        <v>still in yard</v>
      </c>
    </row>
    <row r="469" spans="1:15" x14ac:dyDescent="0.25">
      <c r="A469" s="17">
        <v>465</v>
      </c>
      <c r="B469" s="6" t="s">
        <v>502</v>
      </c>
      <c r="C469" s="6" t="s">
        <v>11</v>
      </c>
      <c r="D469" s="6" t="s">
        <v>12</v>
      </c>
      <c r="E469" s="6" t="s">
        <v>35</v>
      </c>
      <c r="F469" s="6" t="s">
        <v>29</v>
      </c>
      <c r="G469" s="7">
        <v>46174</v>
      </c>
      <c r="H469" s="6">
        <v>4</v>
      </c>
      <c r="I469" s="7">
        <v>46182</v>
      </c>
      <c r="J469" s="7">
        <f t="shared" si="22"/>
        <v>46178</v>
      </c>
      <c r="K469" s="8">
        <v>120</v>
      </c>
      <c r="L469" s="9">
        <f t="shared" si="21"/>
        <v>4</v>
      </c>
      <c r="M469" s="9" t="str" cm="1">
        <f t="array" ref="M469">_xlfn.IFS(L469&gt;=10,"HIGH",L469=0,"LOW",L469&lt;=9,"MEDIUM")</f>
        <v>MEDIUM</v>
      </c>
      <c r="N469" s="9" cm="1">
        <f t="array" ref="N469">_xlfn.IFS(M469="HIGH",K469*L469,M469="MEDIUM",K469*L469,M469="LOW","NA")</f>
        <v>480</v>
      </c>
      <c r="O469" s="18" t="str">
        <f t="shared" si="23"/>
        <v>cleared</v>
      </c>
    </row>
    <row r="470" spans="1:15" x14ac:dyDescent="0.25">
      <c r="A470" s="17">
        <v>466</v>
      </c>
      <c r="B470" s="6" t="s">
        <v>503</v>
      </c>
      <c r="C470" s="6" t="s">
        <v>33</v>
      </c>
      <c r="D470" s="6" t="s">
        <v>12</v>
      </c>
      <c r="E470" s="6" t="s">
        <v>13</v>
      </c>
      <c r="F470" s="6" t="s">
        <v>24</v>
      </c>
      <c r="G470" s="7">
        <v>46216</v>
      </c>
      <c r="H470" s="6">
        <v>5</v>
      </c>
      <c r="I470" s="7">
        <v>46225</v>
      </c>
      <c r="J470" s="7">
        <f t="shared" si="22"/>
        <v>46221</v>
      </c>
      <c r="K470" s="8">
        <v>75</v>
      </c>
      <c r="L470" s="9">
        <f t="shared" si="21"/>
        <v>4</v>
      </c>
      <c r="M470" s="9" t="str" cm="1">
        <f t="array" ref="M470">_xlfn.IFS(L470&gt;=10,"HIGH",L470=0,"LOW",L470&lt;=9,"MEDIUM")</f>
        <v>MEDIUM</v>
      </c>
      <c r="N470" s="9" cm="1">
        <f t="array" ref="N470">_xlfn.IFS(M470="HIGH",K470*L470,M470="MEDIUM",K470*L470,M470="LOW","NA")</f>
        <v>300</v>
      </c>
      <c r="O470" s="18" t="str">
        <f t="shared" si="23"/>
        <v>cleared</v>
      </c>
    </row>
    <row r="471" spans="1:15" x14ac:dyDescent="0.25">
      <c r="A471" s="17">
        <v>467</v>
      </c>
      <c r="B471" s="6" t="s">
        <v>504</v>
      </c>
      <c r="C471" s="6" t="s">
        <v>11</v>
      </c>
      <c r="D471" s="6" t="s">
        <v>26</v>
      </c>
      <c r="E471" s="6" t="s">
        <v>13</v>
      </c>
      <c r="F471" s="6" t="s">
        <v>24</v>
      </c>
      <c r="G471" s="7">
        <v>46195</v>
      </c>
      <c r="H471" s="6">
        <v>5</v>
      </c>
      <c r="I471" s="7">
        <v>46196</v>
      </c>
      <c r="J471" s="7">
        <f t="shared" si="22"/>
        <v>46200</v>
      </c>
      <c r="K471" s="8">
        <v>75</v>
      </c>
      <c r="L471" s="9">
        <f t="shared" si="21"/>
        <v>0</v>
      </c>
      <c r="M471" s="9" t="str" cm="1">
        <f t="array" ref="M471">_xlfn.IFS(L471&gt;=10,"HIGH",L471=0,"LOW",L471&lt;=9,"MEDIUM")</f>
        <v>LOW</v>
      </c>
      <c r="N471" s="9" t="str" cm="1">
        <f t="array" ref="N471">_xlfn.IFS(M471="HIGH",K471*L471,M471="MEDIUM",K471*L471,M471="LOW","NA")</f>
        <v>NA</v>
      </c>
      <c r="O471" s="18" t="str">
        <f t="shared" si="23"/>
        <v>cleared</v>
      </c>
    </row>
    <row r="472" spans="1:15" x14ac:dyDescent="0.25">
      <c r="A472" s="17">
        <v>468</v>
      </c>
      <c r="B472" s="6" t="s">
        <v>505</v>
      </c>
      <c r="C472" s="6" t="s">
        <v>37</v>
      </c>
      <c r="D472" s="6" t="s">
        <v>49</v>
      </c>
      <c r="E472" s="6" t="s">
        <v>61</v>
      </c>
      <c r="F472" s="6" t="s">
        <v>14</v>
      </c>
      <c r="G472" s="7">
        <v>46258</v>
      </c>
      <c r="H472" s="6">
        <v>5</v>
      </c>
      <c r="I472" s="6"/>
      <c r="J472" s="7">
        <f t="shared" si="22"/>
        <v>46263</v>
      </c>
      <c r="K472" s="8">
        <v>75</v>
      </c>
      <c r="L472" s="9">
        <f t="shared" si="21"/>
        <v>0</v>
      </c>
      <c r="M472" s="9" t="str" cm="1">
        <f t="array" ref="M472">_xlfn.IFS(L472&gt;=10,"HIGH",L472=0,"LOW",L472&lt;=9,"MEDIUM")</f>
        <v>LOW</v>
      </c>
      <c r="N472" s="9" t="str" cm="1">
        <f t="array" ref="N472">_xlfn.IFS(M472="HIGH",K472*L472,M472="MEDIUM",K472*L472,M472="LOW","NA")</f>
        <v>NA</v>
      </c>
      <c r="O472" s="18" t="str">
        <f t="shared" si="23"/>
        <v>still in yard</v>
      </c>
    </row>
    <row r="473" spans="1:15" x14ac:dyDescent="0.25">
      <c r="A473" s="17">
        <v>469</v>
      </c>
      <c r="B473" s="6" t="s">
        <v>506</v>
      </c>
      <c r="C473" s="6" t="s">
        <v>33</v>
      </c>
      <c r="D473" s="6" t="s">
        <v>26</v>
      </c>
      <c r="E473" s="6" t="s">
        <v>46</v>
      </c>
      <c r="F473" s="6" t="s">
        <v>24</v>
      </c>
      <c r="G473" s="7">
        <v>46172</v>
      </c>
      <c r="H473" s="6">
        <v>4</v>
      </c>
      <c r="I473" s="7">
        <v>46175</v>
      </c>
      <c r="J473" s="7">
        <f t="shared" si="22"/>
        <v>46176</v>
      </c>
      <c r="K473" s="8">
        <v>130</v>
      </c>
      <c r="L473" s="9">
        <f t="shared" si="21"/>
        <v>0</v>
      </c>
      <c r="M473" s="9" t="str" cm="1">
        <f t="array" ref="M473">_xlfn.IFS(L473&gt;=10,"HIGH",L473=0,"LOW",L473&lt;=9,"MEDIUM")</f>
        <v>LOW</v>
      </c>
      <c r="N473" s="9" t="str" cm="1">
        <f t="array" ref="N473">_xlfn.IFS(M473="HIGH",K473*L473,M473="MEDIUM",K473*L473,M473="LOW","NA")</f>
        <v>NA</v>
      </c>
      <c r="O473" s="18" t="str">
        <f t="shared" si="23"/>
        <v>cleared</v>
      </c>
    </row>
    <row r="474" spans="1:15" x14ac:dyDescent="0.25">
      <c r="A474" s="17">
        <v>470</v>
      </c>
      <c r="B474" s="6" t="s">
        <v>507</v>
      </c>
      <c r="C474" s="6" t="s">
        <v>33</v>
      </c>
      <c r="D474" s="6" t="s">
        <v>12</v>
      </c>
      <c r="E474" s="6" t="s">
        <v>46</v>
      </c>
      <c r="F474" s="6" t="s">
        <v>29</v>
      </c>
      <c r="G474" s="7">
        <v>46249</v>
      </c>
      <c r="H474" s="6">
        <v>4</v>
      </c>
      <c r="I474" s="7">
        <v>46250</v>
      </c>
      <c r="J474" s="7">
        <f t="shared" si="22"/>
        <v>46253</v>
      </c>
      <c r="K474" s="8">
        <v>150</v>
      </c>
      <c r="L474" s="9">
        <f t="shared" si="21"/>
        <v>0</v>
      </c>
      <c r="M474" s="9" t="str" cm="1">
        <f t="array" ref="M474">_xlfn.IFS(L474&gt;=10,"HIGH",L474=0,"LOW",L474&lt;=9,"MEDIUM")</f>
        <v>LOW</v>
      </c>
      <c r="N474" s="9" t="str" cm="1">
        <f t="array" ref="N474">_xlfn.IFS(M474="HIGH",K474*L474,M474="MEDIUM",K474*L474,M474="LOW","NA")</f>
        <v>NA</v>
      </c>
      <c r="O474" s="18" t="str">
        <f t="shared" si="23"/>
        <v>cleared</v>
      </c>
    </row>
    <row r="475" spans="1:15" x14ac:dyDescent="0.25">
      <c r="A475" s="17">
        <v>471</v>
      </c>
      <c r="B475" s="6" t="s">
        <v>508</v>
      </c>
      <c r="C475" s="6" t="s">
        <v>11</v>
      </c>
      <c r="D475" s="6" t="s">
        <v>49</v>
      </c>
      <c r="E475" s="6" t="s">
        <v>61</v>
      </c>
      <c r="F475" s="6" t="s">
        <v>14</v>
      </c>
      <c r="G475" s="7">
        <v>46175</v>
      </c>
      <c r="H475" s="6">
        <v>6</v>
      </c>
      <c r="I475" s="7">
        <v>46184</v>
      </c>
      <c r="J475" s="7">
        <f t="shared" si="22"/>
        <v>46181</v>
      </c>
      <c r="K475" s="8">
        <v>60</v>
      </c>
      <c r="L475" s="9">
        <f t="shared" si="21"/>
        <v>3</v>
      </c>
      <c r="M475" s="9" t="str" cm="1">
        <f t="array" ref="M475">_xlfn.IFS(L475&gt;=10,"HIGH",L475=0,"LOW",L475&lt;=9,"MEDIUM")</f>
        <v>MEDIUM</v>
      </c>
      <c r="N475" s="9" cm="1">
        <f t="array" ref="N475">_xlfn.IFS(M475="HIGH",K475*L475,M475="MEDIUM",K475*L475,M475="LOW","NA")</f>
        <v>180</v>
      </c>
      <c r="O475" s="18" t="str">
        <f t="shared" si="23"/>
        <v>cleared</v>
      </c>
    </row>
    <row r="476" spans="1:15" x14ac:dyDescent="0.25">
      <c r="A476" s="17">
        <v>472</v>
      </c>
      <c r="B476" s="6" t="s">
        <v>509</v>
      </c>
      <c r="C476" s="6" t="s">
        <v>16</v>
      </c>
      <c r="D476" s="6" t="s">
        <v>56</v>
      </c>
      <c r="E476" s="6" t="s">
        <v>61</v>
      </c>
      <c r="F476" s="6" t="s">
        <v>29</v>
      </c>
      <c r="G476" s="7">
        <v>46201</v>
      </c>
      <c r="H476" s="6">
        <v>4</v>
      </c>
      <c r="I476" s="7">
        <v>46210</v>
      </c>
      <c r="J476" s="7">
        <f t="shared" si="22"/>
        <v>46205</v>
      </c>
      <c r="K476" s="8">
        <v>180</v>
      </c>
      <c r="L476" s="9">
        <f t="shared" si="21"/>
        <v>5</v>
      </c>
      <c r="M476" s="9" t="str" cm="1">
        <f t="array" ref="M476">_xlfn.IFS(L476&gt;=10,"HIGH",L476=0,"LOW",L476&lt;=9,"MEDIUM")</f>
        <v>MEDIUM</v>
      </c>
      <c r="N476" s="9" cm="1">
        <f t="array" ref="N476">_xlfn.IFS(M476="HIGH",K476*L476,M476="MEDIUM",K476*L476,M476="LOW","NA")</f>
        <v>900</v>
      </c>
      <c r="O476" s="18" t="str">
        <f t="shared" si="23"/>
        <v>cleared</v>
      </c>
    </row>
    <row r="477" spans="1:15" x14ac:dyDescent="0.25">
      <c r="A477" s="17">
        <v>473</v>
      </c>
      <c r="B477" s="6" t="s">
        <v>510</v>
      </c>
      <c r="C477" s="6" t="s">
        <v>33</v>
      </c>
      <c r="D477" s="6" t="s">
        <v>54</v>
      </c>
      <c r="E477" s="6" t="s">
        <v>39</v>
      </c>
      <c r="F477" s="6" t="s">
        <v>29</v>
      </c>
      <c r="G477" s="7">
        <v>46241</v>
      </c>
      <c r="H477" s="6">
        <v>3</v>
      </c>
      <c r="I477" s="7">
        <v>46242</v>
      </c>
      <c r="J477" s="7">
        <f t="shared" si="22"/>
        <v>46244</v>
      </c>
      <c r="K477" s="8">
        <v>150</v>
      </c>
      <c r="L477" s="9">
        <f t="shared" si="21"/>
        <v>0</v>
      </c>
      <c r="M477" s="9" t="str" cm="1">
        <f t="array" ref="M477">_xlfn.IFS(L477&gt;=10,"HIGH",L477=0,"LOW",L477&lt;=9,"MEDIUM")</f>
        <v>LOW</v>
      </c>
      <c r="N477" s="9" t="str" cm="1">
        <f t="array" ref="N477">_xlfn.IFS(M477="HIGH",K477*L477,M477="MEDIUM",K477*L477,M477="LOW","NA")</f>
        <v>NA</v>
      </c>
      <c r="O477" s="18" t="str">
        <f t="shared" si="23"/>
        <v>cleared</v>
      </c>
    </row>
    <row r="478" spans="1:15" x14ac:dyDescent="0.25">
      <c r="A478" s="17">
        <v>474</v>
      </c>
      <c r="B478" s="6" t="s">
        <v>511</v>
      </c>
      <c r="C478" s="6" t="s">
        <v>37</v>
      </c>
      <c r="D478" s="6" t="s">
        <v>20</v>
      </c>
      <c r="E478" s="6" t="s">
        <v>21</v>
      </c>
      <c r="F478" s="6" t="s">
        <v>14</v>
      </c>
      <c r="G478" s="7">
        <v>46208</v>
      </c>
      <c r="H478" s="6">
        <v>5</v>
      </c>
      <c r="I478" s="7">
        <v>46210</v>
      </c>
      <c r="J478" s="7">
        <f t="shared" si="22"/>
        <v>46213</v>
      </c>
      <c r="K478" s="8">
        <v>75</v>
      </c>
      <c r="L478" s="9">
        <f t="shared" si="21"/>
        <v>0</v>
      </c>
      <c r="M478" s="9" t="str" cm="1">
        <f t="array" ref="M478">_xlfn.IFS(L478&gt;=10,"HIGH",L478=0,"LOW",L478&lt;=9,"MEDIUM")</f>
        <v>LOW</v>
      </c>
      <c r="N478" s="9" t="str" cm="1">
        <f t="array" ref="N478">_xlfn.IFS(M478="HIGH",K478*L478,M478="MEDIUM",K478*L478,M478="LOW","NA")</f>
        <v>NA</v>
      </c>
      <c r="O478" s="18" t="str">
        <f t="shared" si="23"/>
        <v>cleared</v>
      </c>
    </row>
    <row r="479" spans="1:15" x14ac:dyDescent="0.25">
      <c r="A479" s="17">
        <v>475</v>
      </c>
      <c r="B479" s="6" t="s">
        <v>512</v>
      </c>
      <c r="C479" s="6" t="s">
        <v>11</v>
      </c>
      <c r="D479" s="6" t="s">
        <v>17</v>
      </c>
      <c r="E479" s="6" t="s">
        <v>44</v>
      </c>
      <c r="F479" s="6" t="s">
        <v>29</v>
      </c>
      <c r="G479" s="7">
        <v>46188</v>
      </c>
      <c r="H479" s="6">
        <v>4</v>
      </c>
      <c r="I479" s="7">
        <v>46189</v>
      </c>
      <c r="J479" s="7">
        <f t="shared" si="22"/>
        <v>46192</v>
      </c>
      <c r="K479" s="8">
        <v>180</v>
      </c>
      <c r="L479" s="9">
        <f t="shared" si="21"/>
        <v>0</v>
      </c>
      <c r="M479" s="9" t="str" cm="1">
        <f t="array" ref="M479">_xlfn.IFS(L479&gt;=10,"HIGH",L479=0,"LOW",L479&lt;=9,"MEDIUM")</f>
        <v>LOW</v>
      </c>
      <c r="N479" s="9" t="str" cm="1">
        <f t="array" ref="N479">_xlfn.IFS(M479="HIGH",K479*L479,M479="MEDIUM",K479*L479,M479="LOW","NA")</f>
        <v>NA</v>
      </c>
      <c r="O479" s="18" t="str">
        <f t="shared" si="23"/>
        <v>cleared</v>
      </c>
    </row>
    <row r="480" spans="1:15" x14ac:dyDescent="0.25">
      <c r="A480" s="17">
        <v>476</v>
      </c>
      <c r="B480" s="6" t="s">
        <v>513</v>
      </c>
      <c r="C480" s="6" t="s">
        <v>33</v>
      </c>
      <c r="D480" s="6" t="s">
        <v>41</v>
      </c>
      <c r="E480" s="6" t="s">
        <v>39</v>
      </c>
      <c r="F480" s="6" t="s">
        <v>24</v>
      </c>
      <c r="G480" s="7">
        <v>46217</v>
      </c>
      <c r="H480" s="6">
        <v>5</v>
      </c>
      <c r="I480" s="7">
        <v>46220</v>
      </c>
      <c r="J480" s="7">
        <f t="shared" si="22"/>
        <v>46222</v>
      </c>
      <c r="K480" s="8">
        <v>130</v>
      </c>
      <c r="L480" s="9">
        <f t="shared" si="21"/>
        <v>0</v>
      </c>
      <c r="M480" s="9" t="str" cm="1">
        <f t="array" ref="M480">_xlfn.IFS(L480&gt;=10,"HIGH",L480=0,"LOW",L480&lt;=9,"MEDIUM")</f>
        <v>LOW</v>
      </c>
      <c r="N480" s="9" t="str" cm="1">
        <f t="array" ref="N480">_xlfn.IFS(M480="HIGH",K480*L480,M480="MEDIUM",K480*L480,M480="LOW","NA")</f>
        <v>NA</v>
      </c>
      <c r="O480" s="18" t="str">
        <f t="shared" si="23"/>
        <v>cleared</v>
      </c>
    </row>
    <row r="481" spans="1:15" x14ac:dyDescent="0.25">
      <c r="A481" s="17">
        <v>477</v>
      </c>
      <c r="B481" s="6" t="s">
        <v>514</v>
      </c>
      <c r="C481" s="6" t="s">
        <v>11</v>
      </c>
      <c r="D481" s="6" t="s">
        <v>12</v>
      </c>
      <c r="E481" s="6" t="s">
        <v>18</v>
      </c>
      <c r="F481" s="6" t="s">
        <v>14</v>
      </c>
      <c r="G481" s="7">
        <v>46238</v>
      </c>
      <c r="H481" s="6">
        <v>5</v>
      </c>
      <c r="I481" s="7">
        <v>46243</v>
      </c>
      <c r="J481" s="7">
        <f t="shared" si="22"/>
        <v>46243</v>
      </c>
      <c r="K481" s="8">
        <v>75</v>
      </c>
      <c r="L481" s="9">
        <f t="shared" si="21"/>
        <v>0</v>
      </c>
      <c r="M481" s="9" t="str" cm="1">
        <f t="array" ref="M481">_xlfn.IFS(L481&gt;=10,"HIGH",L481=0,"LOW",L481&lt;=9,"MEDIUM")</f>
        <v>LOW</v>
      </c>
      <c r="N481" s="9" t="str" cm="1">
        <f t="array" ref="N481">_xlfn.IFS(M481="HIGH",K481*L481,M481="MEDIUM",K481*L481,M481="LOW","NA")</f>
        <v>NA</v>
      </c>
      <c r="O481" s="18" t="str">
        <f t="shared" si="23"/>
        <v>cleared</v>
      </c>
    </row>
    <row r="482" spans="1:15" x14ac:dyDescent="0.25">
      <c r="A482" s="17">
        <v>478</v>
      </c>
      <c r="B482" s="6" t="s">
        <v>515</v>
      </c>
      <c r="C482" s="6" t="s">
        <v>11</v>
      </c>
      <c r="D482" s="6" t="s">
        <v>54</v>
      </c>
      <c r="E482" s="6" t="s">
        <v>21</v>
      </c>
      <c r="F482" s="6" t="s">
        <v>24</v>
      </c>
      <c r="G482" s="7">
        <v>46209</v>
      </c>
      <c r="H482" s="6">
        <v>5</v>
      </c>
      <c r="I482" s="7">
        <v>46215</v>
      </c>
      <c r="J482" s="7">
        <f t="shared" si="22"/>
        <v>46214</v>
      </c>
      <c r="K482" s="8">
        <v>110</v>
      </c>
      <c r="L482" s="9">
        <f t="shared" si="21"/>
        <v>1</v>
      </c>
      <c r="M482" s="9" t="str" cm="1">
        <f t="array" ref="M482">_xlfn.IFS(L482&gt;=10,"HIGH",L482=0,"LOW",L482&lt;=9,"MEDIUM")</f>
        <v>MEDIUM</v>
      </c>
      <c r="N482" s="9" cm="1">
        <f t="array" ref="N482">_xlfn.IFS(M482="HIGH",K482*L482,M482="MEDIUM",K482*L482,M482="LOW","NA")</f>
        <v>110</v>
      </c>
      <c r="O482" s="18" t="str">
        <f t="shared" si="23"/>
        <v>cleared</v>
      </c>
    </row>
    <row r="483" spans="1:15" x14ac:dyDescent="0.25">
      <c r="A483" s="17">
        <v>479</v>
      </c>
      <c r="B483" s="6" t="s">
        <v>516</v>
      </c>
      <c r="C483" s="6" t="s">
        <v>37</v>
      </c>
      <c r="D483" s="6" t="s">
        <v>26</v>
      </c>
      <c r="E483" s="6" t="s">
        <v>39</v>
      </c>
      <c r="F483" s="6" t="s">
        <v>29</v>
      </c>
      <c r="G483" s="7">
        <v>46207</v>
      </c>
      <c r="H483" s="6">
        <v>3</v>
      </c>
      <c r="I483" s="7">
        <v>46213</v>
      </c>
      <c r="J483" s="7">
        <f t="shared" si="22"/>
        <v>46210</v>
      </c>
      <c r="K483" s="8">
        <v>150</v>
      </c>
      <c r="L483" s="9">
        <f t="shared" si="21"/>
        <v>3</v>
      </c>
      <c r="M483" s="9" t="str" cm="1">
        <f t="array" ref="M483">_xlfn.IFS(L483&gt;=10,"HIGH",L483=0,"LOW",L483&lt;=9,"MEDIUM")</f>
        <v>MEDIUM</v>
      </c>
      <c r="N483" s="9" cm="1">
        <f t="array" ref="N483">_xlfn.IFS(M483="HIGH",K483*L483,M483="MEDIUM",K483*L483,M483="LOW","NA")</f>
        <v>450</v>
      </c>
      <c r="O483" s="18" t="str">
        <f t="shared" si="23"/>
        <v>cleared</v>
      </c>
    </row>
    <row r="484" spans="1:15" x14ac:dyDescent="0.25">
      <c r="A484" s="17">
        <v>480</v>
      </c>
      <c r="B484" s="6" t="s">
        <v>517</v>
      </c>
      <c r="C484" s="6" t="s">
        <v>33</v>
      </c>
      <c r="D484" s="6" t="s">
        <v>34</v>
      </c>
      <c r="E484" s="6" t="s">
        <v>13</v>
      </c>
      <c r="F484" s="6" t="s">
        <v>29</v>
      </c>
      <c r="G484" s="7">
        <v>46224</v>
      </c>
      <c r="H484" s="6">
        <v>3</v>
      </c>
      <c r="I484" s="6"/>
      <c r="J484" s="7">
        <f t="shared" si="22"/>
        <v>46227</v>
      </c>
      <c r="K484" s="8">
        <v>180</v>
      </c>
      <c r="L484" s="9">
        <f t="shared" si="21"/>
        <v>32</v>
      </c>
      <c r="M484" s="9" t="str" cm="1">
        <f t="array" ref="M484">_xlfn.IFS(L484&gt;=10,"HIGH",L484=0,"LOW",L484&lt;=9,"MEDIUM")</f>
        <v>HIGH</v>
      </c>
      <c r="N484" s="9" cm="1">
        <f t="array" ref="N484">_xlfn.IFS(M484="HIGH",K484*L484,M484="MEDIUM",K484*L484,M484="LOW","NA")</f>
        <v>5760</v>
      </c>
      <c r="O484" s="18" t="str">
        <f t="shared" si="23"/>
        <v>still in yard</v>
      </c>
    </row>
    <row r="485" spans="1:15" x14ac:dyDescent="0.25">
      <c r="A485" s="17">
        <v>481</v>
      </c>
      <c r="B485" s="6" t="s">
        <v>518</v>
      </c>
      <c r="C485" s="6" t="s">
        <v>33</v>
      </c>
      <c r="D485" s="6" t="s">
        <v>17</v>
      </c>
      <c r="E485" s="6" t="s">
        <v>13</v>
      </c>
      <c r="F485" s="6" t="s">
        <v>27</v>
      </c>
      <c r="G485" s="7">
        <v>46218</v>
      </c>
      <c r="H485" s="6">
        <v>4</v>
      </c>
      <c r="I485" s="6"/>
      <c r="J485" s="7">
        <f t="shared" si="22"/>
        <v>46222</v>
      </c>
      <c r="K485" s="8">
        <v>130</v>
      </c>
      <c r="L485" s="9">
        <f t="shared" si="21"/>
        <v>37</v>
      </c>
      <c r="M485" s="9" t="str" cm="1">
        <f t="array" ref="M485">_xlfn.IFS(L485&gt;=10,"HIGH",L485=0,"LOW",L485&lt;=9,"MEDIUM")</f>
        <v>HIGH</v>
      </c>
      <c r="N485" s="9" cm="1">
        <f t="array" ref="N485">_xlfn.IFS(M485="HIGH",K485*L485,M485="MEDIUM",K485*L485,M485="LOW","NA")</f>
        <v>4810</v>
      </c>
      <c r="O485" s="18" t="str">
        <f t="shared" si="23"/>
        <v>still in yard</v>
      </c>
    </row>
    <row r="486" spans="1:15" x14ac:dyDescent="0.25">
      <c r="A486" s="17">
        <v>482</v>
      </c>
      <c r="B486" s="6" t="s">
        <v>519</v>
      </c>
      <c r="C486" s="6" t="s">
        <v>33</v>
      </c>
      <c r="D486" s="6" t="s">
        <v>17</v>
      </c>
      <c r="E486" s="6" t="s">
        <v>13</v>
      </c>
      <c r="F486" s="6" t="s">
        <v>14</v>
      </c>
      <c r="G486" s="7">
        <v>46223</v>
      </c>
      <c r="H486" s="6">
        <v>6</v>
      </c>
      <c r="I486" s="7">
        <v>46233</v>
      </c>
      <c r="J486" s="7">
        <f t="shared" si="22"/>
        <v>46229</v>
      </c>
      <c r="K486" s="8">
        <v>90</v>
      </c>
      <c r="L486" s="9">
        <f t="shared" si="21"/>
        <v>4</v>
      </c>
      <c r="M486" s="9" t="str" cm="1">
        <f t="array" ref="M486">_xlfn.IFS(L486&gt;=10,"HIGH",L486=0,"LOW",L486&lt;=9,"MEDIUM")</f>
        <v>MEDIUM</v>
      </c>
      <c r="N486" s="9" cm="1">
        <f t="array" ref="N486">_xlfn.IFS(M486="HIGH",K486*L486,M486="MEDIUM",K486*L486,M486="LOW","NA")</f>
        <v>360</v>
      </c>
      <c r="O486" s="18" t="str">
        <f t="shared" si="23"/>
        <v>cleared</v>
      </c>
    </row>
    <row r="487" spans="1:15" x14ac:dyDescent="0.25">
      <c r="A487" s="17">
        <v>483</v>
      </c>
      <c r="B487" s="6" t="s">
        <v>520</v>
      </c>
      <c r="C487" s="6" t="s">
        <v>16</v>
      </c>
      <c r="D487" s="6" t="s">
        <v>31</v>
      </c>
      <c r="E487" s="6" t="s">
        <v>35</v>
      </c>
      <c r="F487" s="6" t="s">
        <v>14</v>
      </c>
      <c r="G487" s="7">
        <v>46253</v>
      </c>
      <c r="H487" s="6">
        <v>7</v>
      </c>
      <c r="I487" s="7">
        <v>46257</v>
      </c>
      <c r="J487" s="7">
        <f t="shared" si="22"/>
        <v>46260</v>
      </c>
      <c r="K487" s="8">
        <v>130</v>
      </c>
      <c r="L487" s="9">
        <f t="shared" si="21"/>
        <v>0</v>
      </c>
      <c r="M487" s="9" t="str" cm="1">
        <f t="array" ref="M487">_xlfn.IFS(L487&gt;=10,"HIGH",L487=0,"LOW",L487&lt;=9,"MEDIUM")</f>
        <v>LOW</v>
      </c>
      <c r="N487" s="9" t="str" cm="1">
        <f t="array" ref="N487">_xlfn.IFS(M487="HIGH",K487*L487,M487="MEDIUM",K487*L487,M487="LOW","NA")</f>
        <v>NA</v>
      </c>
      <c r="O487" s="18" t="str">
        <f t="shared" si="23"/>
        <v>cleared</v>
      </c>
    </row>
    <row r="488" spans="1:15" x14ac:dyDescent="0.25">
      <c r="A488" s="17">
        <v>484</v>
      </c>
      <c r="B488" s="6" t="s">
        <v>521</v>
      </c>
      <c r="C488" s="6" t="s">
        <v>11</v>
      </c>
      <c r="D488" s="6" t="s">
        <v>34</v>
      </c>
      <c r="E488" s="6" t="s">
        <v>21</v>
      </c>
      <c r="F488" s="6" t="s">
        <v>24</v>
      </c>
      <c r="G488" s="7">
        <v>46225</v>
      </c>
      <c r="H488" s="6">
        <v>5</v>
      </c>
      <c r="I488" s="7">
        <v>46231</v>
      </c>
      <c r="J488" s="7">
        <f t="shared" si="22"/>
        <v>46230</v>
      </c>
      <c r="K488" s="8">
        <v>130</v>
      </c>
      <c r="L488" s="9">
        <f t="shared" si="21"/>
        <v>1</v>
      </c>
      <c r="M488" s="9" t="str" cm="1">
        <f t="array" ref="M488">_xlfn.IFS(L488&gt;=10,"HIGH",L488=0,"LOW",L488&lt;=9,"MEDIUM")</f>
        <v>MEDIUM</v>
      </c>
      <c r="N488" s="9" cm="1">
        <f t="array" ref="N488">_xlfn.IFS(M488="HIGH",K488*L488,M488="MEDIUM",K488*L488,M488="LOW","NA")</f>
        <v>130</v>
      </c>
      <c r="O488" s="18" t="str">
        <f t="shared" si="23"/>
        <v>cleared</v>
      </c>
    </row>
    <row r="489" spans="1:15" x14ac:dyDescent="0.25">
      <c r="A489" s="17">
        <v>485</v>
      </c>
      <c r="B489" s="6" t="s">
        <v>522</v>
      </c>
      <c r="C489" s="6" t="s">
        <v>33</v>
      </c>
      <c r="D489" s="6" t="s">
        <v>56</v>
      </c>
      <c r="E489" s="6" t="s">
        <v>46</v>
      </c>
      <c r="F489" s="6" t="s">
        <v>27</v>
      </c>
      <c r="G489" s="7">
        <v>46176</v>
      </c>
      <c r="H489" s="6">
        <v>5</v>
      </c>
      <c r="I489" s="7">
        <v>46179</v>
      </c>
      <c r="J489" s="7">
        <f t="shared" si="22"/>
        <v>46181</v>
      </c>
      <c r="K489" s="8">
        <v>60</v>
      </c>
      <c r="L489" s="9">
        <f t="shared" si="21"/>
        <v>0</v>
      </c>
      <c r="M489" s="9" t="str" cm="1">
        <f t="array" ref="M489">_xlfn.IFS(L489&gt;=10,"HIGH",L489=0,"LOW",L489&lt;=9,"MEDIUM")</f>
        <v>LOW</v>
      </c>
      <c r="N489" s="9" t="str" cm="1">
        <f t="array" ref="N489">_xlfn.IFS(M489="HIGH",K489*L489,M489="MEDIUM",K489*L489,M489="LOW","NA")</f>
        <v>NA</v>
      </c>
      <c r="O489" s="18" t="str">
        <f t="shared" si="23"/>
        <v>cleared</v>
      </c>
    </row>
    <row r="490" spans="1:15" x14ac:dyDescent="0.25">
      <c r="A490" s="17">
        <v>486</v>
      </c>
      <c r="B490" s="6" t="s">
        <v>523</v>
      </c>
      <c r="C490" s="6" t="s">
        <v>33</v>
      </c>
      <c r="D490" s="6" t="s">
        <v>49</v>
      </c>
      <c r="E490" s="6" t="s">
        <v>39</v>
      </c>
      <c r="F490" s="6" t="s">
        <v>29</v>
      </c>
      <c r="G490" s="7">
        <v>46208</v>
      </c>
      <c r="H490" s="6">
        <v>4</v>
      </c>
      <c r="I490" s="7">
        <v>46210</v>
      </c>
      <c r="J490" s="7">
        <f t="shared" si="22"/>
        <v>46212</v>
      </c>
      <c r="K490" s="8">
        <v>120</v>
      </c>
      <c r="L490" s="9">
        <f t="shared" si="21"/>
        <v>0</v>
      </c>
      <c r="M490" s="9" t="str" cm="1">
        <f t="array" ref="M490">_xlfn.IFS(L490&gt;=10,"HIGH",L490=0,"LOW",L490&lt;=9,"MEDIUM")</f>
        <v>LOW</v>
      </c>
      <c r="N490" s="9" t="str" cm="1">
        <f t="array" ref="N490">_xlfn.IFS(M490="HIGH",K490*L490,M490="MEDIUM",K490*L490,M490="LOW","NA")</f>
        <v>NA</v>
      </c>
      <c r="O490" s="18" t="str">
        <f t="shared" si="23"/>
        <v>cleared</v>
      </c>
    </row>
    <row r="491" spans="1:15" x14ac:dyDescent="0.25">
      <c r="A491" s="17">
        <v>487</v>
      </c>
      <c r="B491" s="6" t="s">
        <v>524</v>
      </c>
      <c r="C491" s="6" t="s">
        <v>33</v>
      </c>
      <c r="D491" s="6" t="s">
        <v>31</v>
      </c>
      <c r="E491" s="6" t="s">
        <v>23</v>
      </c>
      <c r="F491" s="6" t="s">
        <v>27</v>
      </c>
      <c r="G491" s="7">
        <v>46215</v>
      </c>
      <c r="H491" s="6">
        <v>4</v>
      </c>
      <c r="I491" s="7">
        <v>46221</v>
      </c>
      <c r="J491" s="7">
        <f t="shared" si="22"/>
        <v>46219</v>
      </c>
      <c r="K491" s="8">
        <v>60</v>
      </c>
      <c r="L491" s="9">
        <f t="shared" si="21"/>
        <v>2</v>
      </c>
      <c r="M491" s="9" t="str" cm="1">
        <f t="array" ref="M491">_xlfn.IFS(L491&gt;=10,"HIGH",L491=0,"LOW",L491&lt;=9,"MEDIUM")</f>
        <v>MEDIUM</v>
      </c>
      <c r="N491" s="9" cm="1">
        <f t="array" ref="N491">_xlfn.IFS(M491="HIGH",K491*L491,M491="MEDIUM",K491*L491,M491="LOW","NA")</f>
        <v>120</v>
      </c>
      <c r="O491" s="18" t="str">
        <f t="shared" si="23"/>
        <v>cleared</v>
      </c>
    </row>
    <row r="492" spans="1:15" x14ac:dyDescent="0.25">
      <c r="A492" s="17">
        <v>488</v>
      </c>
      <c r="B492" s="6" t="s">
        <v>525</v>
      </c>
      <c r="C492" s="6" t="s">
        <v>16</v>
      </c>
      <c r="D492" s="6" t="s">
        <v>26</v>
      </c>
      <c r="E492" s="6" t="s">
        <v>18</v>
      </c>
      <c r="F492" s="6" t="s">
        <v>29</v>
      </c>
      <c r="G492" s="7">
        <v>46207</v>
      </c>
      <c r="H492" s="6">
        <v>3</v>
      </c>
      <c r="I492" s="7">
        <v>46208</v>
      </c>
      <c r="J492" s="7">
        <f t="shared" si="22"/>
        <v>46210</v>
      </c>
      <c r="K492" s="8">
        <v>120</v>
      </c>
      <c r="L492" s="9">
        <f t="shared" si="21"/>
        <v>0</v>
      </c>
      <c r="M492" s="9" t="str" cm="1">
        <f t="array" ref="M492">_xlfn.IFS(L492&gt;=10,"HIGH",L492=0,"LOW",L492&lt;=9,"MEDIUM")</f>
        <v>LOW</v>
      </c>
      <c r="N492" s="9" t="str" cm="1">
        <f t="array" ref="N492">_xlfn.IFS(M492="HIGH",K492*L492,M492="MEDIUM",K492*L492,M492="LOW","NA")</f>
        <v>NA</v>
      </c>
      <c r="O492" s="18" t="str">
        <f t="shared" si="23"/>
        <v>cleared</v>
      </c>
    </row>
    <row r="493" spans="1:15" x14ac:dyDescent="0.25">
      <c r="A493" s="17">
        <v>489</v>
      </c>
      <c r="B493" s="6" t="s">
        <v>526</v>
      </c>
      <c r="C493" s="6" t="s">
        <v>37</v>
      </c>
      <c r="D493" s="6" t="s">
        <v>20</v>
      </c>
      <c r="E493" s="6" t="s">
        <v>18</v>
      </c>
      <c r="F493" s="6" t="s">
        <v>14</v>
      </c>
      <c r="G493" s="7">
        <v>46222</v>
      </c>
      <c r="H493" s="6">
        <v>4</v>
      </c>
      <c r="I493" s="7">
        <v>46233</v>
      </c>
      <c r="J493" s="7">
        <f t="shared" si="22"/>
        <v>46226</v>
      </c>
      <c r="K493" s="8">
        <v>110</v>
      </c>
      <c r="L493" s="9">
        <f t="shared" si="21"/>
        <v>7</v>
      </c>
      <c r="M493" s="9" t="str" cm="1">
        <f t="array" ref="M493">_xlfn.IFS(L493&gt;=10,"HIGH",L493=0,"LOW",L493&lt;=9,"MEDIUM")</f>
        <v>MEDIUM</v>
      </c>
      <c r="N493" s="9" cm="1">
        <f t="array" ref="N493">_xlfn.IFS(M493="HIGH",K493*L493,M493="MEDIUM",K493*L493,M493="LOW","NA")</f>
        <v>770</v>
      </c>
      <c r="O493" s="18" t="str">
        <f t="shared" si="23"/>
        <v>cleared</v>
      </c>
    </row>
    <row r="494" spans="1:15" x14ac:dyDescent="0.25">
      <c r="A494" s="17">
        <v>490</v>
      </c>
      <c r="B494" s="6" t="s">
        <v>527</v>
      </c>
      <c r="C494" s="6" t="s">
        <v>11</v>
      </c>
      <c r="D494" s="6" t="s">
        <v>12</v>
      </c>
      <c r="E494" s="6" t="s">
        <v>13</v>
      </c>
      <c r="F494" s="6" t="s">
        <v>24</v>
      </c>
      <c r="G494" s="7">
        <v>46250</v>
      </c>
      <c r="H494" s="6">
        <v>7</v>
      </c>
      <c r="I494" s="7">
        <v>46251</v>
      </c>
      <c r="J494" s="7">
        <f t="shared" si="22"/>
        <v>46257</v>
      </c>
      <c r="K494" s="8">
        <v>75</v>
      </c>
      <c r="L494" s="9">
        <f t="shared" si="21"/>
        <v>0</v>
      </c>
      <c r="M494" s="9" t="str" cm="1">
        <f t="array" ref="M494">_xlfn.IFS(L494&gt;=10,"HIGH",L494=0,"LOW",L494&lt;=9,"MEDIUM")</f>
        <v>LOW</v>
      </c>
      <c r="N494" s="9" t="str" cm="1">
        <f t="array" ref="N494">_xlfn.IFS(M494="HIGH",K494*L494,M494="MEDIUM",K494*L494,M494="LOW","NA")</f>
        <v>NA</v>
      </c>
      <c r="O494" s="18" t="str">
        <f t="shared" si="23"/>
        <v>cleared</v>
      </c>
    </row>
    <row r="495" spans="1:15" x14ac:dyDescent="0.25">
      <c r="A495" s="17">
        <v>491</v>
      </c>
      <c r="B495" s="6" t="s">
        <v>528</v>
      </c>
      <c r="C495" s="6" t="s">
        <v>11</v>
      </c>
      <c r="D495" s="6" t="s">
        <v>56</v>
      </c>
      <c r="E495" s="6" t="s">
        <v>39</v>
      </c>
      <c r="F495" s="6" t="s">
        <v>14</v>
      </c>
      <c r="G495" s="7">
        <v>46212</v>
      </c>
      <c r="H495" s="6">
        <v>4</v>
      </c>
      <c r="I495" s="7">
        <v>46215</v>
      </c>
      <c r="J495" s="7">
        <f t="shared" si="22"/>
        <v>46216</v>
      </c>
      <c r="K495" s="8">
        <v>60</v>
      </c>
      <c r="L495" s="9">
        <f t="shared" si="21"/>
        <v>0</v>
      </c>
      <c r="M495" s="9" t="str" cm="1">
        <f t="array" ref="M495">_xlfn.IFS(L495&gt;=10,"HIGH",L495=0,"LOW",L495&lt;=9,"MEDIUM")</f>
        <v>LOW</v>
      </c>
      <c r="N495" s="9" t="str" cm="1">
        <f t="array" ref="N495">_xlfn.IFS(M495="HIGH",K495*L495,M495="MEDIUM",K495*L495,M495="LOW","NA")</f>
        <v>NA</v>
      </c>
      <c r="O495" s="18" t="str">
        <f t="shared" si="23"/>
        <v>cleared</v>
      </c>
    </row>
    <row r="496" spans="1:15" x14ac:dyDescent="0.25">
      <c r="A496" s="17">
        <v>492</v>
      </c>
      <c r="B496" s="6" t="s">
        <v>529</v>
      </c>
      <c r="C496" s="6" t="s">
        <v>16</v>
      </c>
      <c r="D496" s="6" t="s">
        <v>34</v>
      </c>
      <c r="E496" s="6" t="s">
        <v>18</v>
      </c>
      <c r="F496" s="6" t="s">
        <v>14</v>
      </c>
      <c r="G496" s="7">
        <v>46200</v>
      </c>
      <c r="H496" s="6">
        <v>5</v>
      </c>
      <c r="I496" s="7">
        <v>46201</v>
      </c>
      <c r="J496" s="7">
        <f t="shared" si="22"/>
        <v>46205</v>
      </c>
      <c r="K496" s="8">
        <v>130</v>
      </c>
      <c r="L496" s="9">
        <f t="shared" si="21"/>
        <v>0</v>
      </c>
      <c r="M496" s="9" t="str" cm="1">
        <f t="array" ref="M496">_xlfn.IFS(L496&gt;=10,"HIGH",L496=0,"LOW",L496&lt;=9,"MEDIUM")</f>
        <v>LOW</v>
      </c>
      <c r="N496" s="9" t="str" cm="1">
        <f t="array" ref="N496">_xlfn.IFS(M496="HIGH",K496*L496,M496="MEDIUM",K496*L496,M496="LOW","NA")</f>
        <v>NA</v>
      </c>
      <c r="O496" s="18" t="str">
        <f t="shared" si="23"/>
        <v>cleared</v>
      </c>
    </row>
    <row r="497" spans="1:15" x14ac:dyDescent="0.25">
      <c r="A497" s="17">
        <v>493</v>
      </c>
      <c r="B497" s="6" t="s">
        <v>530</v>
      </c>
      <c r="C497" s="6" t="s">
        <v>16</v>
      </c>
      <c r="D497" s="6" t="s">
        <v>54</v>
      </c>
      <c r="E497" s="6" t="s">
        <v>61</v>
      </c>
      <c r="F497" s="6" t="s">
        <v>29</v>
      </c>
      <c r="G497" s="7">
        <v>46244</v>
      </c>
      <c r="H497" s="6">
        <v>4</v>
      </c>
      <c r="I497" s="6"/>
      <c r="J497" s="7">
        <f t="shared" si="22"/>
        <v>46248</v>
      </c>
      <c r="K497" s="8">
        <v>180</v>
      </c>
      <c r="L497" s="9">
        <f t="shared" si="21"/>
        <v>11</v>
      </c>
      <c r="M497" s="9" t="str" cm="1">
        <f t="array" ref="M497">_xlfn.IFS(L497&gt;=10,"HIGH",L497=0,"LOW",L497&lt;=9,"MEDIUM")</f>
        <v>HIGH</v>
      </c>
      <c r="N497" s="9" cm="1">
        <f t="array" ref="N497">_xlfn.IFS(M497="HIGH",K497*L497,M497="MEDIUM",K497*L497,M497="LOW","NA")</f>
        <v>1980</v>
      </c>
      <c r="O497" s="18" t="str">
        <f t="shared" si="23"/>
        <v>still in yard</v>
      </c>
    </row>
    <row r="498" spans="1:15" x14ac:dyDescent="0.25">
      <c r="A498" s="17">
        <v>494</v>
      </c>
      <c r="B498" s="6" t="s">
        <v>531</v>
      </c>
      <c r="C498" s="6" t="s">
        <v>11</v>
      </c>
      <c r="D498" s="6" t="s">
        <v>34</v>
      </c>
      <c r="E498" s="6" t="s">
        <v>61</v>
      </c>
      <c r="F498" s="6" t="s">
        <v>27</v>
      </c>
      <c r="G498" s="7">
        <v>46231</v>
      </c>
      <c r="H498" s="6">
        <v>7</v>
      </c>
      <c r="I498" s="7">
        <v>46237</v>
      </c>
      <c r="J498" s="7">
        <f t="shared" si="22"/>
        <v>46238</v>
      </c>
      <c r="K498" s="8">
        <v>75</v>
      </c>
      <c r="L498" s="9">
        <f t="shared" si="21"/>
        <v>0</v>
      </c>
      <c r="M498" s="9" t="str" cm="1">
        <f t="array" ref="M498">_xlfn.IFS(L498&gt;=10,"HIGH",L498=0,"LOW",L498&lt;=9,"MEDIUM")</f>
        <v>LOW</v>
      </c>
      <c r="N498" s="9" t="str" cm="1">
        <f t="array" ref="N498">_xlfn.IFS(M498="HIGH",K498*L498,M498="MEDIUM",K498*L498,M498="LOW","NA")</f>
        <v>NA</v>
      </c>
      <c r="O498" s="18" t="str">
        <f t="shared" si="23"/>
        <v>cleared</v>
      </c>
    </row>
    <row r="499" spans="1:15" x14ac:dyDescent="0.25">
      <c r="A499" s="17">
        <v>495</v>
      </c>
      <c r="B499" s="6" t="s">
        <v>532</v>
      </c>
      <c r="C499" s="6" t="s">
        <v>11</v>
      </c>
      <c r="D499" s="6" t="s">
        <v>26</v>
      </c>
      <c r="E499" s="6" t="s">
        <v>61</v>
      </c>
      <c r="F499" s="6" t="s">
        <v>14</v>
      </c>
      <c r="G499" s="7">
        <v>46230</v>
      </c>
      <c r="H499" s="6">
        <v>5</v>
      </c>
      <c r="I499" s="6"/>
      <c r="J499" s="7">
        <f t="shared" si="22"/>
        <v>46235</v>
      </c>
      <c r="K499" s="8">
        <v>130</v>
      </c>
      <c r="L499" s="9">
        <f t="shared" si="21"/>
        <v>24</v>
      </c>
      <c r="M499" s="9" t="str" cm="1">
        <f t="array" ref="M499">_xlfn.IFS(L499&gt;=10,"HIGH",L499=0,"LOW",L499&lt;=9,"MEDIUM")</f>
        <v>HIGH</v>
      </c>
      <c r="N499" s="9" cm="1">
        <f t="array" ref="N499">_xlfn.IFS(M499="HIGH",K499*L499,M499="MEDIUM",K499*L499,M499="LOW","NA")</f>
        <v>3120</v>
      </c>
      <c r="O499" s="18" t="str">
        <f t="shared" si="23"/>
        <v>still in yard</v>
      </c>
    </row>
    <row r="500" spans="1:15" x14ac:dyDescent="0.25">
      <c r="A500" s="17">
        <v>496</v>
      </c>
      <c r="B500" s="6" t="s">
        <v>533</v>
      </c>
      <c r="C500" s="6" t="s">
        <v>11</v>
      </c>
      <c r="D500" s="6" t="s">
        <v>49</v>
      </c>
      <c r="E500" s="6" t="s">
        <v>39</v>
      </c>
      <c r="F500" s="6" t="s">
        <v>14</v>
      </c>
      <c r="G500" s="7">
        <v>46178</v>
      </c>
      <c r="H500" s="6">
        <v>5</v>
      </c>
      <c r="I500" s="7">
        <v>46179</v>
      </c>
      <c r="J500" s="7">
        <f t="shared" si="22"/>
        <v>46183</v>
      </c>
      <c r="K500" s="8">
        <v>130</v>
      </c>
      <c r="L500" s="9">
        <f t="shared" si="21"/>
        <v>0</v>
      </c>
      <c r="M500" s="9" t="str" cm="1">
        <f t="array" ref="M500">_xlfn.IFS(L500&gt;=10,"HIGH",L500=0,"LOW",L500&lt;=9,"MEDIUM")</f>
        <v>LOW</v>
      </c>
      <c r="N500" s="9" t="str" cm="1">
        <f t="array" ref="N500">_xlfn.IFS(M500="HIGH",K500*L500,M500="MEDIUM",K500*L500,M500="LOW","NA")</f>
        <v>NA</v>
      </c>
      <c r="O500" s="18" t="str">
        <f t="shared" si="23"/>
        <v>cleared</v>
      </c>
    </row>
    <row r="501" spans="1:15" x14ac:dyDescent="0.25">
      <c r="A501" s="17">
        <v>497</v>
      </c>
      <c r="B501" s="6" t="s">
        <v>534</v>
      </c>
      <c r="C501" s="6" t="s">
        <v>33</v>
      </c>
      <c r="D501" s="6" t="s">
        <v>20</v>
      </c>
      <c r="E501" s="6" t="s">
        <v>44</v>
      </c>
      <c r="F501" s="6" t="s">
        <v>24</v>
      </c>
      <c r="G501" s="7">
        <v>46190</v>
      </c>
      <c r="H501" s="6">
        <v>5</v>
      </c>
      <c r="I501" s="7">
        <v>46192</v>
      </c>
      <c r="J501" s="7">
        <f t="shared" si="22"/>
        <v>46195</v>
      </c>
      <c r="K501" s="8">
        <v>90</v>
      </c>
      <c r="L501" s="9">
        <f t="shared" si="21"/>
        <v>0</v>
      </c>
      <c r="M501" s="9" t="str" cm="1">
        <f t="array" ref="M501">_xlfn.IFS(L501&gt;=10,"HIGH",L501=0,"LOW",L501&lt;=9,"MEDIUM")</f>
        <v>LOW</v>
      </c>
      <c r="N501" s="9" t="str" cm="1">
        <f t="array" ref="N501">_xlfn.IFS(M501="HIGH",K501*L501,M501="MEDIUM",K501*L501,M501="LOW","NA")</f>
        <v>NA</v>
      </c>
      <c r="O501" s="18" t="str">
        <f t="shared" si="23"/>
        <v>cleared</v>
      </c>
    </row>
    <row r="502" spans="1:15" x14ac:dyDescent="0.25">
      <c r="A502" s="17">
        <v>498</v>
      </c>
      <c r="B502" s="6" t="s">
        <v>535</v>
      </c>
      <c r="C502" s="6" t="s">
        <v>16</v>
      </c>
      <c r="D502" s="6" t="s">
        <v>41</v>
      </c>
      <c r="E502" s="6" t="s">
        <v>21</v>
      </c>
      <c r="F502" s="6" t="s">
        <v>27</v>
      </c>
      <c r="G502" s="7">
        <v>46203</v>
      </c>
      <c r="H502" s="6">
        <v>6</v>
      </c>
      <c r="I502" s="7">
        <v>46213</v>
      </c>
      <c r="J502" s="7">
        <f t="shared" si="22"/>
        <v>46209</v>
      </c>
      <c r="K502" s="8">
        <v>75</v>
      </c>
      <c r="L502" s="9">
        <f t="shared" si="21"/>
        <v>4</v>
      </c>
      <c r="M502" s="9" t="str" cm="1">
        <f t="array" ref="M502">_xlfn.IFS(L502&gt;=10,"HIGH",L502=0,"LOW",L502&lt;=9,"MEDIUM")</f>
        <v>MEDIUM</v>
      </c>
      <c r="N502" s="9" cm="1">
        <f t="array" ref="N502">_xlfn.IFS(M502="HIGH",K502*L502,M502="MEDIUM",K502*L502,M502="LOW","NA")</f>
        <v>300</v>
      </c>
      <c r="O502" s="18" t="str">
        <f t="shared" si="23"/>
        <v>cleared</v>
      </c>
    </row>
    <row r="503" spans="1:15" x14ac:dyDescent="0.25">
      <c r="A503" s="17">
        <v>499</v>
      </c>
      <c r="B503" s="6" t="s">
        <v>536</v>
      </c>
      <c r="C503" s="6" t="s">
        <v>11</v>
      </c>
      <c r="D503" s="6" t="s">
        <v>26</v>
      </c>
      <c r="E503" s="6" t="s">
        <v>18</v>
      </c>
      <c r="F503" s="6" t="s">
        <v>14</v>
      </c>
      <c r="G503" s="7">
        <v>46207</v>
      </c>
      <c r="H503" s="6">
        <v>5</v>
      </c>
      <c r="I503" s="6"/>
      <c r="J503" s="7">
        <f t="shared" si="22"/>
        <v>46212</v>
      </c>
      <c r="K503" s="8">
        <v>75</v>
      </c>
      <c r="L503" s="9">
        <f t="shared" si="21"/>
        <v>47</v>
      </c>
      <c r="M503" s="9" t="str" cm="1">
        <f t="array" ref="M503">_xlfn.IFS(L503&gt;=10,"HIGH",L503=0,"LOW",L503&lt;=9,"MEDIUM")</f>
        <v>HIGH</v>
      </c>
      <c r="N503" s="9" cm="1">
        <f t="array" ref="N503">_xlfn.IFS(M503="HIGH",K503*L503,M503="MEDIUM",K503*L503,M503="LOW","NA")</f>
        <v>3525</v>
      </c>
      <c r="O503" s="18" t="str">
        <f t="shared" si="23"/>
        <v>still in yard</v>
      </c>
    </row>
    <row r="504" spans="1:15" x14ac:dyDescent="0.25">
      <c r="A504" s="17">
        <v>500</v>
      </c>
      <c r="B504" s="6" t="s">
        <v>537</v>
      </c>
      <c r="C504" s="6" t="s">
        <v>16</v>
      </c>
      <c r="D504" s="6" t="s">
        <v>17</v>
      </c>
      <c r="E504" s="6" t="s">
        <v>44</v>
      </c>
      <c r="F504" s="6" t="s">
        <v>29</v>
      </c>
      <c r="G504" s="7">
        <v>46233</v>
      </c>
      <c r="H504" s="6">
        <v>4</v>
      </c>
      <c r="I504" s="7">
        <v>46234</v>
      </c>
      <c r="J504" s="7">
        <f t="shared" si="22"/>
        <v>46237</v>
      </c>
      <c r="K504" s="8">
        <v>150</v>
      </c>
      <c r="L504" s="9">
        <f t="shared" si="21"/>
        <v>0</v>
      </c>
      <c r="M504" s="9" t="str" cm="1">
        <f t="array" ref="M504">_xlfn.IFS(L504&gt;=10,"HIGH",L504=0,"LOW",L504&lt;=9,"MEDIUM")</f>
        <v>LOW</v>
      </c>
      <c r="N504" s="9" t="str" cm="1">
        <f t="array" ref="N504">_xlfn.IFS(M504="HIGH",K504*L504,M504="MEDIUM",K504*L504,M504="LOW","NA")</f>
        <v>NA</v>
      </c>
      <c r="O504" s="18" t="str">
        <f t="shared" si="23"/>
        <v>cleared</v>
      </c>
    </row>
    <row r="505" spans="1:15" x14ac:dyDescent="0.25">
      <c r="A505" s="17">
        <v>501</v>
      </c>
      <c r="B505" s="6" t="s">
        <v>538</v>
      </c>
      <c r="C505" s="6" t="s">
        <v>37</v>
      </c>
      <c r="D505" s="6" t="s">
        <v>17</v>
      </c>
      <c r="E505" s="6" t="s">
        <v>46</v>
      </c>
      <c r="F505" s="6" t="s">
        <v>14</v>
      </c>
      <c r="G505" s="7">
        <v>46180</v>
      </c>
      <c r="H505" s="6">
        <v>4</v>
      </c>
      <c r="I505" s="6"/>
      <c r="J505" s="7">
        <f t="shared" si="22"/>
        <v>46184</v>
      </c>
      <c r="K505" s="8">
        <v>75</v>
      </c>
      <c r="L505" s="9">
        <f t="shared" si="21"/>
        <v>75</v>
      </c>
      <c r="M505" s="9" t="str" cm="1">
        <f t="array" ref="M505">_xlfn.IFS(L505&gt;=10,"HIGH",L505=0,"LOW",L505&lt;=9,"MEDIUM")</f>
        <v>HIGH</v>
      </c>
      <c r="N505" s="9" cm="1">
        <f t="array" ref="N505">_xlfn.IFS(M505="HIGH",K505*L505,M505="MEDIUM",K505*L505,M505="LOW","NA")</f>
        <v>5625</v>
      </c>
      <c r="O505" s="18" t="str">
        <f t="shared" si="23"/>
        <v>still in yard</v>
      </c>
    </row>
    <row r="506" spans="1:15" x14ac:dyDescent="0.25">
      <c r="A506" s="17">
        <v>502</v>
      </c>
      <c r="B506" s="6" t="s">
        <v>539</v>
      </c>
      <c r="C506" s="6" t="s">
        <v>33</v>
      </c>
      <c r="D506" s="6" t="s">
        <v>54</v>
      </c>
      <c r="E506" s="6" t="s">
        <v>61</v>
      </c>
      <c r="F506" s="6" t="s">
        <v>24</v>
      </c>
      <c r="G506" s="7">
        <v>46187</v>
      </c>
      <c r="H506" s="6">
        <v>5</v>
      </c>
      <c r="I506" s="7">
        <v>46188</v>
      </c>
      <c r="J506" s="7">
        <f t="shared" si="22"/>
        <v>46192</v>
      </c>
      <c r="K506" s="8">
        <v>90</v>
      </c>
      <c r="L506" s="9">
        <f t="shared" si="21"/>
        <v>0</v>
      </c>
      <c r="M506" s="9" t="str" cm="1">
        <f t="array" ref="M506">_xlfn.IFS(L506&gt;=10,"HIGH",L506=0,"LOW",L506&lt;=9,"MEDIUM")</f>
        <v>LOW</v>
      </c>
      <c r="N506" s="9" t="str" cm="1">
        <f t="array" ref="N506">_xlfn.IFS(M506="HIGH",K506*L506,M506="MEDIUM",K506*L506,M506="LOW","NA")</f>
        <v>NA</v>
      </c>
      <c r="O506" s="18" t="str">
        <f t="shared" si="23"/>
        <v>cleared</v>
      </c>
    </row>
    <row r="507" spans="1:15" x14ac:dyDescent="0.25">
      <c r="A507" s="17">
        <v>503</v>
      </c>
      <c r="B507" s="6" t="s">
        <v>540</v>
      </c>
      <c r="C507" s="6" t="s">
        <v>11</v>
      </c>
      <c r="D507" s="6" t="s">
        <v>56</v>
      </c>
      <c r="E507" s="6" t="s">
        <v>44</v>
      </c>
      <c r="F507" s="6" t="s">
        <v>27</v>
      </c>
      <c r="G507" s="7">
        <v>46170</v>
      </c>
      <c r="H507" s="6">
        <v>5</v>
      </c>
      <c r="I507" s="7">
        <v>46173</v>
      </c>
      <c r="J507" s="7">
        <f t="shared" si="22"/>
        <v>46175</v>
      </c>
      <c r="K507" s="8">
        <v>60</v>
      </c>
      <c r="L507" s="9">
        <f t="shared" si="21"/>
        <v>0</v>
      </c>
      <c r="M507" s="9" t="str" cm="1">
        <f t="array" ref="M507">_xlfn.IFS(L507&gt;=10,"HIGH",L507=0,"LOW",L507&lt;=9,"MEDIUM")</f>
        <v>LOW</v>
      </c>
      <c r="N507" s="9" t="str" cm="1">
        <f t="array" ref="N507">_xlfn.IFS(M507="HIGH",K507*L507,M507="MEDIUM",K507*L507,M507="LOW","NA")</f>
        <v>NA</v>
      </c>
      <c r="O507" s="18" t="str">
        <f t="shared" si="23"/>
        <v>cleared</v>
      </c>
    </row>
    <row r="508" spans="1:15" x14ac:dyDescent="0.25">
      <c r="A508" s="17">
        <v>504</v>
      </c>
      <c r="B508" s="6" t="s">
        <v>541</v>
      </c>
      <c r="C508" s="6" t="s">
        <v>33</v>
      </c>
      <c r="D508" s="6" t="s">
        <v>56</v>
      </c>
      <c r="E508" s="6" t="s">
        <v>39</v>
      </c>
      <c r="F508" s="6" t="s">
        <v>14</v>
      </c>
      <c r="G508" s="7">
        <v>46239</v>
      </c>
      <c r="H508" s="6">
        <v>5</v>
      </c>
      <c r="I508" s="7">
        <v>46240</v>
      </c>
      <c r="J508" s="7">
        <f t="shared" si="22"/>
        <v>46244</v>
      </c>
      <c r="K508" s="8">
        <v>90</v>
      </c>
      <c r="L508" s="9">
        <f t="shared" si="21"/>
        <v>0</v>
      </c>
      <c r="M508" s="9" t="str" cm="1">
        <f t="array" ref="M508">_xlfn.IFS(L508&gt;=10,"HIGH",L508=0,"LOW",L508&lt;=9,"MEDIUM")</f>
        <v>LOW</v>
      </c>
      <c r="N508" s="9" t="str" cm="1">
        <f t="array" ref="N508">_xlfn.IFS(M508="HIGH",K508*L508,M508="MEDIUM",K508*L508,M508="LOW","NA")</f>
        <v>NA</v>
      </c>
      <c r="O508" s="18" t="str">
        <f t="shared" si="23"/>
        <v>cleared</v>
      </c>
    </row>
    <row r="509" spans="1:15" x14ac:dyDescent="0.25">
      <c r="A509" s="17">
        <v>505</v>
      </c>
      <c r="B509" s="6" t="s">
        <v>542</v>
      </c>
      <c r="C509" s="6" t="s">
        <v>11</v>
      </c>
      <c r="D509" s="6" t="s">
        <v>41</v>
      </c>
      <c r="E509" s="6" t="s">
        <v>23</v>
      </c>
      <c r="F509" s="6" t="s">
        <v>14</v>
      </c>
      <c r="G509" s="7">
        <v>46191</v>
      </c>
      <c r="H509" s="6">
        <v>7</v>
      </c>
      <c r="I509" s="6"/>
      <c r="J509" s="7">
        <f t="shared" si="22"/>
        <v>46198</v>
      </c>
      <c r="K509" s="8">
        <v>110</v>
      </c>
      <c r="L509" s="9">
        <f t="shared" si="21"/>
        <v>61</v>
      </c>
      <c r="M509" s="9" t="str" cm="1">
        <f t="array" ref="M509">_xlfn.IFS(L509&gt;=10,"HIGH",L509=0,"LOW",L509&lt;=9,"MEDIUM")</f>
        <v>HIGH</v>
      </c>
      <c r="N509" s="9" cm="1">
        <f t="array" ref="N509">_xlfn.IFS(M509="HIGH",K509*L509,M509="MEDIUM",K509*L509,M509="LOW","NA")</f>
        <v>6710</v>
      </c>
      <c r="O509" s="18" t="str">
        <f t="shared" si="23"/>
        <v>still in yard</v>
      </c>
    </row>
    <row r="510" spans="1:15" x14ac:dyDescent="0.25">
      <c r="A510" s="17">
        <v>506</v>
      </c>
      <c r="B510" s="6" t="s">
        <v>543</v>
      </c>
      <c r="C510" s="6" t="s">
        <v>37</v>
      </c>
      <c r="D510" s="6" t="s">
        <v>34</v>
      </c>
      <c r="E510" s="6" t="s">
        <v>46</v>
      </c>
      <c r="F510" s="6" t="s">
        <v>14</v>
      </c>
      <c r="G510" s="7">
        <v>46234</v>
      </c>
      <c r="H510" s="6">
        <v>5</v>
      </c>
      <c r="I510" s="7">
        <v>46241</v>
      </c>
      <c r="J510" s="7">
        <f t="shared" si="22"/>
        <v>46239</v>
      </c>
      <c r="K510" s="8">
        <v>130</v>
      </c>
      <c r="L510" s="9">
        <f t="shared" si="21"/>
        <v>2</v>
      </c>
      <c r="M510" s="9" t="str" cm="1">
        <f t="array" ref="M510">_xlfn.IFS(L510&gt;=10,"HIGH",L510=0,"LOW",L510&lt;=9,"MEDIUM")</f>
        <v>MEDIUM</v>
      </c>
      <c r="N510" s="9" cm="1">
        <f t="array" ref="N510">_xlfn.IFS(M510="HIGH",K510*L510,M510="MEDIUM",K510*L510,M510="LOW","NA")</f>
        <v>260</v>
      </c>
      <c r="O510" s="18" t="str">
        <f t="shared" si="23"/>
        <v>cleared</v>
      </c>
    </row>
    <row r="511" spans="1:15" x14ac:dyDescent="0.25">
      <c r="A511" s="17">
        <v>507</v>
      </c>
      <c r="B511" s="6" t="s">
        <v>544</v>
      </c>
      <c r="C511" s="6" t="s">
        <v>33</v>
      </c>
      <c r="D511" s="6" t="s">
        <v>49</v>
      </c>
      <c r="E511" s="6" t="s">
        <v>23</v>
      </c>
      <c r="F511" s="6" t="s">
        <v>29</v>
      </c>
      <c r="G511" s="7">
        <v>46241</v>
      </c>
      <c r="H511" s="6">
        <v>3</v>
      </c>
      <c r="I511" s="6"/>
      <c r="J511" s="7">
        <f t="shared" si="22"/>
        <v>46244</v>
      </c>
      <c r="K511" s="8">
        <v>120</v>
      </c>
      <c r="L511" s="9">
        <f t="shared" si="21"/>
        <v>15</v>
      </c>
      <c r="M511" s="9" t="str" cm="1">
        <f t="array" ref="M511">_xlfn.IFS(L511&gt;=10,"HIGH",L511=0,"LOW",L511&lt;=9,"MEDIUM")</f>
        <v>HIGH</v>
      </c>
      <c r="N511" s="9" cm="1">
        <f t="array" ref="N511">_xlfn.IFS(M511="HIGH",K511*L511,M511="MEDIUM",K511*L511,M511="LOW","NA")</f>
        <v>1800</v>
      </c>
      <c r="O511" s="18" t="str">
        <f t="shared" si="23"/>
        <v>still in yard</v>
      </c>
    </row>
    <row r="512" spans="1:15" x14ac:dyDescent="0.25">
      <c r="A512" s="17">
        <v>508</v>
      </c>
      <c r="B512" s="6" t="s">
        <v>545</v>
      </c>
      <c r="C512" s="6" t="s">
        <v>33</v>
      </c>
      <c r="D512" s="6" t="s">
        <v>54</v>
      </c>
      <c r="E512" s="6" t="s">
        <v>44</v>
      </c>
      <c r="F512" s="6" t="s">
        <v>14</v>
      </c>
      <c r="G512" s="7">
        <v>46199</v>
      </c>
      <c r="H512" s="6">
        <v>4</v>
      </c>
      <c r="I512" s="6"/>
      <c r="J512" s="7">
        <f t="shared" si="22"/>
        <v>46203</v>
      </c>
      <c r="K512" s="8">
        <v>130</v>
      </c>
      <c r="L512" s="9">
        <f t="shared" si="21"/>
        <v>56</v>
      </c>
      <c r="M512" s="9" t="str" cm="1">
        <f t="array" ref="M512">_xlfn.IFS(L512&gt;=10,"HIGH",L512=0,"LOW",L512&lt;=9,"MEDIUM")</f>
        <v>HIGH</v>
      </c>
      <c r="N512" s="9" cm="1">
        <f t="array" ref="N512">_xlfn.IFS(M512="HIGH",K512*L512,M512="MEDIUM",K512*L512,M512="LOW","NA")</f>
        <v>7280</v>
      </c>
      <c r="O512" s="18" t="str">
        <f t="shared" si="23"/>
        <v>still in yard</v>
      </c>
    </row>
    <row r="513" spans="1:15" x14ac:dyDescent="0.25">
      <c r="A513" s="17">
        <v>509</v>
      </c>
      <c r="B513" s="6" t="s">
        <v>546</v>
      </c>
      <c r="C513" s="6" t="s">
        <v>16</v>
      </c>
      <c r="D513" s="6" t="s">
        <v>34</v>
      </c>
      <c r="E513" s="6" t="s">
        <v>39</v>
      </c>
      <c r="F513" s="6" t="s">
        <v>29</v>
      </c>
      <c r="G513" s="7">
        <v>46196</v>
      </c>
      <c r="H513" s="6">
        <v>4</v>
      </c>
      <c r="I513" s="7">
        <v>46202</v>
      </c>
      <c r="J513" s="7">
        <f t="shared" si="22"/>
        <v>46200</v>
      </c>
      <c r="K513" s="8">
        <v>150</v>
      </c>
      <c r="L513" s="9">
        <f t="shared" si="21"/>
        <v>2</v>
      </c>
      <c r="M513" s="9" t="str" cm="1">
        <f t="array" ref="M513">_xlfn.IFS(L513&gt;=10,"HIGH",L513=0,"LOW",L513&lt;=9,"MEDIUM")</f>
        <v>MEDIUM</v>
      </c>
      <c r="N513" s="9" cm="1">
        <f t="array" ref="N513">_xlfn.IFS(M513="HIGH",K513*L513,M513="MEDIUM",K513*L513,M513="LOW","NA")</f>
        <v>300</v>
      </c>
      <c r="O513" s="18" t="str">
        <f t="shared" si="23"/>
        <v>cleared</v>
      </c>
    </row>
    <row r="514" spans="1:15" x14ac:dyDescent="0.25">
      <c r="A514" s="17">
        <v>510</v>
      </c>
      <c r="B514" s="6" t="s">
        <v>547</v>
      </c>
      <c r="C514" s="6" t="s">
        <v>33</v>
      </c>
      <c r="D514" s="6" t="s">
        <v>56</v>
      </c>
      <c r="E514" s="6" t="s">
        <v>42</v>
      </c>
      <c r="F514" s="6" t="s">
        <v>27</v>
      </c>
      <c r="G514" s="7">
        <v>46233</v>
      </c>
      <c r="H514" s="6">
        <v>6</v>
      </c>
      <c r="I514" s="7">
        <v>46239</v>
      </c>
      <c r="J514" s="7">
        <f t="shared" si="22"/>
        <v>46239</v>
      </c>
      <c r="K514" s="8">
        <v>130</v>
      </c>
      <c r="L514" s="9">
        <f t="shared" si="21"/>
        <v>0</v>
      </c>
      <c r="M514" s="9" t="str" cm="1">
        <f t="array" ref="M514">_xlfn.IFS(L514&gt;=10,"HIGH",L514=0,"LOW",L514&lt;=9,"MEDIUM")</f>
        <v>LOW</v>
      </c>
      <c r="N514" s="9" t="str" cm="1">
        <f t="array" ref="N514">_xlfn.IFS(M514="HIGH",K514*L514,M514="MEDIUM",K514*L514,M514="LOW","NA")</f>
        <v>NA</v>
      </c>
      <c r="O514" s="18" t="str">
        <f t="shared" si="23"/>
        <v>cleared</v>
      </c>
    </row>
    <row r="515" spans="1:15" x14ac:dyDescent="0.25">
      <c r="A515" s="17">
        <v>511</v>
      </c>
      <c r="B515" s="6" t="s">
        <v>548</v>
      </c>
      <c r="C515" s="6" t="s">
        <v>33</v>
      </c>
      <c r="D515" s="6" t="s">
        <v>56</v>
      </c>
      <c r="E515" s="6" t="s">
        <v>21</v>
      </c>
      <c r="F515" s="6" t="s">
        <v>14</v>
      </c>
      <c r="G515" s="7">
        <v>46198</v>
      </c>
      <c r="H515" s="6">
        <v>5</v>
      </c>
      <c r="I515" s="7">
        <v>46200</v>
      </c>
      <c r="J515" s="7">
        <f t="shared" si="22"/>
        <v>46203</v>
      </c>
      <c r="K515" s="8">
        <v>75</v>
      </c>
      <c r="L515" s="9">
        <f t="shared" si="21"/>
        <v>0</v>
      </c>
      <c r="M515" s="9" t="str" cm="1">
        <f t="array" ref="M515">_xlfn.IFS(L515&gt;=10,"HIGH",L515=0,"LOW",L515&lt;=9,"MEDIUM")</f>
        <v>LOW</v>
      </c>
      <c r="N515" s="9" t="str" cm="1">
        <f t="array" ref="N515">_xlfn.IFS(M515="HIGH",K515*L515,M515="MEDIUM",K515*L515,M515="LOW","NA")</f>
        <v>NA</v>
      </c>
      <c r="O515" s="18" t="str">
        <f t="shared" si="23"/>
        <v>cleared</v>
      </c>
    </row>
    <row r="516" spans="1:15" x14ac:dyDescent="0.25">
      <c r="A516" s="17">
        <v>512</v>
      </c>
      <c r="B516" s="6" t="s">
        <v>549</v>
      </c>
      <c r="C516" s="6" t="s">
        <v>33</v>
      </c>
      <c r="D516" s="6" t="s">
        <v>41</v>
      </c>
      <c r="E516" s="6" t="s">
        <v>21</v>
      </c>
      <c r="F516" s="6" t="s">
        <v>27</v>
      </c>
      <c r="G516" s="7">
        <v>46243</v>
      </c>
      <c r="H516" s="6">
        <v>6</v>
      </c>
      <c r="I516" s="7">
        <v>46244</v>
      </c>
      <c r="J516" s="7">
        <f t="shared" si="22"/>
        <v>46249</v>
      </c>
      <c r="K516" s="8">
        <v>60</v>
      </c>
      <c r="L516" s="9">
        <f t="shared" si="21"/>
        <v>0</v>
      </c>
      <c r="M516" s="9" t="str" cm="1">
        <f t="array" ref="M516">_xlfn.IFS(L516&gt;=10,"HIGH",L516=0,"LOW",L516&lt;=9,"MEDIUM")</f>
        <v>LOW</v>
      </c>
      <c r="N516" s="9" t="str" cm="1">
        <f t="array" ref="N516">_xlfn.IFS(M516="HIGH",K516*L516,M516="MEDIUM",K516*L516,M516="LOW","NA")</f>
        <v>NA</v>
      </c>
      <c r="O516" s="18" t="str">
        <f t="shared" si="23"/>
        <v>cleared</v>
      </c>
    </row>
    <row r="517" spans="1:15" x14ac:dyDescent="0.25">
      <c r="A517" s="17">
        <v>513</v>
      </c>
      <c r="B517" s="6" t="s">
        <v>550</v>
      </c>
      <c r="C517" s="6" t="s">
        <v>37</v>
      </c>
      <c r="D517" s="6" t="s">
        <v>20</v>
      </c>
      <c r="E517" s="6" t="s">
        <v>44</v>
      </c>
      <c r="F517" s="6" t="s">
        <v>29</v>
      </c>
      <c r="G517" s="7">
        <v>46186</v>
      </c>
      <c r="H517" s="6">
        <v>4</v>
      </c>
      <c r="I517" s="7">
        <v>46187</v>
      </c>
      <c r="J517" s="7">
        <f t="shared" si="22"/>
        <v>46190</v>
      </c>
      <c r="K517" s="8">
        <v>120</v>
      </c>
      <c r="L517" s="9">
        <f t="shared" ref="L517:L580" si="24">MAX(0, IF(I517="", $C$2-J517, I517-J517))</f>
        <v>0</v>
      </c>
      <c r="M517" s="9" t="str" cm="1">
        <f t="array" ref="M517">_xlfn.IFS(L517&gt;=10,"HIGH",L517=0,"LOW",L517&lt;=9,"MEDIUM")</f>
        <v>LOW</v>
      </c>
      <c r="N517" s="9" t="str" cm="1">
        <f t="array" ref="N517">_xlfn.IFS(M517="HIGH",K517*L517,M517="MEDIUM",K517*L517,M517="LOW","NA")</f>
        <v>NA</v>
      </c>
      <c r="O517" s="18" t="str">
        <f t="shared" si="23"/>
        <v>cleared</v>
      </c>
    </row>
    <row r="518" spans="1:15" x14ac:dyDescent="0.25">
      <c r="A518" s="17">
        <v>514</v>
      </c>
      <c r="B518" s="6" t="s">
        <v>551</v>
      </c>
      <c r="C518" s="6" t="s">
        <v>37</v>
      </c>
      <c r="D518" s="6" t="s">
        <v>56</v>
      </c>
      <c r="E518" s="6" t="s">
        <v>18</v>
      </c>
      <c r="F518" s="6" t="s">
        <v>14</v>
      </c>
      <c r="G518" s="7">
        <v>46254</v>
      </c>
      <c r="H518" s="6">
        <v>6</v>
      </c>
      <c r="I518" s="6"/>
      <c r="J518" s="7">
        <f t="shared" ref="J518:J581" si="25">G518+H518</f>
        <v>46260</v>
      </c>
      <c r="K518" s="8">
        <v>75</v>
      </c>
      <c r="L518" s="9">
        <f t="shared" si="24"/>
        <v>0</v>
      </c>
      <c r="M518" s="9" t="str" cm="1">
        <f t="array" ref="M518">_xlfn.IFS(L518&gt;=10,"HIGH",L518=0,"LOW",L518&lt;=9,"MEDIUM")</f>
        <v>LOW</v>
      </c>
      <c r="N518" s="9" t="str" cm="1">
        <f t="array" ref="N518">_xlfn.IFS(M518="HIGH",K518*L518,M518="MEDIUM",K518*L518,M518="LOW","NA")</f>
        <v>NA</v>
      </c>
      <c r="O518" s="18" t="str">
        <f t="shared" ref="O518:O581" si="26">IF(I518="","still in yard","cleared")</f>
        <v>still in yard</v>
      </c>
    </row>
    <row r="519" spans="1:15" x14ac:dyDescent="0.25">
      <c r="A519" s="17">
        <v>515</v>
      </c>
      <c r="B519" s="6" t="s">
        <v>552</v>
      </c>
      <c r="C519" s="6" t="s">
        <v>37</v>
      </c>
      <c r="D519" s="6" t="s">
        <v>54</v>
      </c>
      <c r="E519" s="6" t="s">
        <v>61</v>
      </c>
      <c r="F519" s="6" t="s">
        <v>29</v>
      </c>
      <c r="G519" s="7">
        <v>46225</v>
      </c>
      <c r="H519" s="6">
        <v>3</v>
      </c>
      <c r="I519" s="6"/>
      <c r="J519" s="7">
        <f t="shared" si="25"/>
        <v>46228</v>
      </c>
      <c r="K519" s="8">
        <v>120</v>
      </c>
      <c r="L519" s="9">
        <f t="shared" si="24"/>
        <v>31</v>
      </c>
      <c r="M519" s="9" t="str" cm="1">
        <f t="array" ref="M519">_xlfn.IFS(L519&gt;=10,"HIGH",L519=0,"LOW",L519&lt;=9,"MEDIUM")</f>
        <v>HIGH</v>
      </c>
      <c r="N519" s="9" cm="1">
        <f t="array" ref="N519">_xlfn.IFS(M519="HIGH",K519*L519,M519="MEDIUM",K519*L519,M519="LOW","NA")</f>
        <v>3720</v>
      </c>
      <c r="O519" s="18" t="str">
        <f t="shared" si="26"/>
        <v>still in yard</v>
      </c>
    </row>
    <row r="520" spans="1:15" x14ac:dyDescent="0.25">
      <c r="A520" s="17">
        <v>516</v>
      </c>
      <c r="B520" s="6" t="s">
        <v>553</v>
      </c>
      <c r="C520" s="6" t="s">
        <v>33</v>
      </c>
      <c r="D520" s="6" t="s">
        <v>56</v>
      </c>
      <c r="E520" s="6" t="s">
        <v>42</v>
      </c>
      <c r="F520" s="6" t="s">
        <v>27</v>
      </c>
      <c r="G520" s="7">
        <v>46240</v>
      </c>
      <c r="H520" s="6">
        <v>7</v>
      </c>
      <c r="I520" s="6"/>
      <c r="J520" s="7">
        <f t="shared" si="25"/>
        <v>46247</v>
      </c>
      <c r="K520" s="8">
        <v>130</v>
      </c>
      <c r="L520" s="9">
        <f t="shared" si="24"/>
        <v>12</v>
      </c>
      <c r="M520" s="9" t="str" cm="1">
        <f t="array" ref="M520">_xlfn.IFS(L520&gt;=10,"HIGH",L520=0,"LOW",L520&lt;=9,"MEDIUM")</f>
        <v>HIGH</v>
      </c>
      <c r="N520" s="9" cm="1">
        <f t="array" ref="N520">_xlfn.IFS(M520="HIGH",K520*L520,M520="MEDIUM",K520*L520,M520="LOW","NA")</f>
        <v>1560</v>
      </c>
      <c r="O520" s="18" t="str">
        <f t="shared" si="26"/>
        <v>still in yard</v>
      </c>
    </row>
    <row r="521" spans="1:15" x14ac:dyDescent="0.25">
      <c r="A521" s="17">
        <v>517</v>
      </c>
      <c r="B521" s="6" t="s">
        <v>554</v>
      </c>
      <c r="C521" s="6" t="s">
        <v>11</v>
      </c>
      <c r="D521" s="6" t="s">
        <v>56</v>
      </c>
      <c r="E521" s="6" t="s">
        <v>61</v>
      </c>
      <c r="F521" s="6" t="s">
        <v>29</v>
      </c>
      <c r="G521" s="7">
        <v>46258</v>
      </c>
      <c r="H521" s="6">
        <v>3</v>
      </c>
      <c r="I521" s="7">
        <v>46259</v>
      </c>
      <c r="J521" s="7">
        <f t="shared" si="25"/>
        <v>46261</v>
      </c>
      <c r="K521" s="8">
        <v>180</v>
      </c>
      <c r="L521" s="9">
        <f t="shared" si="24"/>
        <v>0</v>
      </c>
      <c r="M521" s="9" t="str" cm="1">
        <f t="array" ref="M521">_xlfn.IFS(L521&gt;=10,"HIGH",L521=0,"LOW",L521&lt;=9,"MEDIUM")</f>
        <v>LOW</v>
      </c>
      <c r="N521" s="9" t="str" cm="1">
        <f t="array" ref="N521">_xlfn.IFS(M521="HIGH",K521*L521,M521="MEDIUM",K521*L521,M521="LOW","NA")</f>
        <v>NA</v>
      </c>
      <c r="O521" s="18" t="str">
        <f t="shared" si="26"/>
        <v>cleared</v>
      </c>
    </row>
    <row r="522" spans="1:15" x14ac:dyDescent="0.25">
      <c r="A522" s="17">
        <v>518</v>
      </c>
      <c r="B522" s="6" t="s">
        <v>555</v>
      </c>
      <c r="C522" s="6" t="s">
        <v>16</v>
      </c>
      <c r="D522" s="6" t="s">
        <v>17</v>
      </c>
      <c r="E522" s="6" t="s">
        <v>61</v>
      </c>
      <c r="F522" s="6" t="s">
        <v>14</v>
      </c>
      <c r="G522" s="7">
        <v>46252</v>
      </c>
      <c r="H522" s="6">
        <v>7</v>
      </c>
      <c r="I522" s="7">
        <v>46253</v>
      </c>
      <c r="J522" s="7">
        <f t="shared" si="25"/>
        <v>46259</v>
      </c>
      <c r="K522" s="8">
        <v>130</v>
      </c>
      <c r="L522" s="9">
        <f t="shared" si="24"/>
        <v>0</v>
      </c>
      <c r="M522" s="9" t="str" cm="1">
        <f t="array" ref="M522">_xlfn.IFS(L522&gt;=10,"HIGH",L522=0,"LOW",L522&lt;=9,"MEDIUM")</f>
        <v>LOW</v>
      </c>
      <c r="N522" s="9" t="str" cm="1">
        <f t="array" ref="N522">_xlfn.IFS(M522="HIGH",K522*L522,M522="MEDIUM",K522*L522,M522="LOW","NA")</f>
        <v>NA</v>
      </c>
      <c r="O522" s="18" t="str">
        <f t="shared" si="26"/>
        <v>cleared</v>
      </c>
    </row>
    <row r="523" spans="1:15" x14ac:dyDescent="0.25">
      <c r="A523" s="17">
        <v>519</v>
      </c>
      <c r="B523" s="6" t="s">
        <v>556</v>
      </c>
      <c r="C523" s="6" t="s">
        <v>37</v>
      </c>
      <c r="D523" s="6" t="s">
        <v>54</v>
      </c>
      <c r="E523" s="6" t="s">
        <v>23</v>
      </c>
      <c r="F523" s="6" t="s">
        <v>29</v>
      </c>
      <c r="G523" s="7">
        <v>46232</v>
      </c>
      <c r="H523" s="6">
        <v>3</v>
      </c>
      <c r="I523" s="7">
        <v>46236</v>
      </c>
      <c r="J523" s="7">
        <f t="shared" si="25"/>
        <v>46235</v>
      </c>
      <c r="K523" s="8">
        <v>180</v>
      </c>
      <c r="L523" s="9">
        <f t="shared" si="24"/>
        <v>1</v>
      </c>
      <c r="M523" s="9" t="str" cm="1">
        <f t="array" ref="M523">_xlfn.IFS(L523&gt;=10,"HIGH",L523=0,"LOW",L523&lt;=9,"MEDIUM")</f>
        <v>MEDIUM</v>
      </c>
      <c r="N523" s="9" cm="1">
        <f t="array" ref="N523">_xlfn.IFS(M523="HIGH",K523*L523,M523="MEDIUM",K523*L523,M523="LOW","NA")</f>
        <v>180</v>
      </c>
      <c r="O523" s="18" t="str">
        <f t="shared" si="26"/>
        <v>cleared</v>
      </c>
    </row>
    <row r="524" spans="1:15" x14ac:dyDescent="0.25">
      <c r="A524" s="17">
        <v>520</v>
      </c>
      <c r="B524" s="6" t="s">
        <v>557</v>
      </c>
      <c r="C524" s="6" t="s">
        <v>37</v>
      </c>
      <c r="D524" s="6" t="s">
        <v>49</v>
      </c>
      <c r="E524" s="6" t="s">
        <v>42</v>
      </c>
      <c r="F524" s="6" t="s">
        <v>14</v>
      </c>
      <c r="G524" s="7">
        <v>46189</v>
      </c>
      <c r="H524" s="6">
        <v>7</v>
      </c>
      <c r="I524" s="7">
        <v>46201</v>
      </c>
      <c r="J524" s="7">
        <f t="shared" si="25"/>
        <v>46196</v>
      </c>
      <c r="K524" s="8">
        <v>60</v>
      </c>
      <c r="L524" s="9">
        <f t="shared" si="24"/>
        <v>5</v>
      </c>
      <c r="M524" s="9" t="str" cm="1">
        <f t="array" ref="M524">_xlfn.IFS(L524&gt;=10,"HIGH",L524=0,"LOW",L524&lt;=9,"MEDIUM")</f>
        <v>MEDIUM</v>
      </c>
      <c r="N524" s="9" cm="1">
        <f t="array" ref="N524">_xlfn.IFS(M524="HIGH",K524*L524,M524="MEDIUM",K524*L524,M524="LOW","NA")</f>
        <v>300</v>
      </c>
      <c r="O524" s="18" t="str">
        <f t="shared" si="26"/>
        <v>cleared</v>
      </c>
    </row>
    <row r="525" spans="1:15" x14ac:dyDescent="0.25">
      <c r="A525" s="17">
        <v>521</v>
      </c>
      <c r="B525" s="6" t="s">
        <v>558</v>
      </c>
      <c r="C525" s="6" t="s">
        <v>16</v>
      </c>
      <c r="D525" s="6" t="s">
        <v>34</v>
      </c>
      <c r="E525" s="6" t="s">
        <v>46</v>
      </c>
      <c r="F525" s="6" t="s">
        <v>24</v>
      </c>
      <c r="G525" s="7">
        <v>46219</v>
      </c>
      <c r="H525" s="6">
        <v>5</v>
      </c>
      <c r="I525" s="6"/>
      <c r="J525" s="7">
        <f t="shared" si="25"/>
        <v>46224</v>
      </c>
      <c r="K525" s="8">
        <v>130</v>
      </c>
      <c r="L525" s="9">
        <f t="shared" si="24"/>
        <v>35</v>
      </c>
      <c r="M525" s="9" t="str" cm="1">
        <f t="array" ref="M525">_xlfn.IFS(L525&gt;=10,"HIGH",L525=0,"LOW",L525&lt;=9,"MEDIUM")</f>
        <v>HIGH</v>
      </c>
      <c r="N525" s="9" cm="1">
        <f t="array" ref="N525">_xlfn.IFS(M525="HIGH",K525*L525,M525="MEDIUM",K525*L525,M525="LOW","NA")</f>
        <v>4550</v>
      </c>
      <c r="O525" s="18" t="str">
        <f t="shared" si="26"/>
        <v>still in yard</v>
      </c>
    </row>
    <row r="526" spans="1:15" x14ac:dyDescent="0.25">
      <c r="A526" s="17">
        <v>522</v>
      </c>
      <c r="B526" s="6" t="s">
        <v>559</v>
      </c>
      <c r="C526" s="6" t="s">
        <v>11</v>
      </c>
      <c r="D526" s="6" t="s">
        <v>20</v>
      </c>
      <c r="E526" s="6" t="s">
        <v>44</v>
      </c>
      <c r="F526" s="6" t="s">
        <v>14</v>
      </c>
      <c r="G526" s="7">
        <v>46249</v>
      </c>
      <c r="H526" s="6">
        <v>4</v>
      </c>
      <c r="I526" s="6"/>
      <c r="J526" s="7">
        <f t="shared" si="25"/>
        <v>46253</v>
      </c>
      <c r="K526" s="8">
        <v>130</v>
      </c>
      <c r="L526" s="9">
        <f t="shared" si="24"/>
        <v>6</v>
      </c>
      <c r="M526" s="9" t="str" cm="1">
        <f t="array" ref="M526">_xlfn.IFS(L526&gt;=10,"HIGH",L526=0,"LOW",L526&lt;=9,"MEDIUM")</f>
        <v>MEDIUM</v>
      </c>
      <c r="N526" s="9" cm="1">
        <f t="array" ref="N526">_xlfn.IFS(M526="HIGH",K526*L526,M526="MEDIUM",K526*L526,M526="LOW","NA")</f>
        <v>780</v>
      </c>
      <c r="O526" s="18" t="str">
        <f t="shared" si="26"/>
        <v>still in yard</v>
      </c>
    </row>
    <row r="527" spans="1:15" x14ac:dyDescent="0.25">
      <c r="A527" s="17">
        <v>523</v>
      </c>
      <c r="B527" s="6" t="s">
        <v>560</v>
      </c>
      <c r="C527" s="6" t="s">
        <v>37</v>
      </c>
      <c r="D527" s="6" t="s">
        <v>17</v>
      </c>
      <c r="E527" s="6" t="s">
        <v>13</v>
      </c>
      <c r="F527" s="6" t="s">
        <v>29</v>
      </c>
      <c r="G527" s="7">
        <v>46206</v>
      </c>
      <c r="H527" s="6">
        <v>4</v>
      </c>
      <c r="I527" s="7">
        <v>46213</v>
      </c>
      <c r="J527" s="7">
        <f t="shared" si="25"/>
        <v>46210</v>
      </c>
      <c r="K527" s="8">
        <v>120</v>
      </c>
      <c r="L527" s="9">
        <f t="shared" si="24"/>
        <v>3</v>
      </c>
      <c r="M527" s="9" t="str" cm="1">
        <f t="array" ref="M527">_xlfn.IFS(L527&gt;=10,"HIGH",L527=0,"LOW",L527&lt;=9,"MEDIUM")</f>
        <v>MEDIUM</v>
      </c>
      <c r="N527" s="9" cm="1">
        <f t="array" ref="N527">_xlfn.IFS(M527="HIGH",K527*L527,M527="MEDIUM",K527*L527,M527="LOW","NA")</f>
        <v>360</v>
      </c>
      <c r="O527" s="18" t="str">
        <f t="shared" si="26"/>
        <v>cleared</v>
      </c>
    </row>
    <row r="528" spans="1:15" x14ac:dyDescent="0.25">
      <c r="A528" s="17">
        <v>524</v>
      </c>
      <c r="B528" s="6" t="s">
        <v>561</v>
      </c>
      <c r="C528" s="6" t="s">
        <v>16</v>
      </c>
      <c r="D528" s="6" t="s">
        <v>54</v>
      </c>
      <c r="E528" s="6" t="s">
        <v>44</v>
      </c>
      <c r="F528" s="6" t="s">
        <v>14</v>
      </c>
      <c r="G528" s="7">
        <v>46173</v>
      </c>
      <c r="H528" s="6">
        <v>5</v>
      </c>
      <c r="I528" s="7">
        <v>46174</v>
      </c>
      <c r="J528" s="7">
        <f t="shared" si="25"/>
        <v>46178</v>
      </c>
      <c r="K528" s="8">
        <v>75</v>
      </c>
      <c r="L528" s="9">
        <f t="shared" si="24"/>
        <v>0</v>
      </c>
      <c r="M528" s="9" t="str" cm="1">
        <f t="array" ref="M528">_xlfn.IFS(L528&gt;=10,"HIGH",L528=0,"LOW",L528&lt;=9,"MEDIUM")</f>
        <v>LOW</v>
      </c>
      <c r="N528" s="9" t="str" cm="1">
        <f t="array" ref="N528">_xlfn.IFS(M528="HIGH",K528*L528,M528="MEDIUM",K528*L528,M528="LOW","NA")</f>
        <v>NA</v>
      </c>
      <c r="O528" s="18" t="str">
        <f t="shared" si="26"/>
        <v>cleared</v>
      </c>
    </row>
    <row r="529" spans="1:15" x14ac:dyDescent="0.25">
      <c r="A529" s="17">
        <v>525</v>
      </c>
      <c r="B529" s="6" t="s">
        <v>562</v>
      </c>
      <c r="C529" s="6" t="s">
        <v>11</v>
      </c>
      <c r="D529" s="6" t="s">
        <v>41</v>
      </c>
      <c r="E529" s="6" t="s">
        <v>46</v>
      </c>
      <c r="F529" s="6" t="s">
        <v>27</v>
      </c>
      <c r="G529" s="7">
        <v>46226</v>
      </c>
      <c r="H529" s="6">
        <v>5</v>
      </c>
      <c r="I529" s="7">
        <v>46234</v>
      </c>
      <c r="J529" s="7">
        <f t="shared" si="25"/>
        <v>46231</v>
      </c>
      <c r="K529" s="8">
        <v>60</v>
      </c>
      <c r="L529" s="9">
        <f t="shared" si="24"/>
        <v>3</v>
      </c>
      <c r="M529" s="9" t="str" cm="1">
        <f t="array" ref="M529">_xlfn.IFS(L529&gt;=10,"HIGH",L529=0,"LOW",L529&lt;=9,"MEDIUM")</f>
        <v>MEDIUM</v>
      </c>
      <c r="N529" s="9" cm="1">
        <f t="array" ref="N529">_xlfn.IFS(M529="HIGH",K529*L529,M529="MEDIUM",K529*L529,M529="LOW","NA")</f>
        <v>180</v>
      </c>
      <c r="O529" s="18" t="str">
        <f t="shared" si="26"/>
        <v>cleared</v>
      </c>
    </row>
    <row r="530" spans="1:15" x14ac:dyDescent="0.25">
      <c r="A530" s="17">
        <v>526</v>
      </c>
      <c r="B530" s="6" t="s">
        <v>563</v>
      </c>
      <c r="C530" s="6" t="s">
        <v>11</v>
      </c>
      <c r="D530" s="6" t="s">
        <v>49</v>
      </c>
      <c r="E530" s="6" t="s">
        <v>42</v>
      </c>
      <c r="F530" s="6" t="s">
        <v>27</v>
      </c>
      <c r="G530" s="7">
        <v>46202</v>
      </c>
      <c r="H530" s="6">
        <v>5</v>
      </c>
      <c r="I530" s="7">
        <v>46203</v>
      </c>
      <c r="J530" s="7">
        <f t="shared" si="25"/>
        <v>46207</v>
      </c>
      <c r="K530" s="8">
        <v>130</v>
      </c>
      <c r="L530" s="9">
        <f t="shared" si="24"/>
        <v>0</v>
      </c>
      <c r="M530" s="9" t="str" cm="1">
        <f t="array" ref="M530">_xlfn.IFS(L530&gt;=10,"HIGH",L530=0,"LOW",L530&lt;=9,"MEDIUM")</f>
        <v>LOW</v>
      </c>
      <c r="N530" s="9" t="str" cm="1">
        <f t="array" ref="N530">_xlfn.IFS(M530="HIGH",K530*L530,M530="MEDIUM",K530*L530,M530="LOW","NA")</f>
        <v>NA</v>
      </c>
      <c r="O530" s="18" t="str">
        <f t="shared" si="26"/>
        <v>cleared</v>
      </c>
    </row>
    <row r="531" spans="1:15" x14ac:dyDescent="0.25">
      <c r="A531" s="17">
        <v>527</v>
      </c>
      <c r="B531" s="6" t="s">
        <v>564</v>
      </c>
      <c r="C531" s="6" t="s">
        <v>11</v>
      </c>
      <c r="D531" s="6" t="s">
        <v>31</v>
      </c>
      <c r="E531" s="6" t="s">
        <v>18</v>
      </c>
      <c r="F531" s="6" t="s">
        <v>14</v>
      </c>
      <c r="G531" s="7">
        <v>46206</v>
      </c>
      <c r="H531" s="6">
        <v>7</v>
      </c>
      <c r="I531" s="6"/>
      <c r="J531" s="7">
        <f t="shared" si="25"/>
        <v>46213</v>
      </c>
      <c r="K531" s="8">
        <v>75</v>
      </c>
      <c r="L531" s="9">
        <f t="shared" si="24"/>
        <v>46</v>
      </c>
      <c r="M531" s="9" t="str" cm="1">
        <f t="array" ref="M531">_xlfn.IFS(L531&gt;=10,"HIGH",L531=0,"LOW",L531&lt;=9,"MEDIUM")</f>
        <v>HIGH</v>
      </c>
      <c r="N531" s="9" cm="1">
        <f t="array" ref="N531">_xlfn.IFS(M531="HIGH",K531*L531,M531="MEDIUM",K531*L531,M531="LOW","NA")</f>
        <v>3450</v>
      </c>
      <c r="O531" s="18" t="str">
        <f t="shared" si="26"/>
        <v>still in yard</v>
      </c>
    </row>
    <row r="532" spans="1:15" x14ac:dyDescent="0.25">
      <c r="A532" s="17">
        <v>528</v>
      </c>
      <c r="B532" s="6" t="s">
        <v>565</v>
      </c>
      <c r="C532" s="6" t="s">
        <v>11</v>
      </c>
      <c r="D532" s="6" t="s">
        <v>34</v>
      </c>
      <c r="E532" s="6" t="s">
        <v>44</v>
      </c>
      <c r="F532" s="6" t="s">
        <v>27</v>
      </c>
      <c r="G532" s="7">
        <v>46215</v>
      </c>
      <c r="H532" s="6">
        <v>4</v>
      </c>
      <c r="I532" s="7">
        <v>46216</v>
      </c>
      <c r="J532" s="7">
        <f t="shared" si="25"/>
        <v>46219</v>
      </c>
      <c r="K532" s="8">
        <v>60</v>
      </c>
      <c r="L532" s="9">
        <f t="shared" si="24"/>
        <v>0</v>
      </c>
      <c r="M532" s="9" t="str" cm="1">
        <f t="array" ref="M532">_xlfn.IFS(L532&gt;=10,"HIGH",L532=0,"LOW",L532&lt;=9,"MEDIUM")</f>
        <v>LOW</v>
      </c>
      <c r="N532" s="9" t="str" cm="1">
        <f t="array" ref="N532">_xlfn.IFS(M532="HIGH",K532*L532,M532="MEDIUM",K532*L532,M532="LOW","NA")</f>
        <v>NA</v>
      </c>
      <c r="O532" s="18" t="str">
        <f t="shared" si="26"/>
        <v>cleared</v>
      </c>
    </row>
    <row r="533" spans="1:15" x14ac:dyDescent="0.25">
      <c r="A533" s="17">
        <v>529</v>
      </c>
      <c r="B533" s="6" t="s">
        <v>566</v>
      </c>
      <c r="C533" s="6" t="s">
        <v>16</v>
      </c>
      <c r="D533" s="6" t="s">
        <v>34</v>
      </c>
      <c r="E533" s="6" t="s">
        <v>13</v>
      </c>
      <c r="F533" s="6" t="s">
        <v>24</v>
      </c>
      <c r="G533" s="7">
        <v>46212</v>
      </c>
      <c r="H533" s="6">
        <v>4</v>
      </c>
      <c r="I533" s="7">
        <v>46218</v>
      </c>
      <c r="J533" s="7">
        <f t="shared" si="25"/>
        <v>46216</v>
      </c>
      <c r="K533" s="8">
        <v>130</v>
      </c>
      <c r="L533" s="9">
        <f t="shared" si="24"/>
        <v>2</v>
      </c>
      <c r="M533" s="9" t="str" cm="1">
        <f t="array" ref="M533">_xlfn.IFS(L533&gt;=10,"HIGH",L533=0,"LOW",L533&lt;=9,"MEDIUM")</f>
        <v>MEDIUM</v>
      </c>
      <c r="N533" s="9" cm="1">
        <f t="array" ref="N533">_xlfn.IFS(M533="HIGH",K533*L533,M533="MEDIUM",K533*L533,M533="LOW","NA")</f>
        <v>260</v>
      </c>
      <c r="O533" s="18" t="str">
        <f t="shared" si="26"/>
        <v>cleared</v>
      </c>
    </row>
    <row r="534" spans="1:15" x14ac:dyDescent="0.25">
      <c r="A534" s="17">
        <v>530</v>
      </c>
      <c r="B534" s="6" t="s">
        <v>567</v>
      </c>
      <c r="C534" s="6" t="s">
        <v>16</v>
      </c>
      <c r="D534" s="6" t="s">
        <v>17</v>
      </c>
      <c r="E534" s="6" t="s">
        <v>18</v>
      </c>
      <c r="F534" s="6" t="s">
        <v>29</v>
      </c>
      <c r="G534" s="7">
        <v>46192</v>
      </c>
      <c r="H534" s="6">
        <v>4</v>
      </c>
      <c r="I534" s="7">
        <v>46195</v>
      </c>
      <c r="J534" s="7">
        <f t="shared" si="25"/>
        <v>46196</v>
      </c>
      <c r="K534" s="8">
        <v>180</v>
      </c>
      <c r="L534" s="9">
        <f t="shared" si="24"/>
        <v>0</v>
      </c>
      <c r="M534" s="9" t="str" cm="1">
        <f t="array" ref="M534">_xlfn.IFS(L534&gt;=10,"HIGH",L534=0,"LOW",L534&lt;=9,"MEDIUM")</f>
        <v>LOW</v>
      </c>
      <c r="N534" s="9" t="str" cm="1">
        <f t="array" ref="N534">_xlfn.IFS(M534="HIGH",K534*L534,M534="MEDIUM",K534*L534,M534="LOW","NA")</f>
        <v>NA</v>
      </c>
      <c r="O534" s="18" t="str">
        <f t="shared" si="26"/>
        <v>cleared</v>
      </c>
    </row>
    <row r="535" spans="1:15" x14ac:dyDescent="0.25">
      <c r="A535" s="17">
        <v>531</v>
      </c>
      <c r="B535" s="6" t="s">
        <v>568</v>
      </c>
      <c r="C535" s="6" t="s">
        <v>16</v>
      </c>
      <c r="D535" s="6" t="s">
        <v>20</v>
      </c>
      <c r="E535" s="6" t="s">
        <v>18</v>
      </c>
      <c r="F535" s="6" t="s">
        <v>24</v>
      </c>
      <c r="G535" s="7">
        <v>46257</v>
      </c>
      <c r="H535" s="6">
        <v>5</v>
      </c>
      <c r="I535" s="7">
        <v>46259</v>
      </c>
      <c r="J535" s="7">
        <f t="shared" si="25"/>
        <v>46262</v>
      </c>
      <c r="K535" s="8">
        <v>130</v>
      </c>
      <c r="L535" s="9">
        <f t="shared" si="24"/>
        <v>0</v>
      </c>
      <c r="M535" s="9" t="str" cm="1">
        <f t="array" ref="M535">_xlfn.IFS(L535&gt;=10,"HIGH",L535=0,"LOW",L535&lt;=9,"MEDIUM")</f>
        <v>LOW</v>
      </c>
      <c r="N535" s="9" t="str" cm="1">
        <f t="array" ref="N535">_xlfn.IFS(M535="HIGH",K535*L535,M535="MEDIUM",K535*L535,M535="LOW","NA")</f>
        <v>NA</v>
      </c>
      <c r="O535" s="18" t="str">
        <f t="shared" si="26"/>
        <v>cleared</v>
      </c>
    </row>
    <row r="536" spans="1:15" x14ac:dyDescent="0.25">
      <c r="A536" s="17">
        <v>532</v>
      </c>
      <c r="B536" s="6" t="s">
        <v>569</v>
      </c>
      <c r="C536" s="6" t="s">
        <v>33</v>
      </c>
      <c r="D536" s="6" t="s">
        <v>26</v>
      </c>
      <c r="E536" s="6" t="s">
        <v>23</v>
      </c>
      <c r="F536" s="6" t="s">
        <v>24</v>
      </c>
      <c r="G536" s="7">
        <v>46208</v>
      </c>
      <c r="H536" s="6">
        <v>5</v>
      </c>
      <c r="I536" s="7">
        <v>46219</v>
      </c>
      <c r="J536" s="7">
        <f t="shared" si="25"/>
        <v>46213</v>
      </c>
      <c r="K536" s="8">
        <v>60</v>
      </c>
      <c r="L536" s="9">
        <f t="shared" si="24"/>
        <v>6</v>
      </c>
      <c r="M536" s="9" t="str" cm="1">
        <f t="array" ref="M536">_xlfn.IFS(L536&gt;=10,"HIGH",L536=0,"LOW",L536&lt;=9,"MEDIUM")</f>
        <v>MEDIUM</v>
      </c>
      <c r="N536" s="9" cm="1">
        <f t="array" ref="N536">_xlfn.IFS(M536="HIGH",K536*L536,M536="MEDIUM",K536*L536,M536="LOW","NA")</f>
        <v>360</v>
      </c>
      <c r="O536" s="18" t="str">
        <f t="shared" si="26"/>
        <v>cleared</v>
      </c>
    </row>
    <row r="537" spans="1:15" x14ac:dyDescent="0.25">
      <c r="A537" s="17">
        <v>533</v>
      </c>
      <c r="B537" s="6" t="s">
        <v>570</v>
      </c>
      <c r="C537" s="6" t="s">
        <v>16</v>
      </c>
      <c r="D537" s="6" t="s">
        <v>20</v>
      </c>
      <c r="E537" s="6" t="s">
        <v>46</v>
      </c>
      <c r="F537" s="6" t="s">
        <v>27</v>
      </c>
      <c r="G537" s="7">
        <v>46175</v>
      </c>
      <c r="H537" s="6">
        <v>4</v>
      </c>
      <c r="I537" s="7">
        <v>46177</v>
      </c>
      <c r="J537" s="7">
        <f t="shared" si="25"/>
        <v>46179</v>
      </c>
      <c r="K537" s="8">
        <v>60</v>
      </c>
      <c r="L537" s="9">
        <f t="shared" si="24"/>
        <v>0</v>
      </c>
      <c r="M537" s="9" t="str" cm="1">
        <f t="array" ref="M537">_xlfn.IFS(L537&gt;=10,"HIGH",L537=0,"LOW",L537&lt;=9,"MEDIUM")</f>
        <v>LOW</v>
      </c>
      <c r="N537" s="9" t="str" cm="1">
        <f t="array" ref="N537">_xlfn.IFS(M537="HIGH",K537*L537,M537="MEDIUM",K537*L537,M537="LOW","NA")</f>
        <v>NA</v>
      </c>
      <c r="O537" s="18" t="str">
        <f t="shared" si="26"/>
        <v>cleared</v>
      </c>
    </row>
    <row r="538" spans="1:15" x14ac:dyDescent="0.25">
      <c r="A538" s="17">
        <v>534</v>
      </c>
      <c r="B538" s="6" t="s">
        <v>571</v>
      </c>
      <c r="C538" s="6" t="s">
        <v>16</v>
      </c>
      <c r="D538" s="6" t="s">
        <v>17</v>
      </c>
      <c r="E538" s="6" t="s">
        <v>44</v>
      </c>
      <c r="F538" s="6" t="s">
        <v>14</v>
      </c>
      <c r="G538" s="7">
        <v>46212</v>
      </c>
      <c r="H538" s="6">
        <v>4</v>
      </c>
      <c r="I538" s="6"/>
      <c r="J538" s="7">
        <f t="shared" si="25"/>
        <v>46216</v>
      </c>
      <c r="K538" s="8">
        <v>60</v>
      </c>
      <c r="L538" s="9">
        <f t="shared" si="24"/>
        <v>43</v>
      </c>
      <c r="M538" s="9" t="str" cm="1">
        <f t="array" ref="M538">_xlfn.IFS(L538&gt;=10,"HIGH",L538=0,"LOW",L538&lt;=9,"MEDIUM")</f>
        <v>HIGH</v>
      </c>
      <c r="N538" s="9" cm="1">
        <f t="array" ref="N538">_xlfn.IFS(M538="HIGH",K538*L538,M538="MEDIUM",K538*L538,M538="LOW","NA")</f>
        <v>2580</v>
      </c>
      <c r="O538" s="18" t="str">
        <f t="shared" si="26"/>
        <v>still in yard</v>
      </c>
    </row>
    <row r="539" spans="1:15" x14ac:dyDescent="0.25">
      <c r="A539" s="17">
        <v>535</v>
      </c>
      <c r="B539" s="6" t="s">
        <v>572</v>
      </c>
      <c r="C539" s="6" t="s">
        <v>33</v>
      </c>
      <c r="D539" s="6" t="s">
        <v>17</v>
      </c>
      <c r="E539" s="6" t="s">
        <v>46</v>
      </c>
      <c r="F539" s="6" t="s">
        <v>29</v>
      </c>
      <c r="G539" s="7">
        <v>46236</v>
      </c>
      <c r="H539" s="6">
        <v>3</v>
      </c>
      <c r="I539" s="6"/>
      <c r="J539" s="7">
        <f t="shared" si="25"/>
        <v>46239</v>
      </c>
      <c r="K539" s="8">
        <v>150</v>
      </c>
      <c r="L539" s="9">
        <f t="shared" si="24"/>
        <v>20</v>
      </c>
      <c r="M539" s="9" t="str" cm="1">
        <f t="array" ref="M539">_xlfn.IFS(L539&gt;=10,"HIGH",L539=0,"LOW",L539&lt;=9,"MEDIUM")</f>
        <v>HIGH</v>
      </c>
      <c r="N539" s="9" cm="1">
        <f t="array" ref="N539">_xlfn.IFS(M539="HIGH",K539*L539,M539="MEDIUM",K539*L539,M539="LOW","NA")</f>
        <v>3000</v>
      </c>
      <c r="O539" s="18" t="str">
        <f t="shared" si="26"/>
        <v>still in yard</v>
      </c>
    </row>
    <row r="540" spans="1:15" x14ac:dyDescent="0.25">
      <c r="A540" s="17">
        <v>536</v>
      </c>
      <c r="B540" s="6" t="s">
        <v>573</v>
      </c>
      <c r="C540" s="6" t="s">
        <v>33</v>
      </c>
      <c r="D540" s="6" t="s">
        <v>12</v>
      </c>
      <c r="E540" s="6" t="s">
        <v>35</v>
      </c>
      <c r="F540" s="6" t="s">
        <v>14</v>
      </c>
      <c r="G540" s="7">
        <v>46200</v>
      </c>
      <c r="H540" s="6">
        <v>5</v>
      </c>
      <c r="I540" s="7">
        <v>46201</v>
      </c>
      <c r="J540" s="7">
        <f t="shared" si="25"/>
        <v>46205</v>
      </c>
      <c r="K540" s="8">
        <v>75</v>
      </c>
      <c r="L540" s="9">
        <f t="shared" si="24"/>
        <v>0</v>
      </c>
      <c r="M540" s="9" t="str" cm="1">
        <f t="array" ref="M540">_xlfn.IFS(L540&gt;=10,"HIGH",L540=0,"LOW",L540&lt;=9,"MEDIUM")</f>
        <v>LOW</v>
      </c>
      <c r="N540" s="9" t="str" cm="1">
        <f t="array" ref="N540">_xlfn.IFS(M540="HIGH",K540*L540,M540="MEDIUM",K540*L540,M540="LOW","NA")</f>
        <v>NA</v>
      </c>
      <c r="O540" s="18" t="str">
        <f t="shared" si="26"/>
        <v>cleared</v>
      </c>
    </row>
    <row r="541" spans="1:15" x14ac:dyDescent="0.25">
      <c r="A541" s="17">
        <v>537</v>
      </c>
      <c r="B541" s="6" t="s">
        <v>574</v>
      </c>
      <c r="C541" s="6" t="s">
        <v>16</v>
      </c>
      <c r="D541" s="6" t="s">
        <v>49</v>
      </c>
      <c r="E541" s="6" t="s">
        <v>18</v>
      </c>
      <c r="F541" s="6" t="s">
        <v>14</v>
      </c>
      <c r="G541" s="7">
        <v>46232</v>
      </c>
      <c r="H541" s="6">
        <v>5</v>
      </c>
      <c r="I541" s="7">
        <v>46236</v>
      </c>
      <c r="J541" s="7">
        <f t="shared" si="25"/>
        <v>46237</v>
      </c>
      <c r="K541" s="8">
        <v>75</v>
      </c>
      <c r="L541" s="9">
        <f t="shared" si="24"/>
        <v>0</v>
      </c>
      <c r="M541" s="9" t="str" cm="1">
        <f t="array" ref="M541">_xlfn.IFS(L541&gt;=10,"HIGH",L541=0,"LOW",L541&lt;=9,"MEDIUM")</f>
        <v>LOW</v>
      </c>
      <c r="N541" s="9" t="str" cm="1">
        <f t="array" ref="N541">_xlfn.IFS(M541="HIGH",K541*L541,M541="MEDIUM",K541*L541,M541="LOW","NA")</f>
        <v>NA</v>
      </c>
      <c r="O541" s="18" t="str">
        <f t="shared" si="26"/>
        <v>cleared</v>
      </c>
    </row>
    <row r="542" spans="1:15" x14ac:dyDescent="0.25">
      <c r="A542" s="17">
        <v>538</v>
      </c>
      <c r="B542" s="6" t="s">
        <v>575</v>
      </c>
      <c r="C542" s="6" t="s">
        <v>16</v>
      </c>
      <c r="D542" s="6" t="s">
        <v>56</v>
      </c>
      <c r="E542" s="6" t="s">
        <v>23</v>
      </c>
      <c r="F542" s="6" t="s">
        <v>24</v>
      </c>
      <c r="G542" s="7">
        <v>46174</v>
      </c>
      <c r="H542" s="6">
        <v>5</v>
      </c>
      <c r="I542" s="6"/>
      <c r="J542" s="7">
        <f t="shared" si="25"/>
        <v>46179</v>
      </c>
      <c r="K542" s="8">
        <v>75</v>
      </c>
      <c r="L542" s="9">
        <f t="shared" si="24"/>
        <v>80</v>
      </c>
      <c r="M542" s="9" t="str" cm="1">
        <f t="array" ref="M542">_xlfn.IFS(L542&gt;=10,"HIGH",L542=0,"LOW",L542&lt;=9,"MEDIUM")</f>
        <v>HIGH</v>
      </c>
      <c r="N542" s="9" cm="1">
        <f t="array" ref="N542">_xlfn.IFS(M542="HIGH",K542*L542,M542="MEDIUM",K542*L542,M542="LOW","NA")</f>
        <v>6000</v>
      </c>
      <c r="O542" s="18" t="str">
        <f t="shared" si="26"/>
        <v>still in yard</v>
      </c>
    </row>
    <row r="543" spans="1:15" x14ac:dyDescent="0.25">
      <c r="A543" s="17">
        <v>539</v>
      </c>
      <c r="B543" s="6" t="s">
        <v>576</v>
      </c>
      <c r="C543" s="6" t="s">
        <v>33</v>
      </c>
      <c r="D543" s="6" t="s">
        <v>56</v>
      </c>
      <c r="E543" s="6" t="s">
        <v>44</v>
      </c>
      <c r="F543" s="6" t="s">
        <v>29</v>
      </c>
      <c r="G543" s="7">
        <v>46226</v>
      </c>
      <c r="H543" s="6">
        <v>4</v>
      </c>
      <c r="I543" s="6"/>
      <c r="J543" s="7">
        <f t="shared" si="25"/>
        <v>46230</v>
      </c>
      <c r="K543" s="8">
        <v>180</v>
      </c>
      <c r="L543" s="9">
        <f t="shared" si="24"/>
        <v>29</v>
      </c>
      <c r="M543" s="9" t="str" cm="1">
        <f t="array" ref="M543">_xlfn.IFS(L543&gt;=10,"HIGH",L543=0,"LOW",L543&lt;=9,"MEDIUM")</f>
        <v>HIGH</v>
      </c>
      <c r="N543" s="9" cm="1">
        <f t="array" ref="N543">_xlfn.IFS(M543="HIGH",K543*L543,M543="MEDIUM",K543*L543,M543="LOW","NA")</f>
        <v>5220</v>
      </c>
      <c r="O543" s="18" t="str">
        <f t="shared" si="26"/>
        <v>still in yard</v>
      </c>
    </row>
    <row r="544" spans="1:15" x14ac:dyDescent="0.25">
      <c r="A544" s="17">
        <v>540</v>
      </c>
      <c r="B544" s="6" t="s">
        <v>577</v>
      </c>
      <c r="C544" s="6" t="s">
        <v>37</v>
      </c>
      <c r="D544" s="6" t="s">
        <v>54</v>
      </c>
      <c r="E544" s="6" t="s">
        <v>42</v>
      </c>
      <c r="F544" s="6" t="s">
        <v>24</v>
      </c>
      <c r="G544" s="7">
        <v>46257</v>
      </c>
      <c r="H544" s="6">
        <v>5</v>
      </c>
      <c r="I544" s="7">
        <v>46259</v>
      </c>
      <c r="J544" s="7">
        <f t="shared" si="25"/>
        <v>46262</v>
      </c>
      <c r="K544" s="8">
        <v>75</v>
      </c>
      <c r="L544" s="9">
        <f t="shared" si="24"/>
        <v>0</v>
      </c>
      <c r="M544" s="9" t="str" cm="1">
        <f t="array" ref="M544">_xlfn.IFS(L544&gt;=10,"HIGH",L544=0,"LOW",L544&lt;=9,"MEDIUM")</f>
        <v>LOW</v>
      </c>
      <c r="N544" s="9" t="str" cm="1">
        <f t="array" ref="N544">_xlfn.IFS(M544="HIGH",K544*L544,M544="MEDIUM",K544*L544,M544="LOW","NA")</f>
        <v>NA</v>
      </c>
      <c r="O544" s="18" t="str">
        <f t="shared" si="26"/>
        <v>cleared</v>
      </c>
    </row>
    <row r="545" spans="1:15" x14ac:dyDescent="0.25">
      <c r="A545" s="17">
        <v>541</v>
      </c>
      <c r="B545" s="6" t="s">
        <v>578</v>
      </c>
      <c r="C545" s="6" t="s">
        <v>11</v>
      </c>
      <c r="D545" s="6" t="s">
        <v>34</v>
      </c>
      <c r="E545" s="6" t="s">
        <v>61</v>
      </c>
      <c r="F545" s="6" t="s">
        <v>27</v>
      </c>
      <c r="G545" s="7">
        <v>46241</v>
      </c>
      <c r="H545" s="6">
        <v>5</v>
      </c>
      <c r="I545" s="7">
        <v>46245</v>
      </c>
      <c r="J545" s="7">
        <f t="shared" si="25"/>
        <v>46246</v>
      </c>
      <c r="K545" s="8">
        <v>130</v>
      </c>
      <c r="L545" s="9">
        <f t="shared" si="24"/>
        <v>0</v>
      </c>
      <c r="M545" s="9" t="str" cm="1">
        <f t="array" ref="M545">_xlfn.IFS(L545&gt;=10,"HIGH",L545=0,"LOW",L545&lt;=9,"MEDIUM")</f>
        <v>LOW</v>
      </c>
      <c r="N545" s="9" t="str" cm="1">
        <f t="array" ref="N545">_xlfn.IFS(M545="HIGH",K545*L545,M545="MEDIUM",K545*L545,M545="LOW","NA")</f>
        <v>NA</v>
      </c>
      <c r="O545" s="18" t="str">
        <f t="shared" si="26"/>
        <v>cleared</v>
      </c>
    </row>
    <row r="546" spans="1:15" x14ac:dyDescent="0.25">
      <c r="A546" s="17">
        <v>542</v>
      </c>
      <c r="B546" s="6" t="s">
        <v>579</v>
      </c>
      <c r="C546" s="6" t="s">
        <v>16</v>
      </c>
      <c r="D546" s="6" t="s">
        <v>20</v>
      </c>
      <c r="E546" s="6" t="s">
        <v>23</v>
      </c>
      <c r="F546" s="6" t="s">
        <v>24</v>
      </c>
      <c r="G546" s="7">
        <v>46210</v>
      </c>
      <c r="H546" s="6">
        <v>4</v>
      </c>
      <c r="I546" s="6"/>
      <c r="J546" s="7">
        <f t="shared" si="25"/>
        <v>46214</v>
      </c>
      <c r="K546" s="8">
        <v>75</v>
      </c>
      <c r="L546" s="9">
        <f t="shared" si="24"/>
        <v>45</v>
      </c>
      <c r="M546" s="9" t="str" cm="1">
        <f t="array" ref="M546">_xlfn.IFS(L546&gt;=10,"HIGH",L546=0,"LOW",L546&lt;=9,"MEDIUM")</f>
        <v>HIGH</v>
      </c>
      <c r="N546" s="9" cm="1">
        <f t="array" ref="N546">_xlfn.IFS(M546="HIGH",K546*L546,M546="MEDIUM",K546*L546,M546="LOW","NA")</f>
        <v>3375</v>
      </c>
      <c r="O546" s="18" t="str">
        <f t="shared" si="26"/>
        <v>still in yard</v>
      </c>
    </row>
    <row r="547" spans="1:15" x14ac:dyDescent="0.25">
      <c r="A547" s="17">
        <v>543</v>
      </c>
      <c r="B547" s="6" t="s">
        <v>580</v>
      </c>
      <c r="C547" s="6" t="s">
        <v>37</v>
      </c>
      <c r="D547" s="6" t="s">
        <v>49</v>
      </c>
      <c r="E547" s="6" t="s">
        <v>39</v>
      </c>
      <c r="F547" s="6" t="s">
        <v>27</v>
      </c>
      <c r="G547" s="7">
        <v>46176</v>
      </c>
      <c r="H547" s="6">
        <v>6</v>
      </c>
      <c r="I547" s="6"/>
      <c r="J547" s="7">
        <f t="shared" si="25"/>
        <v>46182</v>
      </c>
      <c r="K547" s="8">
        <v>60</v>
      </c>
      <c r="L547" s="9">
        <f t="shared" si="24"/>
        <v>77</v>
      </c>
      <c r="M547" s="9" t="str" cm="1">
        <f t="array" ref="M547">_xlfn.IFS(L547&gt;=10,"HIGH",L547=0,"LOW",L547&lt;=9,"MEDIUM")</f>
        <v>HIGH</v>
      </c>
      <c r="N547" s="9" cm="1">
        <f t="array" ref="N547">_xlfn.IFS(M547="HIGH",K547*L547,M547="MEDIUM",K547*L547,M547="LOW","NA")</f>
        <v>4620</v>
      </c>
      <c r="O547" s="18" t="str">
        <f t="shared" si="26"/>
        <v>still in yard</v>
      </c>
    </row>
    <row r="548" spans="1:15" x14ac:dyDescent="0.25">
      <c r="A548" s="17">
        <v>544</v>
      </c>
      <c r="B548" s="6" t="s">
        <v>581</v>
      </c>
      <c r="C548" s="6" t="s">
        <v>16</v>
      </c>
      <c r="D548" s="6" t="s">
        <v>56</v>
      </c>
      <c r="E548" s="6" t="s">
        <v>13</v>
      </c>
      <c r="F548" s="6" t="s">
        <v>24</v>
      </c>
      <c r="G548" s="7">
        <v>46228</v>
      </c>
      <c r="H548" s="6">
        <v>5</v>
      </c>
      <c r="I548" s="6"/>
      <c r="J548" s="7">
        <f t="shared" si="25"/>
        <v>46233</v>
      </c>
      <c r="K548" s="8">
        <v>110</v>
      </c>
      <c r="L548" s="9">
        <f t="shared" si="24"/>
        <v>26</v>
      </c>
      <c r="M548" s="9" t="str" cm="1">
        <f t="array" ref="M548">_xlfn.IFS(L548&gt;=10,"HIGH",L548=0,"LOW",L548&lt;=9,"MEDIUM")</f>
        <v>HIGH</v>
      </c>
      <c r="N548" s="9" cm="1">
        <f t="array" ref="N548">_xlfn.IFS(M548="HIGH",K548*L548,M548="MEDIUM",K548*L548,M548="LOW","NA")</f>
        <v>2860</v>
      </c>
      <c r="O548" s="18" t="str">
        <f t="shared" si="26"/>
        <v>still in yard</v>
      </c>
    </row>
    <row r="549" spans="1:15" x14ac:dyDescent="0.25">
      <c r="A549" s="17">
        <v>545</v>
      </c>
      <c r="B549" s="6" t="s">
        <v>582</v>
      </c>
      <c r="C549" s="6" t="s">
        <v>33</v>
      </c>
      <c r="D549" s="6" t="s">
        <v>56</v>
      </c>
      <c r="E549" s="6" t="s">
        <v>42</v>
      </c>
      <c r="F549" s="6" t="s">
        <v>29</v>
      </c>
      <c r="G549" s="7">
        <v>46187</v>
      </c>
      <c r="H549" s="6">
        <v>4</v>
      </c>
      <c r="I549" s="7">
        <v>46194</v>
      </c>
      <c r="J549" s="7">
        <f t="shared" si="25"/>
        <v>46191</v>
      </c>
      <c r="K549" s="8">
        <v>150</v>
      </c>
      <c r="L549" s="9">
        <f t="shared" si="24"/>
        <v>3</v>
      </c>
      <c r="M549" s="9" t="str" cm="1">
        <f t="array" ref="M549">_xlfn.IFS(L549&gt;=10,"HIGH",L549=0,"LOW",L549&lt;=9,"MEDIUM")</f>
        <v>MEDIUM</v>
      </c>
      <c r="N549" s="9" cm="1">
        <f t="array" ref="N549">_xlfn.IFS(M549="HIGH",K549*L549,M549="MEDIUM",K549*L549,M549="LOW","NA")</f>
        <v>450</v>
      </c>
      <c r="O549" s="18" t="str">
        <f t="shared" si="26"/>
        <v>cleared</v>
      </c>
    </row>
    <row r="550" spans="1:15" x14ac:dyDescent="0.25">
      <c r="A550" s="17">
        <v>546</v>
      </c>
      <c r="B550" s="6" t="s">
        <v>583</v>
      </c>
      <c r="C550" s="6" t="s">
        <v>16</v>
      </c>
      <c r="D550" s="6" t="s">
        <v>41</v>
      </c>
      <c r="E550" s="6" t="s">
        <v>35</v>
      </c>
      <c r="F550" s="6" t="s">
        <v>27</v>
      </c>
      <c r="G550" s="7">
        <v>46229</v>
      </c>
      <c r="H550" s="6">
        <v>6</v>
      </c>
      <c r="I550" s="7">
        <v>46236</v>
      </c>
      <c r="J550" s="7">
        <f t="shared" si="25"/>
        <v>46235</v>
      </c>
      <c r="K550" s="8">
        <v>90</v>
      </c>
      <c r="L550" s="9">
        <f t="shared" si="24"/>
        <v>1</v>
      </c>
      <c r="M550" s="9" t="str" cm="1">
        <f t="array" ref="M550">_xlfn.IFS(L550&gt;=10,"HIGH",L550=0,"LOW",L550&lt;=9,"MEDIUM")</f>
        <v>MEDIUM</v>
      </c>
      <c r="N550" s="9" cm="1">
        <f t="array" ref="N550">_xlfn.IFS(M550="HIGH",K550*L550,M550="MEDIUM",K550*L550,M550="LOW","NA")</f>
        <v>90</v>
      </c>
      <c r="O550" s="18" t="str">
        <f t="shared" si="26"/>
        <v>cleared</v>
      </c>
    </row>
    <row r="551" spans="1:15" x14ac:dyDescent="0.25">
      <c r="A551" s="17">
        <v>547</v>
      </c>
      <c r="B551" s="6" t="s">
        <v>584</v>
      </c>
      <c r="C551" s="6" t="s">
        <v>33</v>
      </c>
      <c r="D551" s="6" t="s">
        <v>41</v>
      </c>
      <c r="E551" s="6" t="s">
        <v>18</v>
      </c>
      <c r="F551" s="6" t="s">
        <v>24</v>
      </c>
      <c r="G551" s="7">
        <v>46187</v>
      </c>
      <c r="H551" s="6">
        <v>4</v>
      </c>
      <c r="I551" s="6"/>
      <c r="J551" s="7">
        <f t="shared" si="25"/>
        <v>46191</v>
      </c>
      <c r="K551" s="8">
        <v>75</v>
      </c>
      <c r="L551" s="9">
        <f t="shared" si="24"/>
        <v>68</v>
      </c>
      <c r="M551" s="9" t="str" cm="1">
        <f t="array" ref="M551">_xlfn.IFS(L551&gt;=10,"HIGH",L551=0,"LOW",L551&lt;=9,"MEDIUM")</f>
        <v>HIGH</v>
      </c>
      <c r="N551" s="9" cm="1">
        <f t="array" ref="N551">_xlfn.IFS(M551="HIGH",K551*L551,M551="MEDIUM",K551*L551,M551="LOW","NA")</f>
        <v>5100</v>
      </c>
      <c r="O551" s="18" t="str">
        <f t="shared" si="26"/>
        <v>still in yard</v>
      </c>
    </row>
    <row r="552" spans="1:15" x14ac:dyDescent="0.25">
      <c r="A552" s="17">
        <v>548</v>
      </c>
      <c r="B552" s="6" t="s">
        <v>585</v>
      </c>
      <c r="C552" s="6" t="s">
        <v>33</v>
      </c>
      <c r="D552" s="6" t="s">
        <v>20</v>
      </c>
      <c r="E552" s="6" t="s">
        <v>21</v>
      </c>
      <c r="F552" s="6" t="s">
        <v>29</v>
      </c>
      <c r="G552" s="7">
        <v>46244</v>
      </c>
      <c r="H552" s="6">
        <v>3</v>
      </c>
      <c r="I552" s="7">
        <v>46248</v>
      </c>
      <c r="J552" s="7">
        <f t="shared" si="25"/>
        <v>46247</v>
      </c>
      <c r="K552" s="8">
        <v>180</v>
      </c>
      <c r="L552" s="9">
        <f t="shared" si="24"/>
        <v>1</v>
      </c>
      <c r="M552" s="9" t="str" cm="1">
        <f t="array" ref="M552">_xlfn.IFS(L552&gt;=10,"HIGH",L552=0,"LOW",L552&lt;=9,"MEDIUM")</f>
        <v>MEDIUM</v>
      </c>
      <c r="N552" s="9" cm="1">
        <f t="array" ref="N552">_xlfn.IFS(M552="HIGH",K552*L552,M552="MEDIUM",K552*L552,M552="LOW","NA")</f>
        <v>180</v>
      </c>
      <c r="O552" s="18" t="str">
        <f t="shared" si="26"/>
        <v>cleared</v>
      </c>
    </row>
    <row r="553" spans="1:15" x14ac:dyDescent="0.25">
      <c r="A553" s="17">
        <v>549</v>
      </c>
      <c r="B553" s="6" t="s">
        <v>586</v>
      </c>
      <c r="C553" s="6" t="s">
        <v>16</v>
      </c>
      <c r="D553" s="6" t="s">
        <v>20</v>
      </c>
      <c r="E553" s="6" t="s">
        <v>61</v>
      </c>
      <c r="F553" s="6" t="s">
        <v>27</v>
      </c>
      <c r="G553" s="7">
        <v>46193</v>
      </c>
      <c r="H553" s="6">
        <v>5</v>
      </c>
      <c r="I553" s="6"/>
      <c r="J553" s="7">
        <f t="shared" si="25"/>
        <v>46198</v>
      </c>
      <c r="K553" s="8">
        <v>60</v>
      </c>
      <c r="L553" s="9">
        <f t="shared" si="24"/>
        <v>61</v>
      </c>
      <c r="M553" s="9" t="str" cm="1">
        <f t="array" ref="M553">_xlfn.IFS(L553&gt;=10,"HIGH",L553=0,"LOW",L553&lt;=9,"MEDIUM")</f>
        <v>HIGH</v>
      </c>
      <c r="N553" s="9" cm="1">
        <f t="array" ref="N553">_xlfn.IFS(M553="HIGH",K553*L553,M553="MEDIUM",K553*L553,M553="LOW","NA")</f>
        <v>3660</v>
      </c>
      <c r="O553" s="18" t="str">
        <f t="shared" si="26"/>
        <v>still in yard</v>
      </c>
    </row>
    <row r="554" spans="1:15" x14ac:dyDescent="0.25">
      <c r="A554" s="17">
        <v>550</v>
      </c>
      <c r="B554" s="6" t="s">
        <v>587</v>
      </c>
      <c r="C554" s="6" t="s">
        <v>33</v>
      </c>
      <c r="D554" s="6" t="s">
        <v>31</v>
      </c>
      <c r="E554" s="6" t="s">
        <v>35</v>
      </c>
      <c r="F554" s="6" t="s">
        <v>29</v>
      </c>
      <c r="G554" s="7">
        <v>46242</v>
      </c>
      <c r="H554" s="6">
        <v>3</v>
      </c>
      <c r="I554" s="7">
        <v>46243</v>
      </c>
      <c r="J554" s="7">
        <f t="shared" si="25"/>
        <v>46245</v>
      </c>
      <c r="K554" s="8">
        <v>150</v>
      </c>
      <c r="L554" s="9">
        <f t="shared" si="24"/>
        <v>0</v>
      </c>
      <c r="M554" s="9" t="str" cm="1">
        <f t="array" ref="M554">_xlfn.IFS(L554&gt;=10,"HIGH",L554=0,"LOW",L554&lt;=9,"MEDIUM")</f>
        <v>LOW</v>
      </c>
      <c r="N554" s="9" t="str" cm="1">
        <f t="array" ref="N554">_xlfn.IFS(M554="HIGH",K554*L554,M554="MEDIUM",K554*L554,M554="LOW","NA")</f>
        <v>NA</v>
      </c>
      <c r="O554" s="18" t="str">
        <f t="shared" si="26"/>
        <v>cleared</v>
      </c>
    </row>
    <row r="555" spans="1:15" x14ac:dyDescent="0.25">
      <c r="A555" s="17">
        <v>551</v>
      </c>
      <c r="B555" s="6" t="s">
        <v>588</v>
      </c>
      <c r="C555" s="6" t="s">
        <v>11</v>
      </c>
      <c r="D555" s="6" t="s">
        <v>56</v>
      </c>
      <c r="E555" s="6" t="s">
        <v>42</v>
      </c>
      <c r="F555" s="6" t="s">
        <v>29</v>
      </c>
      <c r="G555" s="7">
        <v>46197</v>
      </c>
      <c r="H555" s="6">
        <v>4</v>
      </c>
      <c r="I555" s="6"/>
      <c r="J555" s="7">
        <f t="shared" si="25"/>
        <v>46201</v>
      </c>
      <c r="K555" s="8">
        <v>120</v>
      </c>
      <c r="L555" s="9">
        <f t="shared" si="24"/>
        <v>58</v>
      </c>
      <c r="M555" s="9" t="str" cm="1">
        <f t="array" ref="M555">_xlfn.IFS(L555&gt;=10,"HIGH",L555=0,"LOW",L555&lt;=9,"MEDIUM")</f>
        <v>HIGH</v>
      </c>
      <c r="N555" s="9" cm="1">
        <f t="array" ref="N555">_xlfn.IFS(M555="HIGH",K555*L555,M555="MEDIUM",K555*L555,M555="LOW","NA")</f>
        <v>6960</v>
      </c>
      <c r="O555" s="18" t="str">
        <f t="shared" si="26"/>
        <v>still in yard</v>
      </c>
    </row>
    <row r="556" spans="1:15" x14ac:dyDescent="0.25">
      <c r="A556" s="17">
        <v>552</v>
      </c>
      <c r="B556" s="6" t="s">
        <v>589</v>
      </c>
      <c r="C556" s="6" t="s">
        <v>16</v>
      </c>
      <c r="D556" s="6" t="s">
        <v>41</v>
      </c>
      <c r="E556" s="6" t="s">
        <v>44</v>
      </c>
      <c r="F556" s="6" t="s">
        <v>27</v>
      </c>
      <c r="G556" s="7">
        <v>46195</v>
      </c>
      <c r="H556" s="6">
        <v>7</v>
      </c>
      <c r="I556" s="6"/>
      <c r="J556" s="7">
        <f t="shared" si="25"/>
        <v>46202</v>
      </c>
      <c r="K556" s="8">
        <v>90</v>
      </c>
      <c r="L556" s="9">
        <f t="shared" si="24"/>
        <v>57</v>
      </c>
      <c r="M556" s="9" t="str" cm="1">
        <f t="array" ref="M556">_xlfn.IFS(L556&gt;=10,"HIGH",L556=0,"LOW",L556&lt;=9,"MEDIUM")</f>
        <v>HIGH</v>
      </c>
      <c r="N556" s="9" cm="1">
        <f t="array" ref="N556">_xlfn.IFS(M556="HIGH",K556*L556,M556="MEDIUM",K556*L556,M556="LOW","NA")</f>
        <v>5130</v>
      </c>
      <c r="O556" s="18" t="str">
        <f t="shared" si="26"/>
        <v>still in yard</v>
      </c>
    </row>
    <row r="557" spans="1:15" x14ac:dyDescent="0.25">
      <c r="A557" s="17">
        <v>553</v>
      </c>
      <c r="B557" s="6" t="s">
        <v>590</v>
      </c>
      <c r="C557" s="6" t="s">
        <v>37</v>
      </c>
      <c r="D557" s="6" t="s">
        <v>49</v>
      </c>
      <c r="E557" s="6" t="s">
        <v>39</v>
      </c>
      <c r="F557" s="6" t="s">
        <v>14</v>
      </c>
      <c r="G557" s="7">
        <v>46211</v>
      </c>
      <c r="H557" s="6">
        <v>5</v>
      </c>
      <c r="I557" s="7">
        <v>46214</v>
      </c>
      <c r="J557" s="7">
        <f t="shared" si="25"/>
        <v>46216</v>
      </c>
      <c r="K557" s="8">
        <v>60</v>
      </c>
      <c r="L557" s="9">
        <f t="shared" si="24"/>
        <v>0</v>
      </c>
      <c r="M557" s="9" t="str" cm="1">
        <f t="array" ref="M557">_xlfn.IFS(L557&gt;=10,"HIGH",L557=0,"LOW",L557&lt;=9,"MEDIUM")</f>
        <v>LOW</v>
      </c>
      <c r="N557" s="9" t="str" cm="1">
        <f t="array" ref="N557">_xlfn.IFS(M557="HIGH",K557*L557,M557="MEDIUM",K557*L557,M557="LOW","NA")</f>
        <v>NA</v>
      </c>
      <c r="O557" s="18" t="str">
        <f t="shared" si="26"/>
        <v>cleared</v>
      </c>
    </row>
    <row r="558" spans="1:15" x14ac:dyDescent="0.25">
      <c r="A558" s="17">
        <v>554</v>
      </c>
      <c r="B558" s="6" t="s">
        <v>591</v>
      </c>
      <c r="C558" s="6" t="s">
        <v>33</v>
      </c>
      <c r="D558" s="6" t="s">
        <v>56</v>
      </c>
      <c r="E558" s="6" t="s">
        <v>35</v>
      </c>
      <c r="F558" s="6" t="s">
        <v>27</v>
      </c>
      <c r="G558" s="7">
        <v>46254</v>
      </c>
      <c r="H558" s="6">
        <v>5</v>
      </c>
      <c r="I558" s="7">
        <v>46259</v>
      </c>
      <c r="J558" s="7">
        <f t="shared" si="25"/>
        <v>46259</v>
      </c>
      <c r="K558" s="8">
        <v>90</v>
      </c>
      <c r="L558" s="9">
        <f t="shared" si="24"/>
        <v>0</v>
      </c>
      <c r="M558" s="9" t="str" cm="1">
        <f t="array" ref="M558">_xlfn.IFS(L558&gt;=10,"HIGH",L558=0,"LOW",L558&lt;=9,"MEDIUM")</f>
        <v>LOW</v>
      </c>
      <c r="N558" s="9" t="str" cm="1">
        <f t="array" ref="N558">_xlfn.IFS(M558="HIGH",K558*L558,M558="MEDIUM",K558*L558,M558="LOW","NA")</f>
        <v>NA</v>
      </c>
      <c r="O558" s="18" t="str">
        <f t="shared" si="26"/>
        <v>cleared</v>
      </c>
    </row>
    <row r="559" spans="1:15" x14ac:dyDescent="0.25">
      <c r="A559" s="17">
        <v>555</v>
      </c>
      <c r="B559" s="6" t="s">
        <v>592</v>
      </c>
      <c r="C559" s="6" t="s">
        <v>37</v>
      </c>
      <c r="D559" s="6" t="s">
        <v>56</v>
      </c>
      <c r="E559" s="6" t="s">
        <v>13</v>
      </c>
      <c r="F559" s="6" t="s">
        <v>14</v>
      </c>
      <c r="G559" s="7">
        <v>46172</v>
      </c>
      <c r="H559" s="6">
        <v>5</v>
      </c>
      <c r="I559" s="6"/>
      <c r="J559" s="7">
        <f t="shared" si="25"/>
        <v>46177</v>
      </c>
      <c r="K559" s="8">
        <v>110</v>
      </c>
      <c r="L559" s="9">
        <f t="shared" si="24"/>
        <v>82</v>
      </c>
      <c r="M559" s="9" t="str" cm="1">
        <f t="array" ref="M559">_xlfn.IFS(L559&gt;=10,"HIGH",L559=0,"LOW",L559&lt;=9,"MEDIUM")</f>
        <v>HIGH</v>
      </c>
      <c r="N559" s="9" cm="1">
        <f t="array" ref="N559">_xlfn.IFS(M559="HIGH",K559*L559,M559="MEDIUM",K559*L559,M559="LOW","NA")</f>
        <v>9020</v>
      </c>
      <c r="O559" s="18" t="str">
        <f t="shared" si="26"/>
        <v>still in yard</v>
      </c>
    </row>
    <row r="560" spans="1:15" x14ac:dyDescent="0.25">
      <c r="A560" s="17">
        <v>556</v>
      </c>
      <c r="B560" s="6" t="s">
        <v>593</v>
      </c>
      <c r="C560" s="6" t="s">
        <v>37</v>
      </c>
      <c r="D560" s="6" t="s">
        <v>56</v>
      </c>
      <c r="E560" s="6" t="s">
        <v>35</v>
      </c>
      <c r="F560" s="6" t="s">
        <v>24</v>
      </c>
      <c r="G560" s="7">
        <v>46193</v>
      </c>
      <c r="H560" s="6">
        <v>6</v>
      </c>
      <c r="I560" s="7">
        <v>46201</v>
      </c>
      <c r="J560" s="7">
        <f t="shared" si="25"/>
        <v>46199</v>
      </c>
      <c r="K560" s="8">
        <v>75</v>
      </c>
      <c r="L560" s="9">
        <f t="shared" si="24"/>
        <v>2</v>
      </c>
      <c r="M560" s="9" t="str" cm="1">
        <f t="array" ref="M560">_xlfn.IFS(L560&gt;=10,"HIGH",L560=0,"LOW",L560&lt;=9,"MEDIUM")</f>
        <v>MEDIUM</v>
      </c>
      <c r="N560" s="9" cm="1">
        <f t="array" ref="N560">_xlfn.IFS(M560="HIGH",K560*L560,M560="MEDIUM",K560*L560,M560="LOW","NA")</f>
        <v>150</v>
      </c>
      <c r="O560" s="18" t="str">
        <f t="shared" si="26"/>
        <v>cleared</v>
      </c>
    </row>
    <row r="561" spans="1:15" x14ac:dyDescent="0.25">
      <c r="A561" s="17">
        <v>557</v>
      </c>
      <c r="B561" s="6" t="s">
        <v>594</v>
      </c>
      <c r="C561" s="6" t="s">
        <v>37</v>
      </c>
      <c r="D561" s="6" t="s">
        <v>20</v>
      </c>
      <c r="E561" s="6" t="s">
        <v>35</v>
      </c>
      <c r="F561" s="6" t="s">
        <v>27</v>
      </c>
      <c r="G561" s="7">
        <v>46219</v>
      </c>
      <c r="H561" s="6">
        <v>6</v>
      </c>
      <c r="I561" s="6"/>
      <c r="J561" s="7">
        <f t="shared" si="25"/>
        <v>46225</v>
      </c>
      <c r="K561" s="8">
        <v>90</v>
      </c>
      <c r="L561" s="9">
        <f t="shared" si="24"/>
        <v>34</v>
      </c>
      <c r="M561" s="9" t="str" cm="1">
        <f t="array" ref="M561">_xlfn.IFS(L561&gt;=10,"HIGH",L561=0,"LOW",L561&lt;=9,"MEDIUM")</f>
        <v>HIGH</v>
      </c>
      <c r="N561" s="9" cm="1">
        <f t="array" ref="N561">_xlfn.IFS(M561="HIGH",K561*L561,M561="MEDIUM",K561*L561,M561="LOW","NA")</f>
        <v>3060</v>
      </c>
      <c r="O561" s="18" t="str">
        <f t="shared" si="26"/>
        <v>still in yard</v>
      </c>
    </row>
    <row r="562" spans="1:15" x14ac:dyDescent="0.25">
      <c r="A562" s="17">
        <v>558</v>
      </c>
      <c r="B562" s="6" t="s">
        <v>595</v>
      </c>
      <c r="C562" s="6" t="s">
        <v>16</v>
      </c>
      <c r="D562" s="6" t="s">
        <v>49</v>
      </c>
      <c r="E562" s="6" t="s">
        <v>23</v>
      </c>
      <c r="F562" s="6" t="s">
        <v>24</v>
      </c>
      <c r="G562" s="7">
        <v>46206</v>
      </c>
      <c r="H562" s="6">
        <v>4</v>
      </c>
      <c r="I562" s="7">
        <v>46210</v>
      </c>
      <c r="J562" s="7">
        <f t="shared" si="25"/>
        <v>46210</v>
      </c>
      <c r="K562" s="8">
        <v>60</v>
      </c>
      <c r="L562" s="9">
        <f t="shared" si="24"/>
        <v>0</v>
      </c>
      <c r="M562" s="9" t="str" cm="1">
        <f t="array" ref="M562">_xlfn.IFS(L562&gt;=10,"HIGH",L562=0,"LOW",L562&lt;=9,"MEDIUM")</f>
        <v>LOW</v>
      </c>
      <c r="N562" s="9" t="str" cm="1">
        <f t="array" ref="N562">_xlfn.IFS(M562="HIGH",K562*L562,M562="MEDIUM",K562*L562,M562="LOW","NA")</f>
        <v>NA</v>
      </c>
      <c r="O562" s="18" t="str">
        <f t="shared" si="26"/>
        <v>cleared</v>
      </c>
    </row>
    <row r="563" spans="1:15" x14ac:dyDescent="0.25">
      <c r="A563" s="17">
        <v>559</v>
      </c>
      <c r="B563" s="6" t="s">
        <v>596</v>
      </c>
      <c r="C563" s="6" t="s">
        <v>37</v>
      </c>
      <c r="D563" s="6" t="s">
        <v>26</v>
      </c>
      <c r="E563" s="6" t="s">
        <v>46</v>
      </c>
      <c r="F563" s="6" t="s">
        <v>29</v>
      </c>
      <c r="G563" s="7">
        <v>46198</v>
      </c>
      <c r="H563" s="6">
        <v>4</v>
      </c>
      <c r="I563" s="7">
        <v>46199</v>
      </c>
      <c r="J563" s="7">
        <f t="shared" si="25"/>
        <v>46202</v>
      </c>
      <c r="K563" s="8">
        <v>150</v>
      </c>
      <c r="L563" s="9">
        <f t="shared" si="24"/>
        <v>0</v>
      </c>
      <c r="M563" s="9" t="str" cm="1">
        <f t="array" ref="M563">_xlfn.IFS(L563&gt;=10,"HIGH",L563=0,"LOW",L563&lt;=9,"MEDIUM")</f>
        <v>LOW</v>
      </c>
      <c r="N563" s="9" t="str" cm="1">
        <f t="array" ref="N563">_xlfn.IFS(M563="HIGH",K563*L563,M563="MEDIUM",K563*L563,M563="LOW","NA")</f>
        <v>NA</v>
      </c>
      <c r="O563" s="18" t="str">
        <f t="shared" si="26"/>
        <v>cleared</v>
      </c>
    </row>
    <row r="564" spans="1:15" x14ac:dyDescent="0.25">
      <c r="A564" s="17">
        <v>560</v>
      </c>
      <c r="B564" s="6" t="s">
        <v>597</v>
      </c>
      <c r="C564" s="6" t="s">
        <v>37</v>
      </c>
      <c r="D564" s="6" t="s">
        <v>31</v>
      </c>
      <c r="E564" s="6" t="s">
        <v>18</v>
      </c>
      <c r="F564" s="6" t="s">
        <v>14</v>
      </c>
      <c r="G564" s="7">
        <v>46223</v>
      </c>
      <c r="H564" s="6">
        <v>6</v>
      </c>
      <c r="I564" s="6"/>
      <c r="J564" s="7">
        <f t="shared" si="25"/>
        <v>46229</v>
      </c>
      <c r="K564" s="8">
        <v>75</v>
      </c>
      <c r="L564" s="9">
        <f t="shared" si="24"/>
        <v>30</v>
      </c>
      <c r="M564" s="9" t="str" cm="1">
        <f t="array" ref="M564">_xlfn.IFS(L564&gt;=10,"HIGH",L564=0,"LOW",L564&lt;=9,"MEDIUM")</f>
        <v>HIGH</v>
      </c>
      <c r="N564" s="9" cm="1">
        <f t="array" ref="N564">_xlfn.IFS(M564="HIGH",K564*L564,M564="MEDIUM",K564*L564,M564="LOW","NA")</f>
        <v>2250</v>
      </c>
      <c r="O564" s="18" t="str">
        <f t="shared" si="26"/>
        <v>still in yard</v>
      </c>
    </row>
    <row r="565" spans="1:15" x14ac:dyDescent="0.25">
      <c r="A565" s="17">
        <v>561</v>
      </c>
      <c r="B565" s="6" t="s">
        <v>598</v>
      </c>
      <c r="C565" s="6" t="s">
        <v>37</v>
      </c>
      <c r="D565" s="6" t="s">
        <v>26</v>
      </c>
      <c r="E565" s="6" t="s">
        <v>39</v>
      </c>
      <c r="F565" s="6" t="s">
        <v>14</v>
      </c>
      <c r="G565" s="7">
        <v>46237</v>
      </c>
      <c r="H565" s="6">
        <v>5</v>
      </c>
      <c r="I565" s="7">
        <v>46248</v>
      </c>
      <c r="J565" s="7">
        <f t="shared" si="25"/>
        <v>46242</v>
      </c>
      <c r="K565" s="8">
        <v>110</v>
      </c>
      <c r="L565" s="9">
        <f t="shared" si="24"/>
        <v>6</v>
      </c>
      <c r="M565" s="9" t="str" cm="1">
        <f t="array" ref="M565">_xlfn.IFS(L565&gt;=10,"HIGH",L565=0,"LOW",L565&lt;=9,"MEDIUM")</f>
        <v>MEDIUM</v>
      </c>
      <c r="N565" s="9" cm="1">
        <f t="array" ref="N565">_xlfn.IFS(M565="HIGH",K565*L565,M565="MEDIUM",K565*L565,M565="LOW","NA")</f>
        <v>660</v>
      </c>
      <c r="O565" s="18" t="str">
        <f t="shared" si="26"/>
        <v>cleared</v>
      </c>
    </row>
    <row r="566" spans="1:15" x14ac:dyDescent="0.25">
      <c r="A566" s="17">
        <v>562</v>
      </c>
      <c r="B566" s="6" t="s">
        <v>599</v>
      </c>
      <c r="C566" s="6" t="s">
        <v>11</v>
      </c>
      <c r="D566" s="6" t="s">
        <v>26</v>
      </c>
      <c r="E566" s="6" t="s">
        <v>18</v>
      </c>
      <c r="F566" s="6" t="s">
        <v>27</v>
      </c>
      <c r="G566" s="7">
        <v>46224</v>
      </c>
      <c r="H566" s="6">
        <v>6</v>
      </c>
      <c r="I566" s="6"/>
      <c r="J566" s="7">
        <f t="shared" si="25"/>
        <v>46230</v>
      </c>
      <c r="K566" s="8">
        <v>110</v>
      </c>
      <c r="L566" s="9">
        <f t="shared" si="24"/>
        <v>29</v>
      </c>
      <c r="M566" s="9" t="str" cm="1">
        <f t="array" ref="M566">_xlfn.IFS(L566&gt;=10,"HIGH",L566=0,"LOW",L566&lt;=9,"MEDIUM")</f>
        <v>HIGH</v>
      </c>
      <c r="N566" s="9" cm="1">
        <f t="array" ref="N566">_xlfn.IFS(M566="HIGH",K566*L566,M566="MEDIUM",K566*L566,M566="LOW","NA")</f>
        <v>3190</v>
      </c>
      <c r="O566" s="18" t="str">
        <f t="shared" si="26"/>
        <v>still in yard</v>
      </c>
    </row>
    <row r="567" spans="1:15" x14ac:dyDescent="0.25">
      <c r="A567" s="17">
        <v>563</v>
      </c>
      <c r="B567" s="6" t="s">
        <v>600</v>
      </c>
      <c r="C567" s="6" t="s">
        <v>16</v>
      </c>
      <c r="D567" s="6" t="s">
        <v>54</v>
      </c>
      <c r="E567" s="6" t="s">
        <v>46</v>
      </c>
      <c r="F567" s="6" t="s">
        <v>14</v>
      </c>
      <c r="G567" s="7">
        <v>46222</v>
      </c>
      <c r="H567" s="6">
        <v>5</v>
      </c>
      <c r="I567" s="7">
        <v>46230</v>
      </c>
      <c r="J567" s="7">
        <f t="shared" si="25"/>
        <v>46227</v>
      </c>
      <c r="K567" s="8">
        <v>110</v>
      </c>
      <c r="L567" s="9">
        <f t="shared" si="24"/>
        <v>3</v>
      </c>
      <c r="M567" s="9" t="str" cm="1">
        <f t="array" ref="M567">_xlfn.IFS(L567&gt;=10,"HIGH",L567=0,"LOW",L567&lt;=9,"MEDIUM")</f>
        <v>MEDIUM</v>
      </c>
      <c r="N567" s="9" cm="1">
        <f t="array" ref="N567">_xlfn.IFS(M567="HIGH",K567*L567,M567="MEDIUM",K567*L567,M567="LOW","NA")</f>
        <v>330</v>
      </c>
      <c r="O567" s="18" t="str">
        <f t="shared" si="26"/>
        <v>cleared</v>
      </c>
    </row>
    <row r="568" spans="1:15" x14ac:dyDescent="0.25">
      <c r="A568" s="17">
        <v>564</v>
      </c>
      <c r="B568" s="6" t="s">
        <v>601</v>
      </c>
      <c r="C568" s="6" t="s">
        <v>16</v>
      </c>
      <c r="D568" s="6" t="s">
        <v>17</v>
      </c>
      <c r="E568" s="6" t="s">
        <v>13</v>
      </c>
      <c r="F568" s="6" t="s">
        <v>24</v>
      </c>
      <c r="G568" s="7">
        <v>46174</v>
      </c>
      <c r="H568" s="6">
        <v>7</v>
      </c>
      <c r="I568" s="7">
        <v>46176</v>
      </c>
      <c r="J568" s="7">
        <f t="shared" si="25"/>
        <v>46181</v>
      </c>
      <c r="K568" s="8">
        <v>130</v>
      </c>
      <c r="L568" s="9">
        <f t="shared" si="24"/>
        <v>0</v>
      </c>
      <c r="M568" s="9" t="str" cm="1">
        <f t="array" ref="M568">_xlfn.IFS(L568&gt;=10,"HIGH",L568=0,"LOW",L568&lt;=9,"MEDIUM")</f>
        <v>LOW</v>
      </c>
      <c r="N568" s="9" t="str" cm="1">
        <f t="array" ref="N568">_xlfn.IFS(M568="HIGH",K568*L568,M568="MEDIUM",K568*L568,M568="LOW","NA")</f>
        <v>NA</v>
      </c>
      <c r="O568" s="18" t="str">
        <f t="shared" si="26"/>
        <v>cleared</v>
      </c>
    </row>
    <row r="569" spans="1:15" x14ac:dyDescent="0.25">
      <c r="A569" s="17">
        <v>565</v>
      </c>
      <c r="B569" s="6" t="s">
        <v>602</v>
      </c>
      <c r="C569" s="6" t="s">
        <v>11</v>
      </c>
      <c r="D569" s="6" t="s">
        <v>17</v>
      </c>
      <c r="E569" s="6" t="s">
        <v>61</v>
      </c>
      <c r="F569" s="6" t="s">
        <v>27</v>
      </c>
      <c r="G569" s="7">
        <v>46203</v>
      </c>
      <c r="H569" s="6">
        <v>4</v>
      </c>
      <c r="I569" s="7">
        <v>46208</v>
      </c>
      <c r="J569" s="7">
        <f t="shared" si="25"/>
        <v>46207</v>
      </c>
      <c r="K569" s="8">
        <v>90</v>
      </c>
      <c r="L569" s="9">
        <f t="shared" si="24"/>
        <v>1</v>
      </c>
      <c r="M569" s="9" t="str" cm="1">
        <f t="array" ref="M569">_xlfn.IFS(L569&gt;=10,"HIGH",L569=0,"LOW",L569&lt;=9,"MEDIUM")</f>
        <v>MEDIUM</v>
      </c>
      <c r="N569" s="9" cm="1">
        <f t="array" ref="N569">_xlfn.IFS(M569="HIGH",K569*L569,M569="MEDIUM",K569*L569,M569="LOW","NA")</f>
        <v>90</v>
      </c>
      <c r="O569" s="18" t="str">
        <f t="shared" si="26"/>
        <v>cleared</v>
      </c>
    </row>
    <row r="570" spans="1:15" x14ac:dyDescent="0.25">
      <c r="A570" s="17">
        <v>566</v>
      </c>
      <c r="B570" s="6" t="s">
        <v>603</v>
      </c>
      <c r="C570" s="6" t="s">
        <v>33</v>
      </c>
      <c r="D570" s="6" t="s">
        <v>12</v>
      </c>
      <c r="E570" s="6" t="s">
        <v>46</v>
      </c>
      <c r="F570" s="6" t="s">
        <v>27</v>
      </c>
      <c r="G570" s="7">
        <v>46206</v>
      </c>
      <c r="H570" s="6">
        <v>5</v>
      </c>
      <c r="I570" s="7">
        <v>46210</v>
      </c>
      <c r="J570" s="7">
        <f t="shared" si="25"/>
        <v>46211</v>
      </c>
      <c r="K570" s="8">
        <v>60</v>
      </c>
      <c r="L570" s="9">
        <f t="shared" si="24"/>
        <v>0</v>
      </c>
      <c r="M570" s="9" t="str" cm="1">
        <f t="array" ref="M570">_xlfn.IFS(L570&gt;=10,"HIGH",L570=0,"LOW",L570&lt;=9,"MEDIUM")</f>
        <v>LOW</v>
      </c>
      <c r="N570" s="9" t="str" cm="1">
        <f t="array" ref="N570">_xlfn.IFS(M570="HIGH",K570*L570,M570="MEDIUM",K570*L570,M570="LOW","NA")</f>
        <v>NA</v>
      </c>
      <c r="O570" s="18" t="str">
        <f t="shared" si="26"/>
        <v>cleared</v>
      </c>
    </row>
    <row r="571" spans="1:15" x14ac:dyDescent="0.25">
      <c r="A571" s="17">
        <v>567</v>
      </c>
      <c r="B571" s="6" t="s">
        <v>604</v>
      </c>
      <c r="C571" s="6" t="s">
        <v>33</v>
      </c>
      <c r="D571" s="6" t="s">
        <v>20</v>
      </c>
      <c r="E571" s="6" t="s">
        <v>39</v>
      </c>
      <c r="F571" s="6" t="s">
        <v>14</v>
      </c>
      <c r="G571" s="7">
        <v>46202</v>
      </c>
      <c r="H571" s="6">
        <v>6</v>
      </c>
      <c r="I571" s="7">
        <v>46215</v>
      </c>
      <c r="J571" s="7">
        <f t="shared" si="25"/>
        <v>46208</v>
      </c>
      <c r="K571" s="8">
        <v>75</v>
      </c>
      <c r="L571" s="9">
        <f t="shared" si="24"/>
        <v>7</v>
      </c>
      <c r="M571" s="9" t="str" cm="1">
        <f t="array" ref="M571">_xlfn.IFS(L571&gt;=10,"HIGH",L571=0,"LOW",L571&lt;=9,"MEDIUM")</f>
        <v>MEDIUM</v>
      </c>
      <c r="N571" s="9" cm="1">
        <f t="array" ref="N571">_xlfn.IFS(M571="HIGH",K571*L571,M571="MEDIUM",K571*L571,M571="LOW","NA")</f>
        <v>525</v>
      </c>
      <c r="O571" s="18" t="str">
        <f t="shared" si="26"/>
        <v>cleared</v>
      </c>
    </row>
    <row r="572" spans="1:15" x14ac:dyDescent="0.25">
      <c r="A572" s="17">
        <v>568</v>
      </c>
      <c r="B572" s="6" t="s">
        <v>605</v>
      </c>
      <c r="C572" s="6" t="s">
        <v>33</v>
      </c>
      <c r="D572" s="6" t="s">
        <v>34</v>
      </c>
      <c r="E572" s="6" t="s">
        <v>18</v>
      </c>
      <c r="F572" s="6" t="s">
        <v>29</v>
      </c>
      <c r="G572" s="7">
        <v>46247</v>
      </c>
      <c r="H572" s="6">
        <v>3</v>
      </c>
      <c r="I572" s="7">
        <v>46248</v>
      </c>
      <c r="J572" s="7">
        <f t="shared" si="25"/>
        <v>46250</v>
      </c>
      <c r="K572" s="8">
        <v>180</v>
      </c>
      <c r="L572" s="9">
        <f t="shared" si="24"/>
        <v>0</v>
      </c>
      <c r="M572" s="9" t="str" cm="1">
        <f t="array" ref="M572">_xlfn.IFS(L572&gt;=10,"HIGH",L572=0,"LOW",L572&lt;=9,"MEDIUM")</f>
        <v>LOW</v>
      </c>
      <c r="N572" s="9" t="str" cm="1">
        <f t="array" ref="N572">_xlfn.IFS(M572="HIGH",K572*L572,M572="MEDIUM",K572*L572,M572="LOW","NA")</f>
        <v>NA</v>
      </c>
      <c r="O572" s="18" t="str">
        <f t="shared" si="26"/>
        <v>cleared</v>
      </c>
    </row>
    <row r="573" spans="1:15" x14ac:dyDescent="0.25">
      <c r="A573" s="17">
        <v>569</v>
      </c>
      <c r="B573" s="6" t="s">
        <v>606</v>
      </c>
      <c r="C573" s="6" t="s">
        <v>37</v>
      </c>
      <c r="D573" s="6" t="s">
        <v>34</v>
      </c>
      <c r="E573" s="6" t="s">
        <v>39</v>
      </c>
      <c r="F573" s="6" t="s">
        <v>29</v>
      </c>
      <c r="G573" s="7">
        <v>46174</v>
      </c>
      <c r="H573" s="6">
        <v>4</v>
      </c>
      <c r="I573" s="7">
        <v>46179</v>
      </c>
      <c r="J573" s="7">
        <f t="shared" si="25"/>
        <v>46178</v>
      </c>
      <c r="K573" s="8">
        <v>120</v>
      </c>
      <c r="L573" s="9">
        <f t="shared" si="24"/>
        <v>1</v>
      </c>
      <c r="M573" s="9" t="str" cm="1">
        <f t="array" ref="M573">_xlfn.IFS(L573&gt;=10,"HIGH",L573=0,"LOW",L573&lt;=9,"MEDIUM")</f>
        <v>MEDIUM</v>
      </c>
      <c r="N573" s="9" cm="1">
        <f t="array" ref="N573">_xlfn.IFS(M573="HIGH",K573*L573,M573="MEDIUM",K573*L573,M573="LOW","NA")</f>
        <v>120</v>
      </c>
      <c r="O573" s="18" t="str">
        <f t="shared" si="26"/>
        <v>cleared</v>
      </c>
    </row>
    <row r="574" spans="1:15" x14ac:dyDescent="0.25">
      <c r="A574" s="17">
        <v>570</v>
      </c>
      <c r="B574" s="6" t="s">
        <v>607</v>
      </c>
      <c r="C574" s="6" t="s">
        <v>37</v>
      </c>
      <c r="D574" s="6" t="s">
        <v>20</v>
      </c>
      <c r="E574" s="6" t="s">
        <v>46</v>
      </c>
      <c r="F574" s="6" t="s">
        <v>14</v>
      </c>
      <c r="G574" s="7">
        <v>46254</v>
      </c>
      <c r="H574" s="6">
        <v>7</v>
      </c>
      <c r="I574" s="6"/>
      <c r="J574" s="7">
        <f t="shared" si="25"/>
        <v>46261</v>
      </c>
      <c r="K574" s="8">
        <v>110</v>
      </c>
      <c r="L574" s="9">
        <f t="shared" si="24"/>
        <v>0</v>
      </c>
      <c r="M574" s="9" t="str" cm="1">
        <f t="array" ref="M574">_xlfn.IFS(L574&gt;=10,"HIGH",L574=0,"LOW",L574&lt;=9,"MEDIUM")</f>
        <v>LOW</v>
      </c>
      <c r="N574" s="9" t="str" cm="1">
        <f t="array" ref="N574">_xlfn.IFS(M574="HIGH",K574*L574,M574="MEDIUM",K574*L574,M574="LOW","NA")</f>
        <v>NA</v>
      </c>
      <c r="O574" s="18" t="str">
        <f t="shared" si="26"/>
        <v>still in yard</v>
      </c>
    </row>
    <row r="575" spans="1:15" x14ac:dyDescent="0.25">
      <c r="A575" s="17">
        <v>571</v>
      </c>
      <c r="B575" s="6" t="s">
        <v>608</v>
      </c>
      <c r="C575" s="6" t="s">
        <v>33</v>
      </c>
      <c r="D575" s="6" t="s">
        <v>56</v>
      </c>
      <c r="E575" s="6" t="s">
        <v>35</v>
      </c>
      <c r="F575" s="6" t="s">
        <v>29</v>
      </c>
      <c r="G575" s="7">
        <v>46216</v>
      </c>
      <c r="H575" s="6">
        <v>4</v>
      </c>
      <c r="I575" s="7">
        <v>46217</v>
      </c>
      <c r="J575" s="7">
        <f t="shared" si="25"/>
        <v>46220</v>
      </c>
      <c r="K575" s="8">
        <v>150</v>
      </c>
      <c r="L575" s="9">
        <f t="shared" si="24"/>
        <v>0</v>
      </c>
      <c r="M575" s="9" t="str" cm="1">
        <f t="array" ref="M575">_xlfn.IFS(L575&gt;=10,"HIGH",L575=0,"LOW",L575&lt;=9,"MEDIUM")</f>
        <v>LOW</v>
      </c>
      <c r="N575" s="9" t="str" cm="1">
        <f t="array" ref="N575">_xlfn.IFS(M575="HIGH",K575*L575,M575="MEDIUM",K575*L575,M575="LOW","NA")</f>
        <v>NA</v>
      </c>
      <c r="O575" s="18" t="str">
        <f t="shared" si="26"/>
        <v>cleared</v>
      </c>
    </row>
    <row r="576" spans="1:15" x14ac:dyDescent="0.25">
      <c r="A576" s="17">
        <v>572</v>
      </c>
      <c r="B576" s="6" t="s">
        <v>609</v>
      </c>
      <c r="C576" s="6" t="s">
        <v>37</v>
      </c>
      <c r="D576" s="6" t="s">
        <v>41</v>
      </c>
      <c r="E576" s="6" t="s">
        <v>44</v>
      </c>
      <c r="F576" s="6" t="s">
        <v>27</v>
      </c>
      <c r="G576" s="7">
        <v>46208</v>
      </c>
      <c r="H576" s="6">
        <v>5</v>
      </c>
      <c r="I576" s="6"/>
      <c r="J576" s="7">
        <f t="shared" si="25"/>
        <v>46213</v>
      </c>
      <c r="K576" s="8">
        <v>90</v>
      </c>
      <c r="L576" s="9">
        <f t="shared" si="24"/>
        <v>46</v>
      </c>
      <c r="M576" s="9" t="str" cm="1">
        <f t="array" ref="M576">_xlfn.IFS(L576&gt;=10,"HIGH",L576=0,"LOW",L576&lt;=9,"MEDIUM")</f>
        <v>HIGH</v>
      </c>
      <c r="N576" s="9" cm="1">
        <f t="array" ref="N576">_xlfn.IFS(M576="HIGH",K576*L576,M576="MEDIUM",K576*L576,M576="LOW","NA")</f>
        <v>4140</v>
      </c>
      <c r="O576" s="18" t="str">
        <f t="shared" si="26"/>
        <v>still in yard</v>
      </c>
    </row>
    <row r="577" spans="1:15" x14ac:dyDescent="0.25">
      <c r="A577" s="17">
        <v>573</v>
      </c>
      <c r="B577" s="6" t="s">
        <v>610</v>
      </c>
      <c r="C577" s="6" t="s">
        <v>37</v>
      </c>
      <c r="D577" s="6" t="s">
        <v>20</v>
      </c>
      <c r="E577" s="6" t="s">
        <v>21</v>
      </c>
      <c r="F577" s="6" t="s">
        <v>27</v>
      </c>
      <c r="G577" s="7">
        <v>46211</v>
      </c>
      <c r="H577" s="6">
        <v>5</v>
      </c>
      <c r="I577" s="7">
        <v>46221</v>
      </c>
      <c r="J577" s="7">
        <f t="shared" si="25"/>
        <v>46216</v>
      </c>
      <c r="K577" s="8">
        <v>75</v>
      </c>
      <c r="L577" s="9">
        <f t="shared" si="24"/>
        <v>5</v>
      </c>
      <c r="M577" s="9" t="str" cm="1">
        <f t="array" ref="M577">_xlfn.IFS(L577&gt;=10,"HIGH",L577=0,"LOW",L577&lt;=9,"MEDIUM")</f>
        <v>MEDIUM</v>
      </c>
      <c r="N577" s="9" cm="1">
        <f t="array" ref="N577">_xlfn.IFS(M577="HIGH",K577*L577,M577="MEDIUM",K577*L577,M577="LOW","NA")</f>
        <v>375</v>
      </c>
      <c r="O577" s="18" t="str">
        <f t="shared" si="26"/>
        <v>cleared</v>
      </c>
    </row>
    <row r="578" spans="1:15" x14ac:dyDescent="0.25">
      <c r="A578" s="17">
        <v>574</v>
      </c>
      <c r="B578" s="6" t="s">
        <v>611</v>
      </c>
      <c r="C578" s="6" t="s">
        <v>16</v>
      </c>
      <c r="D578" s="6" t="s">
        <v>26</v>
      </c>
      <c r="E578" s="6" t="s">
        <v>35</v>
      </c>
      <c r="F578" s="6" t="s">
        <v>14</v>
      </c>
      <c r="G578" s="7">
        <v>46233</v>
      </c>
      <c r="H578" s="6">
        <v>4</v>
      </c>
      <c r="I578" s="7">
        <v>46234</v>
      </c>
      <c r="J578" s="7">
        <f t="shared" si="25"/>
        <v>46237</v>
      </c>
      <c r="K578" s="8">
        <v>60</v>
      </c>
      <c r="L578" s="9">
        <f t="shared" si="24"/>
        <v>0</v>
      </c>
      <c r="M578" s="9" t="str" cm="1">
        <f t="array" ref="M578">_xlfn.IFS(L578&gt;=10,"HIGH",L578=0,"LOW",L578&lt;=9,"MEDIUM")</f>
        <v>LOW</v>
      </c>
      <c r="N578" s="9" t="str" cm="1">
        <f t="array" ref="N578">_xlfn.IFS(M578="HIGH",K578*L578,M578="MEDIUM",K578*L578,M578="LOW","NA")</f>
        <v>NA</v>
      </c>
      <c r="O578" s="18" t="str">
        <f t="shared" si="26"/>
        <v>cleared</v>
      </c>
    </row>
    <row r="579" spans="1:15" x14ac:dyDescent="0.25">
      <c r="A579" s="17">
        <v>575</v>
      </c>
      <c r="B579" s="6" t="s">
        <v>612</v>
      </c>
      <c r="C579" s="6" t="s">
        <v>16</v>
      </c>
      <c r="D579" s="6" t="s">
        <v>54</v>
      </c>
      <c r="E579" s="6" t="s">
        <v>23</v>
      </c>
      <c r="F579" s="6" t="s">
        <v>14</v>
      </c>
      <c r="G579" s="7">
        <v>46169</v>
      </c>
      <c r="H579" s="6">
        <v>5</v>
      </c>
      <c r="I579" s="6"/>
      <c r="J579" s="7">
        <f t="shared" si="25"/>
        <v>46174</v>
      </c>
      <c r="K579" s="8">
        <v>75</v>
      </c>
      <c r="L579" s="9">
        <f t="shared" si="24"/>
        <v>85</v>
      </c>
      <c r="M579" s="9" t="str" cm="1">
        <f t="array" ref="M579">_xlfn.IFS(L579&gt;=10,"HIGH",L579=0,"LOW",L579&lt;=9,"MEDIUM")</f>
        <v>HIGH</v>
      </c>
      <c r="N579" s="9" cm="1">
        <f t="array" ref="N579">_xlfn.IFS(M579="HIGH",K579*L579,M579="MEDIUM",K579*L579,M579="LOW","NA")</f>
        <v>6375</v>
      </c>
      <c r="O579" s="18" t="str">
        <f t="shared" si="26"/>
        <v>still in yard</v>
      </c>
    </row>
    <row r="580" spans="1:15" x14ac:dyDescent="0.25">
      <c r="A580" s="17">
        <v>576</v>
      </c>
      <c r="B580" s="6" t="s">
        <v>613</v>
      </c>
      <c r="C580" s="6" t="s">
        <v>37</v>
      </c>
      <c r="D580" s="6" t="s">
        <v>31</v>
      </c>
      <c r="E580" s="6" t="s">
        <v>18</v>
      </c>
      <c r="F580" s="6" t="s">
        <v>14</v>
      </c>
      <c r="G580" s="7">
        <v>46255</v>
      </c>
      <c r="H580" s="6">
        <v>4</v>
      </c>
      <c r="I580" s="6"/>
      <c r="J580" s="7">
        <f t="shared" si="25"/>
        <v>46259</v>
      </c>
      <c r="K580" s="8">
        <v>60</v>
      </c>
      <c r="L580" s="9">
        <f t="shared" si="24"/>
        <v>0</v>
      </c>
      <c r="M580" s="9" t="str" cm="1">
        <f t="array" ref="M580">_xlfn.IFS(L580&gt;=10,"HIGH",L580=0,"LOW",L580&lt;=9,"MEDIUM")</f>
        <v>LOW</v>
      </c>
      <c r="N580" s="9" t="str" cm="1">
        <f t="array" ref="N580">_xlfn.IFS(M580="HIGH",K580*L580,M580="MEDIUM",K580*L580,M580="LOW","NA")</f>
        <v>NA</v>
      </c>
      <c r="O580" s="18" t="str">
        <f t="shared" si="26"/>
        <v>still in yard</v>
      </c>
    </row>
    <row r="581" spans="1:15" x14ac:dyDescent="0.25">
      <c r="A581" s="17">
        <v>577</v>
      </c>
      <c r="B581" s="6" t="s">
        <v>614</v>
      </c>
      <c r="C581" s="6" t="s">
        <v>37</v>
      </c>
      <c r="D581" s="6" t="s">
        <v>12</v>
      </c>
      <c r="E581" s="6" t="s">
        <v>35</v>
      </c>
      <c r="F581" s="6" t="s">
        <v>24</v>
      </c>
      <c r="G581" s="7">
        <v>46249</v>
      </c>
      <c r="H581" s="6">
        <v>7</v>
      </c>
      <c r="I581" s="7">
        <v>46258</v>
      </c>
      <c r="J581" s="7">
        <f t="shared" si="25"/>
        <v>46256</v>
      </c>
      <c r="K581" s="8">
        <v>90</v>
      </c>
      <c r="L581" s="9">
        <f t="shared" ref="L581:L644" si="27">MAX(0, IF(I581="", $C$2-J581, I581-J581))</f>
        <v>2</v>
      </c>
      <c r="M581" s="9" t="str" cm="1">
        <f t="array" ref="M581">_xlfn.IFS(L581&gt;=10,"HIGH",L581=0,"LOW",L581&lt;=9,"MEDIUM")</f>
        <v>MEDIUM</v>
      </c>
      <c r="N581" s="9" cm="1">
        <f t="array" ref="N581">_xlfn.IFS(M581="HIGH",K581*L581,M581="MEDIUM",K581*L581,M581="LOW","NA")</f>
        <v>180</v>
      </c>
      <c r="O581" s="18" t="str">
        <f t="shared" si="26"/>
        <v>cleared</v>
      </c>
    </row>
    <row r="582" spans="1:15" x14ac:dyDescent="0.25">
      <c r="A582" s="17">
        <v>578</v>
      </c>
      <c r="B582" s="6" t="s">
        <v>615</v>
      </c>
      <c r="C582" s="6" t="s">
        <v>33</v>
      </c>
      <c r="D582" s="6" t="s">
        <v>41</v>
      </c>
      <c r="E582" s="6" t="s">
        <v>46</v>
      </c>
      <c r="F582" s="6" t="s">
        <v>24</v>
      </c>
      <c r="G582" s="7">
        <v>46251</v>
      </c>
      <c r="H582" s="6">
        <v>4</v>
      </c>
      <c r="I582" s="6"/>
      <c r="J582" s="7">
        <f t="shared" ref="J582:J645" si="28">G582+H582</f>
        <v>46255</v>
      </c>
      <c r="K582" s="8">
        <v>90</v>
      </c>
      <c r="L582" s="9">
        <f t="shared" si="27"/>
        <v>4</v>
      </c>
      <c r="M582" s="9" t="str" cm="1">
        <f t="array" ref="M582">_xlfn.IFS(L582&gt;=10,"HIGH",L582=0,"LOW",L582&lt;=9,"MEDIUM")</f>
        <v>MEDIUM</v>
      </c>
      <c r="N582" s="9" cm="1">
        <f t="array" ref="N582">_xlfn.IFS(M582="HIGH",K582*L582,M582="MEDIUM",K582*L582,M582="LOW","NA")</f>
        <v>360</v>
      </c>
      <c r="O582" s="18" t="str">
        <f t="shared" ref="O582:O645" si="29">IF(I582="","still in yard","cleared")</f>
        <v>still in yard</v>
      </c>
    </row>
    <row r="583" spans="1:15" x14ac:dyDescent="0.25">
      <c r="A583" s="17">
        <v>579</v>
      </c>
      <c r="B583" s="6" t="s">
        <v>616</v>
      </c>
      <c r="C583" s="6" t="s">
        <v>16</v>
      </c>
      <c r="D583" s="6" t="s">
        <v>56</v>
      </c>
      <c r="E583" s="6" t="s">
        <v>21</v>
      </c>
      <c r="F583" s="6" t="s">
        <v>14</v>
      </c>
      <c r="G583" s="7">
        <v>46169</v>
      </c>
      <c r="H583" s="6">
        <v>5</v>
      </c>
      <c r="I583" s="6"/>
      <c r="J583" s="7">
        <f t="shared" si="28"/>
        <v>46174</v>
      </c>
      <c r="K583" s="8">
        <v>90</v>
      </c>
      <c r="L583" s="9">
        <f t="shared" si="27"/>
        <v>85</v>
      </c>
      <c r="M583" s="9" t="str" cm="1">
        <f t="array" ref="M583">_xlfn.IFS(L583&gt;=10,"HIGH",L583=0,"LOW",L583&lt;=9,"MEDIUM")</f>
        <v>HIGH</v>
      </c>
      <c r="N583" s="9" cm="1">
        <f t="array" ref="N583">_xlfn.IFS(M583="HIGH",K583*L583,M583="MEDIUM",K583*L583,M583="LOW","NA")</f>
        <v>7650</v>
      </c>
      <c r="O583" s="18" t="str">
        <f t="shared" si="29"/>
        <v>still in yard</v>
      </c>
    </row>
    <row r="584" spans="1:15" x14ac:dyDescent="0.25">
      <c r="A584" s="17">
        <v>580</v>
      </c>
      <c r="B584" s="6" t="s">
        <v>617</v>
      </c>
      <c r="C584" s="6" t="s">
        <v>11</v>
      </c>
      <c r="D584" s="6" t="s">
        <v>17</v>
      </c>
      <c r="E584" s="6" t="s">
        <v>35</v>
      </c>
      <c r="F584" s="6" t="s">
        <v>27</v>
      </c>
      <c r="G584" s="7">
        <v>46234</v>
      </c>
      <c r="H584" s="6">
        <v>7</v>
      </c>
      <c r="I584" s="7">
        <v>46239</v>
      </c>
      <c r="J584" s="7">
        <f t="shared" si="28"/>
        <v>46241</v>
      </c>
      <c r="K584" s="8">
        <v>75</v>
      </c>
      <c r="L584" s="9">
        <f t="shared" si="27"/>
        <v>0</v>
      </c>
      <c r="M584" s="9" t="str" cm="1">
        <f t="array" ref="M584">_xlfn.IFS(L584&gt;=10,"HIGH",L584=0,"LOW",L584&lt;=9,"MEDIUM")</f>
        <v>LOW</v>
      </c>
      <c r="N584" s="9" t="str" cm="1">
        <f t="array" ref="N584">_xlfn.IFS(M584="HIGH",K584*L584,M584="MEDIUM",K584*L584,M584="LOW","NA")</f>
        <v>NA</v>
      </c>
      <c r="O584" s="18" t="str">
        <f t="shared" si="29"/>
        <v>cleared</v>
      </c>
    </row>
    <row r="585" spans="1:15" x14ac:dyDescent="0.25">
      <c r="A585" s="17">
        <v>581</v>
      </c>
      <c r="B585" s="6" t="s">
        <v>618</v>
      </c>
      <c r="C585" s="6" t="s">
        <v>33</v>
      </c>
      <c r="D585" s="6" t="s">
        <v>49</v>
      </c>
      <c r="E585" s="6" t="s">
        <v>46</v>
      </c>
      <c r="F585" s="6" t="s">
        <v>14</v>
      </c>
      <c r="G585" s="7">
        <v>46229</v>
      </c>
      <c r="H585" s="6">
        <v>5</v>
      </c>
      <c r="I585" s="7">
        <v>46233</v>
      </c>
      <c r="J585" s="7">
        <f t="shared" si="28"/>
        <v>46234</v>
      </c>
      <c r="K585" s="8">
        <v>110</v>
      </c>
      <c r="L585" s="9">
        <f t="shared" si="27"/>
        <v>0</v>
      </c>
      <c r="M585" s="9" t="str" cm="1">
        <f t="array" ref="M585">_xlfn.IFS(L585&gt;=10,"HIGH",L585=0,"LOW",L585&lt;=9,"MEDIUM")</f>
        <v>LOW</v>
      </c>
      <c r="N585" s="9" t="str" cm="1">
        <f t="array" ref="N585">_xlfn.IFS(M585="HIGH",K585*L585,M585="MEDIUM",K585*L585,M585="LOW","NA")</f>
        <v>NA</v>
      </c>
      <c r="O585" s="18" t="str">
        <f t="shared" si="29"/>
        <v>cleared</v>
      </c>
    </row>
    <row r="586" spans="1:15" x14ac:dyDescent="0.25">
      <c r="A586" s="17">
        <v>582</v>
      </c>
      <c r="B586" s="6" t="s">
        <v>619</v>
      </c>
      <c r="C586" s="6" t="s">
        <v>16</v>
      </c>
      <c r="D586" s="6" t="s">
        <v>56</v>
      </c>
      <c r="E586" s="6" t="s">
        <v>21</v>
      </c>
      <c r="F586" s="6" t="s">
        <v>27</v>
      </c>
      <c r="G586" s="7">
        <v>46234</v>
      </c>
      <c r="H586" s="6">
        <v>6</v>
      </c>
      <c r="I586" s="7">
        <v>46240</v>
      </c>
      <c r="J586" s="7">
        <f t="shared" si="28"/>
        <v>46240</v>
      </c>
      <c r="K586" s="8">
        <v>60</v>
      </c>
      <c r="L586" s="9">
        <f t="shared" si="27"/>
        <v>0</v>
      </c>
      <c r="M586" s="9" t="str" cm="1">
        <f t="array" ref="M586">_xlfn.IFS(L586&gt;=10,"HIGH",L586=0,"LOW",L586&lt;=9,"MEDIUM")</f>
        <v>LOW</v>
      </c>
      <c r="N586" s="9" t="str" cm="1">
        <f t="array" ref="N586">_xlfn.IFS(M586="HIGH",K586*L586,M586="MEDIUM",K586*L586,M586="LOW","NA")</f>
        <v>NA</v>
      </c>
      <c r="O586" s="18" t="str">
        <f t="shared" si="29"/>
        <v>cleared</v>
      </c>
    </row>
    <row r="587" spans="1:15" x14ac:dyDescent="0.25">
      <c r="A587" s="17">
        <v>583</v>
      </c>
      <c r="B587" s="6" t="s">
        <v>620</v>
      </c>
      <c r="C587" s="6" t="s">
        <v>33</v>
      </c>
      <c r="D587" s="6" t="s">
        <v>26</v>
      </c>
      <c r="E587" s="6" t="s">
        <v>13</v>
      </c>
      <c r="F587" s="6" t="s">
        <v>27</v>
      </c>
      <c r="G587" s="7">
        <v>46257</v>
      </c>
      <c r="H587" s="6">
        <v>5</v>
      </c>
      <c r="I587" s="7">
        <v>46259</v>
      </c>
      <c r="J587" s="7">
        <f t="shared" si="28"/>
        <v>46262</v>
      </c>
      <c r="K587" s="8">
        <v>75</v>
      </c>
      <c r="L587" s="9">
        <f t="shared" si="27"/>
        <v>0</v>
      </c>
      <c r="M587" s="9" t="str" cm="1">
        <f t="array" ref="M587">_xlfn.IFS(L587&gt;=10,"HIGH",L587=0,"LOW",L587&lt;=9,"MEDIUM")</f>
        <v>LOW</v>
      </c>
      <c r="N587" s="9" t="str" cm="1">
        <f t="array" ref="N587">_xlfn.IFS(M587="HIGH",K587*L587,M587="MEDIUM",K587*L587,M587="LOW","NA")</f>
        <v>NA</v>
      </c>
      <c r="O587" s="18" t="str">
        <f t="shared" si="29"/>
        <v>cleared</v>
      </c>
    </row>
    <row r="588" spans="1:15" x14ac:dyDescent="0.25">
      <c r="A588" s="17">
        <v>584</v>
      </c>
      <c r="B588" s="6" t="s">
        <v>621</v>
      </c>
      <c r="C588" s="6" t="s">
        <v>16</v>
      </c>
      <c r="D588" s="6" t="s">
        <v>41</v>
      </c>
      <c r="E588" s="6" t="s">
        <v>18</v>
      </c>
      <c r="F588" s="6" t="s">
        <v>24</v>
      </c>
      <c r="G588" s="7">
        <v>46194</v>
      </c>
      <c r="H588" s="6">
        <v>6</v>
      </c>
      <c r="I588" s="7">
        <v>46199</v>
      </c>
      <c r="J588" s="7">
        <f t="shared" si="28"/>
        <v>46200</v>
      </c>
      <c r="K588" s="8">
        <v>75</v>
      </c>
      <c r="L588" s="9">
        <f t="shared" si="27"/>
        <v>0</v>
      </c>
      <c r="M588" s="9" t="str" cm="1">
        <f t="array" ref="M588">_xlfn.IFS(L588&gt;=10,"HIGH",L588=0,"LOW",L588&lt;=9,"MEDIUM")</f>
        <v>LOW</v>
      </c>
      <c r="N588" s="9" t="str" cm="1">
        <f t="array" ref="N588">_xlfn.IFS(M588="HIGH",K588*L588,M588="MEDIUM",K588*L588,M588="LOW","NA")</f>
        <v>NA</v>
      </c>
      <c r="O588" s="18" t="str">
        <f t="shared" si="29"/>
        <v>cleared</v>
      </c>
    </row>
    <row r="589" spans="1:15" x14ac:dyDescent="0.25">
      <c r="A589" s="17">
        <v>585</v>
      </c>
      <c r="B589" s="6" t="s">
        <v>622</v>
      </c>
      <c r="C589" s="6" t="s">
        <v>16</v>
      </c>
      <c r="D589" s="6" t="s">
        <v>20</v>
      </c>
      <c r="E589" s="6" t="s">
        <v>61</v>
      </c>
      <c r="F589" s="6" t="s">
        <v>24</v>
      </c>
      <c r="G589" s="7">
        <v>46231</v>
      </c>
      <c r="H589" s="6">
        <v>6</v>
      </c>
      <c r="I589" s="7">
        <v>46238</v>
      </c>
      <c r="J589" s="7">
        <f t="shared" si="28"/>
        <v>46237</v>
      </c>
      <c r="K589" s="8">
        <v>75</v>
      </c>
      <c r="L589" s="9">
        <f t="shared" si="27"/>
        <v>1</v>
      </c>
      <c r="M589" s="9" t="str" cm="1">
        <f t="array" ref="M589">_xlfn.IFS(L589&gt;=10,"HIGH",L589=0,"LOW",L589&lt;=9,"MEDIUM")</f>
        <v>MEDIUM</v>
      </c>
      <c r="N589" s="9" cm="1">
        <f t="array" ref="N589">_xlfn.IFS(M589="HIGH",K589*L589,M589="MEDIUM",K589*L589,M589="LOW","NA")</f>
        <v>75</v>
      </c>
      <c r="O589" s="18" t="str">
        <f t="shared" si="29"/>
        <v>cleared</v>
      </c>
    </row>
    <row r="590" spans="1:15" x14ac:dyDescent="0.25">
      <c r="A590" s="17">
        <v>586</v>
      </c>
      <c r="B590" s="6" t="s">
        <v>623</v>
      </c>
      <c r="C590" s="6" t="s">
        <v>37</v>
      </c>
      <c r="D590" s="6" t="s">
        <v>31</v>
      </c>
      <c r="E590" s="6" t="s">
        <v>46</v>
      </c>
      <c r="F590" s="6" t="s">
        <v>27</v>
      </c>
      <c r="G590" s="7">
        <v>46238</v>
      </c>
      <c r="H590" s="6">
        <v>4</v>
      </c>
      <c r="I590" s="6"/>
      <c r="J590" s="7">
        <f t="shared" si="28"/>
        <v>46242</v>
      </c>
      <c r="K590" s="8">
        <v>90</v>
      </c>
      <c r="L590" s="9">
        <f t="shared" si="27"/>
        <v>17</v>
      </c>
      <c r="M590" s="9" t="str" cm="1">
        <f t="array" ref="M590">_xlfn.IFS(L590&gt;=10,"HIGH",L590=0,"LOW",L590&lt;=9,"MEDIUM")</f>
        <v>HIGH</v>
      </c>
      <c r="N590" s="9" cm="1">
        <f t="array" ref="N590">_xlfn.IFS(M590="HIGH",K590*L590,M590="MEDIUM",K590*L590,M590="LOW","NA")</f>
        <v>1530</v>
      </c>
      <c r="O590" s="18" t="str">
        <f t="shared" si="29"/>
        <v>still in yard</v>
      </c>
    </row>
    <row r="591" spans="1:15" x14ac:dyDescent="0.25">
      <c r="A591" s="17">
        <v>587</v>
      </c>
      <c r="B591" s="6" t="s">
        <v>624</v>
      </c>
      <c r="C591" s="6" t="s">
        <v>11</v>
      </c>
      <c r="D591" s="6" t="s">
        <v>49</v>
      </c>
      <c r="E591" s="6" t="s">
        <v>39</v>
      </c>
      <c r="F591" s="6" t="s">
        <v>24</v>
      </c>
      <c r="G591" s="7">
        <v>46251</v>
      </c>
      <c r="H591" s="6">
        <v>7</v>
      </c>
      <c r="I591" s="7">
        <v>46257</v>
      </c>
      <c r="J591" s="7">
        <f t="shared" si="28"/>
        <v>46258</v>
      </c>
      <c r="K591" s="8">
        <v>75</v>
      </c>
      <c r="L591" s="9">
        <f t="shared" si="27"/>
        <v>0</v>
      </c>
      <c r="M591" s="9" t="str" cm="1">
        <f t="array" ref="M591">_xlfn.IFS(L591&gt;=10,"HIGH",L591=0,"LOW",L591&lt;=9,"MEDIUM")</f>
        <v>LOW</v>
      </c>
      <c r="N591" s="9" t="str" cm="1">
        <f t="array" ref="N591">_xlfn.IFS(M591="HIGH",K591*L591,M591="MEDIUM",K591*L591,M591="LOW","NA")</f>
        <v>NA</v>
      </c>
      <c r="O591" s="18" t="str">
        <f t="shared" si="29"/>
        <v>cleared</v>
      </c>
    </row>
    <row r="592" spans="1:15" x14ac:dyDescent="0.25">
      <c r="A592" s="17">
        <v>588</v>
      </c>
      <c r="B592" s="6" t="s">
        <v>625</v>
      </c>
      <c r="C592" s="6" t="s">
        <v>37</v>
      </c>
      <c r="D592" s="6" t="s">
        <v>12</v>
      </c>
      <c r="E592" s="6" t="s">
        <v>18</v>
      </c>
      <c r="F592" s="6" t="s">
        <v>29</v>
      </c>
      <c r="G592" s="7">
        <v>46255</v>
      </c>
      <c r="H592" s="6">
        <v>3</v>
      </c>
      <c r="I592" s="7">
        <v>46259</v>
      </c>
      <c r="J592" s="7">
        <f t="shared" si="28"/>
        <v>46258</v>
      </c>
      <c r="K592" s="8">
        <v>180</v>
      </c>
      <c r="L592" s="9">
        <f t="shared" si="27"/>
        <v>1</v>
      </c>
      <c r="M592" s="9" t="str" cm="1">
        <f t="array" ref="M592">_xlfn.IFS(L592&gt;=10,"HIGH",L592=0,"LOW",L592&lt;=9,"MEDIUM")</f>
        <v>MEDIUM</v>
      </c>
      <c r="N592" s="9" cm="1">
        <f t="array" ref="N592">_xlfn.IFS(M592="HIGH",K592*L592,M592="MEDIUM",K592*L592,M592="LOW","NA")</f>
        <v>180</v>
      </c>
      <c r="O592" s="18" t="str">
        <f t="shared" si="29"/>
        <v>cleared</v>
      </c>
    </row>
    <row r="593" spans="1:15" x14ac:dyDescent="0.25">
      <c r="A593" s="17">
        <v>589</v>
      </c>
      <c r="B593" s="6" t="s">
        <v>626</v>
      </c>
      <c r="C593" s="6" t="s">
        <v>11</v>
      </c>
      <c r="D593" s="6" t="s">
        <v>41</v>
      </c>
      <c r="E593" s="6" t="s">
        <v>61</v>
      </c>
      <c r="F593" s="6" t="s">
        <v>24</v>
      </c>
      <c r="G593" s="7">
        <v>46249</v>
      </c>
      <c r="H593" s="6">
        <v>4</v>
      </c>
      <c r="I593" s="7">
        <v>46250</v>
      </c>
      <c r="J593" s="7">
        <f t="shared" si="28"/>
        <v>46253</v>
      </c>
      <c r="K593" s="8">
        <v>60</v>
      </c>
      <c r="L593" s="9">
        <f t="shared" si="27"/>
        <v>0</v>
      </c>
      <c r="M593" s="9" t="str" cm="1">
        <f t="array" ref="M593">_xlfn.IFS(L593&gt;=10,"HIGH",L593=0,"LOW",L593&lt;=9,"MEDIUM")</f>
        <v>LOW</v>
      </c>
      <c r="N593" s="9" t="str" cm="1">
        <f t="array" ref="N593">_xlfn.IFS(M593="HIGH",K593*L593,M593="MEDIUM",K593*L593,M593="LOW","NA")</f>
        <v>NA</v>
      </c>
      <c r="O593" s="18" t="str">
        <f t="shared" si="29"/>
        <v>cleared</v>
      </c>
    </row>
    <row r="594" spans="1:15" x14ac:dyDescent="0.25">
      <c r="A594" s="17">
        <v>590</v>
      </c>
      <c r="B594" s="6" t="s">
        <v>627</v>
      </c>
      <c r="C594" s="6" t="s">
        <v>11</v>
      </c>
      <c r="D594" s="6" t="s">
        <v>17</v>
      </c>
      <c r="E594" s="6" t="s">
        <v>18</v>
      </c>
      <c r="F594" s="6" t="s">
        <v>29</v>
      </c>
      <c r="G594" s="7">
        <v>46218</v>
      </c>
      <c r="H594" s="6">
        <v>4</v>
      </c>
      <c r="I594" s="7">
        <v>46219</v>
      </c>
      <c r="J594" s="7">
        <f t="shared" si="28"/>
        <v>46222</v>
      </c>
      <c r="K594" s="8">
        <v>150</v>
      </c>
      <c r="L594" s="9">
        <f t="shared" si="27"/>
        <v>0</v>
      </c>
      <c r="M594" s="9" t="str" cm="1">
        <f t="array" ref="M594">_xlfn.IFS(L594&gt;=10,"HIGH",L594=0,"LOW",L594&lt;=9,"MEDIUM")</f>
        <v>LOW</v>
      </c>
      <c r="N594" s="9" t="str" cm="1">
        <f t="array" ref="N594">_xlfn.IFS(M594="HIGH",K594*L594,M594="MEDIUM",K594*L594,M594="LOW","NA")</f>
        <v>NA</v>
      </c>
      <c r="O594" s="18" t="str">
        <f t="shared" si="29"/>
        <v>cleared</v>
      </c>
    </row>
    <row r="595" spans="1:15" x14ac:dyDescent="0.25">
      <c r="A595" s="17">
        <v>591</v>
      </c>
      <c r="B595" s="6" t="s">
        <v>628</v>
      </c>
      <c r="C595" s="6" t="s">
        <v>11</v>
      </c>
      <c r="D595" s="6" t="s">
        <v>17</v>
      </c>
      <c r="E595" s="6" t="s">
        <v>35</v>
      </c>
      <c r="F595" s="6" t="s">
        <v>24</v>
      </c>
      <c r="G595" s="7">
        <v>46179</v>
      </c>
      <c r="H595" s="6">
        <v>4</v>
      </c>
      <c r="I595" s="6"/>
      <c r="J595" s="7">
        <f t="shared" si="28"/>
        <v>46183</v>
      </c>
      <c r="K595" s="8">
        <v>110</v>
      </c>
      <c r="L595" s="9">
        <f t="shared" si="27"/>
        <v>76</v>
      </c>
      <c r="M595" s="9" t="str" cm="1">
        <f t="array" ref="M595">_xlfn.IFS(L595&gt;=10,"HIGH",L595=0,"LOW",L595&lt;=9,"MEDIUM")</f>
        <v>HIGH</v>
      </c>
      <c r="N595" s="9" cm="1">
        <f t="array" ref="N595">_xlfn.IFS(M595="HIGH",K595*L595,M595="MEDIUM",K595*L595,M595="LOW","NA")</f>
        <v>8360</v>
      </c>
      <c r="O595" s="18" t="str">
        <f t="shared" si="29"/>
        <v>still in yard</v>
      </c>
    </row>
    <row r="596" spans="1:15" x14ac:dyDescent="0.25">
      <c r="A596" s="17">
        <v>592</v>
      </c>
      <c r="B596" s="6" t="s">
        <v>629</v>
      </c>
      <c r="C596" s="6" t="s">
        <v>16</v>
      </c>
      <c r="D596" s="6" t="s">
        <v>31</v>
      </c>
      <c r="E596" s="6" t="s">
        <v>23</v>
      </c>
      <c r="F596" s="6" t="s">
        <v>14</v>
      </c>
      <c r="G596" s="7">
        <v>46187</v>
      </c>
      <c r="H596" s="6">
        <v>5</v>
      </c>
      <c r="I596" s="6"/>
      <c r="J596" s="7">
        <f t="shared" si="28"/>
        <v>46192</v>
      </c>
      <c r="K596" s="8">
        <v>130</v>
      </c>
      <c r="L596" s="9">
        <f t="shared" si="27"/>
        <v>67</v>
      </c>
      <c r="M596" s="9" t="str" cm="1">
        <f t="array" ref="M596">_xlfn.IFS(L596&gt;=10,"HIGH",L596=0,"LOW",L596&lt;=9,"MEDIUM")</f>
        <v>HIGH</v>
      </c>
      <c r="N596" s="9" cm="1">
        <f t="array" ref="N596">_xlfn.IFS(M596="HIGH",K596*L596,M596="MEDIUM",K596*L596,M596="LOW","NA")</f>
        <v>8710</v>
      </c>
      <c r="O596" s="18" t="str">
        <f t="shared" si="29"/>
        <v>still in yard</v>
      </c>
    </row>
    <row r="597" spans="1:15" x14ac:dyDescent="0.25">
      <c r="A597" s="17">
        <v>593</v>
      </c>
      <c r="B597" s="6" t="s">
        <v>630</v>
      </c>
      <c r="C597" s="6" t="s">
        <v>16</v>
      </c>
      <c r="D597" s="6" t="s">
        <v>31</v>
      </c>
      <c r="E597" s="6" t="s">
        <v>42</v>
      </c>
      <c r="F597" s="6" t="s">
        <v>24</v>
      </c>
      <c r="G597" s="7">
        <v>46203</v>
      </c>
      <c r="H597" s="6">
        <v>7</v>
      </c>
      <c r="I597" s="6"/>
      <c r="J597" s="7">
        <f t="shared" si="28"/>
        <v>46210</v>
      </c>
      <c r="K597" s="8">
        <v>110</v>
      </c>
      <c r="L597" s="9">
        <f t="shared" si="27"/>
        <v>49</v>
      </c>
      <c r="M597" s="9" t="str" cm="1">
        <f t="array" ref="M597">_xlfn.IFS(L597&gt;=10,"HIGH",L597=0,"LOW",L597&lt;=9,"MEDIUM")</f>
        <v>HIGH</v>
      </c>
      <c r="N597" s="9" cm="1">
        <f t="array" ref="N597">_xlfn.IFS(M597="HIGH",K597*L597,M597="MEDIUM",K597*L597,M597="LOW","NA")</f>
        <v>5390</v>
      </c>
      <c r="O597" s="18" t="str">
        <f t="shared" si="29"/>
        <v>still in yard</v>
      </c>
    </row>
    <row r="598" spans="1:15" x14ac:dyDescent="0.25">
      <c r="A598" s="17">
        <v>594</v>
      </c>
      <c r="B598" s="6" t="s">
        <v>631</v>
      </c>
      <c r="C598" s="6" t="s">
        <v>16</v>
      </c>
      <c r="D598" s="6" t="s">
        <v>54</v>
      </c>
      <c r="E598" s="6" t="s">
        <v>44</v>
      </c>
      <c r="F598" s="6" t="s">
        <v>24</v>
      </c>
      <c r="G598" s="7">
        <v>46173</v>
      </c>
      <c r="H598" s="6">
        <v>5</v>
      </c>
      <c r="I598" s="7">
        <v>46176</v>
      </c>
      <c r="J598" s="7">
        <f t="shared" si="28"/>
        <v>46178</v>
      </c>
      <c r="K598" s="8">
        <v>130</v>
      </c>
      <c r="L598" s="9">
        <f t="shared" si="27"/>
        <v>0</v>
      </c>
      <c r="M598" s="9" t="str" cm="1">
        <f t="array" ref="M598">_xlfn.IFS(L598&gt;=10,"HIGH",L598=0,"LOW",L598&lt;=9,"MEDIUM")</f>
        <v>LOW</v>
      </c>
      <c r="N598" s="9" t="str" cm="1">
        <f t="array" ref="N598">_xlfn.IFS(M598="HIGH",K598*L598,M598="MEDIUM",K598*L598,M598="LOW","NA")</f>
        <v>NA</v>
      </c>
      <c r="O598" s="18" t="str">
        <f t="shared" si="29"/>
        <v>cleared</v>
      </c>
    </row>
    <row r="599" spans="1:15" x14ac:dyDescent="0.25">
      <c r="A599" s="17">
        <v>595</v>
      </c>
      <c r="B599" s="6" t="s">
        <v>632</v>
      </c>
      <c r="C599" s="6" t="s">
        <v>33</v>
      </c>
      <c r="D599" s="6" t="s">
        <v>12</v>
      </c>
      <c r="E599" s="6" t="s">
        <v>18</v>
      </c>
      <c r="F599" s="6" t="s">
        <v>27</v>
      </c>
      <c r="G599" s="7">
        <v>46209</v>
      </c>
      <c r="H599" s="6">
        <v>6</v>
      </c>
      <c r="I599" s="7">
        <v>46211</v>
      </c>
      <c r="J599" s="7">
        <f t="shared" si="28"/>
        <v>46215</v>
      </c>
      <c r="K599" s="8">
        <v>90</v>
      </c>
      <c r="L599" s="9">
        <f t="shared" si="27"/>
        <v>0</v>
      </c>
      <c r="M599" s="9" t="str" cm="1">
        <f t="array" ref="M599">_xlfn.IFS(L599&gt;=10,"HIGH",L599=0,"LOW",L599&lt;=9,"MEDIUM")</f>
        <v>LOW</v>
      </c>
      <c r="N599" s="9" t="str" cm="1">
        <f t="array" ref="N599">_xlfn.IFS(M599="HIGH",K599*L599,M599="MEDIUM",K599*L599,M599="LOW","NA")</f>
        <v>NA</v>
      </c>
      <c r="O599" s="18" t="str">
        <f t="shared" si="29"/>
        <v>cleared</v>
      </c>
    </row>
    <row r="600" spans="1:15" x14ac:dyDescent="0.25">
      <c r="A600" s="17">
        <v>596</v>
      </c>
      <c r="B600" s="6" t="s">
        <v>633</v>
      </c>
      <c r="C600" s="6" t="s">
        <v>16</v>
      </c>
      <c r="D600" s="6" t="s">
        <v>20</v>
      </c>
      <c r="E600" s="6" t="s">
        <v>35</v>
      </c>
      <c r="F600" s="6" t="s">
        <v>14</v>
      </c>
      <c r="G600" s="7">
        <v>46247</v>
      </c>
      <c r="H600" s="6">
        <v>5</v>
      </c>
      <c r="I600" s="7">
        <v>46257</v>
      </c>
      <c r="J600" s="7">
        <f t="shared" si="28"/>
        <v>46252</v>
      </c>
      <c r="K600" s="8">
        <v>110</v>
      </c>
      <c r="L600" s="9">
        <f t="shared" si="27"/>
        <v>5</v>
      </c>
      <c r="M600" s="9" t="str" cm="1">
        <f t="array" ref="M600">_xlfn.IFS(L600&gt;=10,"HIGH",L600=0,"LOW",L600&lt;=9,"MEDIUM")</f>
        <v>MEDIUM</v>
      </c>
      <c r="N600" s="9" cm="1">
        <f t="array" ref="N600">_xlfn.IFS(M600="HIGH",K600*L600,M600="MEDIUM",K600*L600,M600="LOW","NA")</f>
        <v>550</v>
      </c>
      <c r="O600" s="18" t="str">
        <f t="shared" si="29"/>
        <v>cleared</v>
      </c>
    </row>
    <row r="601" spans="1:15" x14ac:dyDescent="0.25">
      <c r="A601" s="17">
        <v>597</v>
      </c>
      <c r="B601" s="6" t="s">
        <v>634</v>
      </c>
      <c r="C601" s="6" t="s">
        <v>33</v>
      </c>
      <c r="D601" s="6" t="s">
        <v>20</v>
      </c>
      <c r="E601" s="6" t="s">
        <v>23</v>
      </c>
      <c r="F601" s="6" t="s">
        <v>24</v>
      </c>
      <c r="G601" s="7">
        <v>46199</v>
      </c>
      <c r="H601" s="6">
        <v>6</v>
      </c>
      <c r="I601" s="7">
        <v>46202</v>
      </c>
      <c r="J601" s="7">
        <f t="shared" si="28"/>
        <v>46205</v>
      </c>
      <c r="K601" s="8">
        <v>75</v>
      </c>
      <c r="L601" s="9">
        <f t="shared" si="27"/>
        <v>0</v>
      </c>
      <c r="M601" s="9" t="str" cm="1">
        <f t="array" ref="M601">_xlfn.IFS(L601&gt;=10,"HIGH",L601=0,"LOW",L601&lt;=9,"MEDIUM")</f>
        <v>LOW</v>
      </c>
      <c r="N601" s="9" t="str" cm="1">
        <f t="array" ref="N601">_xlfn.IFS(M601="HIGH",K601*L601,M601="MEDIUM",K601*L601,M601="LOW","NA")</f>
        <v>NA</v>
      </c>
      <c r="O601" s="18" t="str">
        <f t="shared" si="29"/>
        <v>cleared</v>
      </c>
    </row>
    <row r="602" spans="1:15" x14ac:dyDescent="0.25">
      <c r="A602" s="17">
        <v>598</v>
      </c>
      <c r="B602" s="6" t="s">
        <v>635</v>
      </c>
      <c r="C602" s="6" t="s">
        <v>37</v>
      </c>
      <c r="D602" s="6" t="s">
        <v>41</v>
      </c>
      <c r="E602" s="6" t="s">
        <v>42</v>
      </c>
      <c r="F602" s="6" t="s">
        <v>24</v>
      </c>
      <c r="G602" s="7">
        <v>46227</v>
      </c>
      <c r="H602" s="6">
        <v>4</v>
      </c>
      <c r="I602" s="6"/>
      <c r="J602" s="7">
        <f t="shared" si="28"/>
        <v>46231</v>
      </c>
      <c r="K602" s="8">
        <v>110</v>
      </c>
      <c r="L602" s="9">
        <f t="shared" si="27"/>
        <v>28</v>
      </c>
      <c r="M602" s="9" t="str" cm="1">
        <f t="array" ref="M602">_xlfn.IFS(L602&gt;=10,"HIGH",L602=0,"LOW",L602&lt;=9,"MEDIUM")</f>
        <v>HIGH</v>
      </c>
      <c r="N602" s="9" cm="1">
        <f t="array" ref="N602">_xlfn.IFS(M602="HIGH",K602*L602,M602="MEDIUM",K602*L602,M602="LOW","NA")</f>
        <v>3080</v>
      </c>
      <c r="O602" s="18" t="str">
        <f t="shared" si="29"/>
        <v>still in yard</v>
      </c>
    </row>
    <row r="603" spans="1:15" x14ac:dyDescent="0.25">
      <c r="A603" s="17">
        <v>599</v>
      </c>
      <c r="B603" s="6" t="s">
        <v>636</v>
      </c>
      <c r="C603" s="6" t="s">
        <v>37</v>
      </c>
      <c r="D603" s="6" t="s">
        <v>26</v>
      </c>
      <c r="E603" s="6" t="s">
        <v>39</v>
      </c>
      <c r="F603" s="6" t="s">
        <v>24</v>
      </c>
      <c r="G603" s="7">
        <v>46236</v>
      </c>
      <c r="H603" s="6">
        <v>5</v>
      </c>
      <c r="I603" s="7">
        <v>46240</v>
      </c>
      <c r="J603" s="7">
        <f t="shared" si="28"/>
        <v>46241</v>
      </c>
      <c r="K603" s="8">
        <v>60</v>
      </c>
      <c r="L603" s="9">
        <f t="shared" si="27"/>
        <v>0</v>
      </c>
      <c r="M603" s="9" t="str" cm="1">
        <f t="array" ref="M603">_xlfn.IFS(L603&gt;=10,"HIGH",L603=0,"LOW",L603&lt;=9,"MEDIUM")</f>
        <v>LOW</v>
      </c>
      <c r="N603" s="9" t="str" cm="1">
        <f t="array" ref="N603">_xlfn.IFS(M603="HIGH",K603*L603,M603="MEDIUM",K603*L603,M603="LOW","NA")</f>
        <v>NA</v>
      </c>
      <c r="O603" s="18" t="str">
        <f t="shared" si="29"/>
        <v>cleared</v>
      </c>
    </row>
    <row r="604" spans="1:15" x14ac:dyDescent="0.25">
      <c r="A604" s="17">
        <v>600</v>
      </c>
      <c r="B604" s="6" t="s">
        <v>637</v>
      </c>
      <c r="C604" s="6" t="s">
        <v>37</v>
      </c>
      <c r="D604" s="6" t="s">
        <v>26</v>
      </c>
      <c r="E604" s="6" t="s">
        <v>39</v>
      </c>
      <c r="F604" s="6" t="s">
        <v>14</v>
      </c>
      <c r="G604" s="7">
        <v>46226</v>
      </c>
      <c r="H604" s="6">
        <v>7</v>
      </c>
      <c r="I604" s="6"/>
      <c r="J604" s="7">
        <f t="shared" si="28"/>
        <v>46233</v>
      </c>
      <c r="K604" s="8">
        <v>60</v>
      </c>
      <c r="L604" s="9">
        <f t="shared" si="27"/>
        <v>26</v>
      </c>
      <c r="M604" s="9" t="str" cm="1">
        <f t="array" ref="M604">_xlfn.IFS(L604&gt;=10,"HIGH",L604=0,"LOW",L604&lt;=9,"MEDIUM")</f>
        <v>HIGH</v>
      </c>
      <c r="N604" s="9" cm="1">
        <f t="array" ref="N604">_xlfn.IFS(M604="HIGH",K604*L604,M604="MEDIUM",K604*L604,M604="LOW","NA")</f>
        <v>1560</v>
      </c>
      <c r="O604" s="18" t="str">
        <f t="shared" si="29"/>
        <v>still in yard</v>
      </c>
    </row>
    <row r="605" spans="1:15" x14ac:dyDescent="0.25">
      <c r="A605" s="17">
        <v>601</v>
      </c>
      <c r="B605" s="6" t="s">
        <v>638</v>
      </c>
      <c r="C605" s="6" t="s">
        <v>11</v>
      </c>
      <c r="D605" s="6" t="s">
        <v>20</v>
      </c>
      <c r="E605" s="6" t="s">
        <v>39</v>
      </c>
      <c r="F605" s="6" t="s">
        <v>24</v>
      </c>
      <c r="G605" s="7">
        <v>46212</v>
      </c>
      <c r="H605" s="6">
        <v>5</v>
      </c>
      <c r="I605" s="7">
        <v>46215</v>
      </c>
      <c r="J605" s="7">
        <f t="shared" si="28"/>
        <v>46217</v>
      </c>
      <c r="K605" s="8">
        <v>90</v>
      </c>
      <c r="L605" s="9">
        <f t="shared" si="27"/>
        <v>0</v>
      </c>
      <c r="M605" s="9" t="str" cm="1">
        <f t="array" ref="M605">_xlfn.IFS(L605&gt;=10,"HIGH",L605=0,"LOW",L605&lt;=9,"MEDIUM")</f>
        <v>LOW</v>
      </c>
      <c r="N605" s="9" t="str" cm="1">
        <f t="array" ref="N605">_xlfn.IFS(M605="HIGH",K605*L605,M605="MEDIUM",K605*L605,M605="LOW","NA")</f>
        <v>NA</v>
      </c>
      <c r="O605" s="18" t="str">
        <f t="shared" si="29"/>
        <v>cleared</v>
      </c>
    </row>
    <row r="606" spans="1:15" x14ac:dyDescent="0.25">
      <c r="A606" s="17">
        <v>602</v>
      </c>
      <c r="B606" s="6" t="s">
        <v>639</v>
      </c>
      <c r="C606" s="6" t="s">
        <v>33</v>
      </c>
      <c r="D606" s="6" t="s">
        <v>49</v>
      </c>
      <c r="E606" s="6" t="s">
        <v>46</v>
      </c>
      <c r="F606" s="6" t="s">
        <v>14</v>
      </c>
      <c r="G606" s="7">
        <v>46229</v>
      </c>
      <c r="H606" s="6">
        <v>4</v>
      </c>
      <c r="I606" s="7">
        <v>46230</v>
      </c>
      <c r="J606" s="7">
        <f t="shared" si="28"/>
        <v>46233</v>
      </c>
      <c r="K606" s="8">
        <v>130</v>
      </c>
      <c r="L606" s="9">
        <f t="shared" si="27"/>
        <v>0</v>
      </c>
      <c r="M606" s="9" t="str" cm="1">
        <f t="array" ref="M606">_xlfn.IFS(L606&gt;=10,"HIGH",L606=0,"LOW",L606&lt;=9,"MEDIUM")</f>
        <v>LOW</v>
      </c>
      <c r="N606" s="9" t="str" cm="1">
        <f t="array" ref="N606">_xlfn.IFS(M606="HIGH",K606*L606,M606="MEDIUM",K606*L606,M606="LOW","NA")</f>
        <v>NA</v>
      </c>
      <c r="O606" s="18" t="str">
        <f t="shared" si="29"/>
        <v>cleared</v>
      </c>
    </row>
    <row r="607" spans="1:15" x14ac:dyDescent="0.25">
      <c r="A607" s="17">
        <v>603</v>
      </c>
      <c r="B607" s="6" t="s">
        <v>640</v>
      </c>
      <c r="C607" s="6" t="s">
        <v>37</v>
      </c>
      <c r="D607" s="6" t="s">
        <v>54</v>
      </c>
      <c r="E607" s="6" t="s">
        <v>23</v>
      </c>
      <c r="F607" s="6" t="s">
        <v>27</v>
      </c>
      <c r="G607" s="7">
        <v>46219</v>
      </c>
      <c r="H607" s="6">
        <v>5</v>
      </c>
      <c r="I607" s="7">
        <v>46227</v>
      </c>
      <c r="J607" s="7">
        <f t="shared" si="28"/>
        <v>46224</v>
      </c>
      <c r="K607" s="8">
        <v>90</v>
      </c>
      <c r="L607" s="9">
        <f t="shared" si="27"/>
        <v>3</v>
      </c>
      <c r="M607" s="9" t="str" cm="1">
        <f t="array" ref="M607">_xlfn.IFS(L607&gt;=10,"HIGH",L607=0,"LOW",L607&lt;=9,"MEDIUM")</f>
        <v>MEDIUM</v>
      </c>
      <c r="N607" s="9" cm="1">
        <f t="array" ref="N607">_xlfn.IFS(M607="HIGH",K607*L607,M607="MEDIUM",K607*L607,M607="LOW","NA")</f>
        <v>270</v>
      </c>
      <c r="O607" s="18" t="str">
        <f t="shared" si="29"/>
        <v>cleared</v>
      </c>
    </row>
    <row r="608" spans="1:15" x14ac:dyDescent="0.25">
      <c r="A608" s="17">
        <v>604</v>
      </c>
      <c r="B608" s="6" t="s">
        <v>641</v>
      </c>
      <c r="C608" s="6" t="s">
        <v>33</v>
      </c>
      <c r="D608" s="6" t="s">
        <v>49</v>
      </c>
      <c r="E608" s="6" t="s">
        <v>46</v>
      </c>
      <c r="F608" s="6" t="s">
        <v>27</v>
      </c>
      <c r="G608" s="7">
        <v>46228</v>
      </c>
      <c r="H608" s="6">
        <v>7</v>
      </c>
      <c r="I608" s="7">
        <v>46234</v>
      </c>
      <c r="J608" s="7">
        <f t="shared" si="28"/>
        <v>46235</v>
      </c>
      <c r="K608" s="8">
        <v>75</v>
      </c>
      <c r="L608" s="9">
        <f t="shared" si="27"/>
        <v>0</v>
      </c>
      <c r="M608" s="9" t="str" cm="1">
        <f t="array" ref="M608">_xlfn.IFS(L608&gt;=10,"HIGH",L608=0,"LOW",L608&lt;=9,"MEDIUM")</f>
        <v>LOW</v>
      </c>
      <c r="N608" s="9" t="str" cm="1">
        <f t="array" ref="N608">_xlfn.IFS(M608="HIGH",K608*L608,M608="MEDIUM",K608*L608,M608="LOW","NA")</f>
        <v>NA</v>
      </c>
      <c r="O608" s="18" t="str">
        <f t="shared" si="29"/>
        <v>cleared</v>
      </c>
    </row>
    <row r="609" spans="1:15" x14ac:dyDescent="0.25">
      <c r="A609" s="17">
        <v>605</v>
      </c>
      <c r="B609" s="6" t="s">
        <v>642</v>
      </c>
      <c r="C609" s="6" t="s">
        <v>11</v>
      </c>
      <c r="D609" s="6" t="s">
        <v>12</v>
      </c>
      <c r="E609" s="6" t="s">
        <v>61</v>
      </c>
      <c r="F609" s="6" t="s">
        <v>14</v>
      </c>
      <c r="G609" s="7">
        <v>46188</v>
      </c>
      <c r="H609" s="6">
        <v>6</v>
      </c>
      <c r="I609" s="7">
        <v>46192</v>
      </c>
      <c r="J609" s="7">
        <f t="shared" si="28"/>
        <v>46194</v>
      </c>
      <c r="K609" s="8">
        <v>110</v>
      </c>
      <c r="L609" s="9">
        <f t="shared" si="27"/>
        <v>0</v>
      </c>
      <c r="M609" s="9" t="str" cm="1">
        <f t="array" ref="M609">_xlfn.IFS(L609&gt;=10,"HIGH",L609=0,"LOW",L609&lt;=9,"MEDIUM")</f>
        <v>LOW</v>
      </c>
      <c r="N609" s="9" t="str" cm="1">
        <f t="array" ref="N609">_xlfn.IFS(M609="HIGH",K609*L609,M609="MEDIUM",K609*L609,M609="LOW","NA")</f>
        <v>NA</v>
      </c>
      <c r="O609" s="18" t="str">
        <f t="shared" si="29"/>
        <v>cleared</v>
      </c>
    </row>
    <row r="610" spans="1:15" x14ac:dyDescent="0.25">
      <c r="A610" s="17">
        <v>606</v>
      </c>
      <c r="B610" s="6" t="s">
        <v>643</v>
      </c>
      <c r="C610" s="6" t="s">
        <v>33</v>
      </c>
      <c r="D610" s="6" t="s">
        <v>20</v>
      </c>
      <c r="E610" s="6" t="s">
        <v>39</v>
      </c>
      <c r="F610" s="6" t="s">
        <v>24</v>
      </c>
      <c r="G610" s="7">
        <v>46227</v>
      </c>
      <c r="H610" s="6">
        <v>4</v>
      </c>
      <c r="I610" s="6"/>
      <c r="J610" s="7">
        <f t="shared" si="28"/>
        <v>46231</v>
      </c>
      <c r="K610" s="8">
        <v>90</v>
      </c>
      <c r="L610" s="9">
        <f t="shared" si="27"/>
        <v>28</v>
      </c>
      <c r="M610" s="9" t="str" cm="1">
        <f t="array" ref="M610">_xlfn.IFS(L610&gt;=10,"HIGH",L610=0,"LOW",L610&lt;=9,"MEDIUM")</f>
        <v>HIGH</v>
      </c>
      <c r="N610" s="9" cm="1">
        <f t="array" ref="N610">_xlfn.IFS(M610="HIGH",K610*L610,M610="MEDIUM",K610*L610,M610="LOW","NA")</f>
        <v>2520</v>
      </c>
      <c r="O610" s="18" t="str">
        <f t="shared" si="29"/>
        <v>still in yard</v>
      </c>
    </row>
    <row r="611" spans="1:15" x14ac:dyDescent="0.25">
      <c r="A611" s="17">
        <v>607</v>
      </c>
      <c r="B611" s="6" t="s">
        <v>644</v>
      </c>
      <c r="C611" s="6" t="s">
        <v>16</v>
      </c>
      <c r="D611" s="6" t="s">
        <v>54</v>
      </c>
      <c r="E611" s="6" t="s">
        <v>18</v>
      </c>
      <c r="F611" s="6" t="s">
        <v>24</v>
      </c>
      <c r="G611" s="7">
        <v>46249</v>
      </c>
      <c r="H611" s="6">
        <v>7</v>
      </c>
      <c r="I611" s="6"/>
      <c r="J611" s="7">
        <f t="shared" si="28"/>
        <v>46256</v>
      </c>
      <c r="K611" s="8">
        <v>60</v>
      </c>
      <c r="L611" s="9">
        <f t="shared" si="27"/>
        <v>3</v>
      </c>
      <c r="M611" s="9" t="str" cm="1">
        <f t="array" ref="M611">_xlfn.IFS(L611&gt;=10,"HIGH",L611=0,"LOW",L611&lt;=9,"MEDIUM")</f>
        <v>MEDIUM</v>
      </c>
      <c r="N611" s="9" cm="1">
        <f t="array" ref="N611">_xlfn.IFS(M611="HIGH",K611*L611,M611="MEDIUM",K611*L611,M611="LOW","NA")</f>
        <v>180</v>
      </c>
      <c r="O611" s="18" t="str">
        <f t="shared" si="29"/>
        <v>still in yard</v>
      </c>
    </row>
    <row r="612" spans="1:15" x14ac:dyDescent="0.25">
      <c r="A612" s="17">
        <v>608</v>
      </c>
      <c r="B612" s="6" t="s">
        <v>645</v>
      </c>
      <c r="C612" s="6" t="s">
        <v>37</v>
      </c>
      <c r="D612" s="6" t="s">
        <v>41</v>
      </c>
      <c r="E612" s="6" t="s">
        <v>13</v>
      </c>
      <c r="F612" s="6" t="s">
        <v>24</v>
      </c>
      <c r="G612" s="7">
        <v>46197</v>
      </c>
      <c r="H612" s="6">
        <v>6</v>
      </c>
      <c r="I612" s="7">
        <v>46198</v>
      </c>
      <c r="J612" s="7">
        <f t="shared" si="28"/>
        <v>46203</v>
      </c>
      <c r="K612" s="8">
        <v>110</v>
      </c>
      <c r="L612" s="9">
        <f t="shared" si="27"/>
        <v>0</v>
      </c>
      <c r="M612" s="9" t="str" cm="1">
        <f t="array" ref="M612">_xlfn.IFS(L612&gt;=10,"HIGH",L612=0,"LOW",L612&lt;=9,"MEDIUM")</f>
        <v>LOW</v>
      </c>
      <c r="N612" s="9" t="str" cm="1">
        <f t="array" ref="N612">_xlfn.IFS(M612="HIGH",K612*L612,M612="MEDIUM",K612*L612,M612="LOW","NA")</f>
        <v>NA</v>
      </c>
      <c r="O612" s="18" t="str">
        <f t="shared" si="29"/>
        <v>cleared</v>
      </c>
    </row>
    <row r="613" spans="1:15" x14ac:dyDescent="0.25">
      <c r="A613" s="17">
        <v>609</v>
      </c>
      <c r="B613" s="6" t="s">
        <v>646</v>
      </c>
      <c r="C613" s="6" t="s">
        <v>11</v>
      </c>
      <c r="D613" s="6" t="s">
        <v>34</v>
      </c>
      <c r="E613" s="6" t="s">
        <v>46</v>
      </c>
      <c r="F613" s="6" t="s">
        <v>24</v>
      </c>
      <c r="G613" s="7">
        <v>46185</v>
      </c>
      <c r="H613" s="6">
        <v>4</v>
      </c>
      <c r="I613" s="7">
        <v>46186</v>
      </c>
      <c r="J613" s="7">
        <f t="shared" si="28"/>
        <v>46189</v>
      </c>
      <c r="K613" s="8">
        <v>130</v>
      </c>
      <c r="L613" s="9">
        <f t="shared" si="27"/>
        <v>0</v>
      </c>
      <c r="M613" s="9" t="str" cm="1">
        <f t="array" ref="M613">_xlfn.IFS(L613&gt;=10,"HIGH",L613=0,"LOW",L613&lt;=9,"MEDIUM")</f>
        <v>LOW</v>
      </c>
      <c r="N613" s="9" t="str" cm="1">
        <f t="array" ref="N613">_xlfn.IFS(M613="HIGH",K613*L613,M613="MEDIUM",K613*L613,M613="LOW","NA")</f>
        <v>NA</v>
      </c>
      <c r="O613" s="18" t="str">
        <f t="shared" si="29"/>
        <v>cleared</v>
      </c>
    </row>
    <row r="614" spans="1:15" x14ac:dyDescent="0.25">
      <c r="A614" s="17">
        <v>610</v>
      </c>
      <c r="B614" s="6" t="s">
        <v>647</v>
      </c>
      <c r="C614" s="6" t="s">
        <v>16</v>
      </c>
      <c r="D614" s="6" t="s">
        <v>41</v>
      </c>
      <c r="E614" s="6" t="s">
        <v>35</v>
      </c>
      <c r="F614" s="6" t="s">
        <v>29</v>
      </c>
      <c r="G614" s="7">
        <v>46257</v>
      </c>
      <c r="H614" s="6">
        <v>4</v>
      </c>
      <c r="I614" s="6"/>
      <c r="J614" s="7">
        <f t="shared" si="28"/>
        <v>46261</v>
      </c>
      <c r="K614" s="8">
        <v>120</v>
      </c>
      <c r="L614" s="9">
        <f t="shared" si="27"/>
        <v>0</v>
      </c>
      <c r="M614" s="9" t="str" cm="1">
        <f t="array" ref="M614">_xlfn.IFS(L614&gt;=10,"HIGH",L614=0,"LOW",L614&lt;=9,"MEDIUM")</f>
        <v>LOW</v>
      </c>
      <c r="N614" s="9" t="str" cm="1">
        <f t="array" ref="N614">_xlfn.IFS(M614="HIGH",K614*L614,M614="MEDIUM",K614*L614,M614="LOW","NA")</f>
        <v>NA</v>
      </c>
      <c r="O614" s="18" t="str">
        <f t="shared" si="29"/>
        <v>still in yard</v>
      </c>
    </row>
    <row r="615" spans="1:15" x14ac:dyDescent="0.25">
      <c r="A615" s="17">
        <v>611</v>
      </c>
      <c r="B615" s="6" t="s">
        <v>648</v>
      </c>
      <c r="C615" s="6" t="s">
        <v>11</v>
      </c>
      <c r="D615" s="6" t="s">
        <v>17</v>
      </c>
      <c r="E615" s="6" t="s">
        <v>39</v>
      </c>
      <c r="F615" s="6" t="s">
        <v>14</v>
      </c>
      <c r="G615" s="7">
        <v>46175</v>
      </c>
      <c r="H615" s="6">
        <v>7</v>
      </c>
      <c r="I615" s="6"/>
      <c r="J615" s="7">
        <f t="shared" si="28"/>
        <v>46182</v>
      </c>
      <c r="K615" s="8">
        <v>130</v>
      </c>
      <c r="L615" s="9">
        <f t="shared" si="27"/>
        <v>77</v>
      </c>
      <c r="M615" s="9" t="str" cm="1">
        <f t="array" ref="M615">_xlfn.IFS(L615&gt;=10,"HIGH",L615=0,"LOW",L615&lt;=9,"MEDIUM")</f>
        <v>HIGH</v>
      </c>
      <c r="N615" s="9" cm="1">
        <f t="array" ref="N615">_xlfn.IFS(M615="HIGH",K615*L615,M615="MEDIUM",K615*L615,M615="LOW","NA")</f>
        <v>10010</v>
      </c>
      <c r="O615" s="18" t="str">
        <f t="shared" si="29"/>
        <v>still in yard</v>
      </c>
    </row>
    <row r="616" spans="1:15" x14ac:dyDescent="0.25">
      <c r="A616" s="17">
        <v>612</v>
      </c>
      <c r="B616" s="6" t="s">
        <v>649</v>
      </c>
      <c r="C616" s="6" t="s">
        <v>33</v>
      </c>
      <c r="D616" s="6" t="s">
        <v>54</v>
      </c>
      <c r="E616" s="6" t="s">
        <v>23</v>
      </c>
      <c r="F616" s="6" t="s">
        <v>29</v>
      </c>
      <c r="G616" s="7">
        <v>46247</v>
      </c>
      <c r="H616" s="6">
        <v>3</v>
      </c>
      <c r="I616" s="7">
        <v>46253</v>
      </c>
      <c r="J616" s="7">
        <f t="shared" si="28"/>
        <v>46250</v>
      </c>
      <c r="K616" s="8">
        <v>150</v>
      </c>
      <c r="L616" s="9">
        <f t="shared" si="27"/>
        <v>3</v>
      </c>
      <c r="M616" s="9" t="str" cm="1">
        <f t="array" ref="M616">_xlfn.IFS(L616&gt;=10,"HIGH",L616=0,"LOW",L616&lt;=9,"MEDIUM")</f>
        <v>MEDIUM</v>
      </c>
      <c r="N616" s="9" cm="1">
        <f t="array" ref="N616">_xlfn.IFS(M616="HIGH",K616*L616,M616="MEDIUM",K616*L616,M616="LOW","NA")</f>
        <v>450</v>
      </c>
      <c r="O616" s="18" t="str">
        <f t="shared" si="29"/>
        <v>cleared</v>
      </c>
    </row>
    <row r="617" spans="1:15" x14ac:dyDescent="0.25">
      <c r="A617" s="17">
        <v>613</v>
      </c>
      <c r="B617" s="6" t="s">
        <v>650</v>
      </c>
      <c r="C617" s="6" t="s">
        <v>16</v>
      </c>
      <c r="D617" s="6" t="s">
        <v>20</v>
      </c>
      <c r="E617" s="6" t="s">
        <v>21</v>
      </c>
      <c r="F617" s="6" t="s">
        <v>14</v>
      </c>
      <c r="G617" s="7">
        <v>46230</v>
      </c>
      <c r="H617" s="6">
        <v>5</v>
      </c>
      <c r="I617" s="7">
        <v>46231</v>
      </c>
      <c r="J617" s="7">
        <f t="shared" si="28"/>
        <v>46235</v>
      </c>
      <c r="K617" s="8">
        <v>110</v>
      </c>
      <c r="L617" s="9">
        <f t="shared" si="27"/>
        <v>0</v>
      </c>
      <c r="M617" s="9" t="str" cm="1">
        <f t="array" ref="M617">_xlfn.IFS(L617&gt;=10,"HIGH",L617=0,"LOW",L617&lt;=9,"MEDIUM")</f>
        <v>LOW</v>
      </c>
      <c r="N617" s="9" t="str" cm="1">
        <f t="array" ref="N617">_xlfn.IFS(M617="HIGH",K617*L617,M617="MEDIUM",K617*L617,M617="LOW","NA")</f>
        <v>NA</v>
      </c>
      <c r="O617" s="18" t="str">
        <f t="shared" si="29"/>
        <v>cleared</v>
      </c>
    </row>
    <row r="618" spans="1:15" x14ac:dyDescent="0.25">
      <c r="A618" s="17">
        <v>614</v>
      </c>
      <c r="B618" s="6" t="s">
        <v>651</v>
      </c>
      <c r="C618" s="6" t="s">
        <v>37</v>
      </c>
      <c r="D618" s="6" t="s">
        <v>49</v>
      </c>
      <c r="E618" s="6" t="s">
        <v>42</v>
      </c>
      <c r="F618" s="6" t="s">
        <v>29</v>
      </c>
      <c r="G618" s="7">
        <v>46233</v>
      </c>
      <c r="H618" s="6">
        <v>4</v>
      </c>
      <c r="I618" s="7">
        <v>46234</v>
      </c>
      <c r="J618" s="7">
        <f t="shared" si="28"/>
        <v>46237</v>
      </c>
      <c r="K618" s="8">
        <v>120</v>
      </c>
      <c r="L618" s="9">
        <f t="shared" si="27"/>
        <v>0</v>
      </c>
      <c r="M618" s="9" t="str" cm="1">
        <f t="array" ref="M618">_xlfn.IFS(L618&gt;=10,"HIGH",L618=0,"LOW",L618&lt;=9,"MEDIUM")</f>
        <v>LOW</v>
      </c>
      <c r="N618" s="9" t="str" cm="1">
        <f t="array" ref="N618">_xlfn.IFS(M618="HIGH",K618*L618,M618="MEDIUM",K618*L618,M618="LOW","NA")</f>
        <v>NA</v>
      </c>
      <c r="O618" s="18" t="str">
        <f t="shared" si="29"/>
        <v>cleared</v>
      </c>
    </row>
    <row r="619" spans="1:15" x14ac:dyDescent="0.25">
      <c r="A619" s="17">
        <v>615</v>
      </c>
      <c r="B619" s="6" t="s">
        <v>652</v>
      </c>
      <c r="C619" s="6" t="s">
        <v>33</v>
      </c>
      <c r="D619" s="6" t="s">
        <v>17</v>
      </c>
      <c r="E619" s="6" t="s">
        <v>61</v>
      </c>
      <c r="F619" s="6" t="s">
        <v>14</v>
      </c>
      <c r="G619" s="7">
        <v>46173</v>
      </c>
      <c r="H619" s="6">
        <v>5</v>
      </c>
      <c r="I619" s="7">
        <v>46183</v>
      </c>
      <c r="J619" s="7">
        <f t="shared" si="28"/>
        <v>46178</v>
      </c>
      <c r="K619" s="8">
        <v>110</v>
      </c>
      <c r="L619" s="9">
        <f t="shared" si="27"/>
        <v>5</v>
      </c>
      <c r="M619" s="9" t="str" cm="1">
        <f t="array" ref="M619">_xlfn.IFS(L619&gt;=10,"HIGH",L619=0,"LOW",L619&lt;=9,"MEDIUM")</f>
        <v>MEDIUM</v>
      </c>
      <c r="N619" s="9" cm="1">
        <f t="array" ref="N619">_xlfn.IFS(M619="HIGH",K619*L619,M619="MEDIUM",K619*L619,M619="LOW","NA")</f>
        <v>550</v>
      </c>
      <c r="O619" s="18" t="str">
        <f t="shared" si="29"/>
        <v>cleared</v>
      </c>
    </row>
    <row r="620" spans="1:15" x14ac:dyDescent="0.25">
      <c r="A620" s="17">
        <v>616</v>
      </c>
      <c r="B620" s="6" t="s">
        <v>653</v>
      </c>
      <c r="C620" s="6" t="s">
        <v>37</v>
      </c>
      <c r="D620" s="6" t="s">
        <v>12</v>
      </c>
      <c r="E620" s="6" t="s">
        <v>44</v>
      </c>
      <c r="F620" s="6" t="s">
        <v>14</v>
      </c>
      <c r="G620" s="7">
        <v>46186</v>
      </c>
      <c r="H620" s="6">
        <v>5</v>
      </c>
      <c r="I620" s="6"/>
      <c r="J620" s="7">
        <f t="shared" si="28"/>
        <v>46191</v>
      </c>
      <c r="K620" s="8">
        <v>60</v>
      </c>
      <c r="L620" s="9">
        <f t="shared" si="27"/>
        <v>68</v>
      </c>
      <c r="M620" s="9" t="str" cm="1">
        <f t="array" ref="M620">_xlfn.IFS(L620&gt;=10,"HIGH",L620=0,"LOW",L620&lt;=9,"MEDIUM")</f>
        <v>HIGH</v>
      </c>
      <c r="N620" s="9" cm="1">
        <f t="array" ref="N620">_xlfn.IFS(M620="HIGH",K620*L620,M620="MEDIUM",K620*L620,M620="LOW","NA")</f>
        <v>4080</v>
      </c>
      <c r="O620" s="18" t="str">
        <f t="shared" si="29"/>
        <v>still in yard</v>
      </c>
    </row>
    <row r="621" spans="1:15" x14ac:dyDescent="0.25">
      <c r="A621" s="17">
        <v>617</v>
      </c>
      <c r="B621" s="6" t="s">
        <v>654</v>
      </c>
      <c r="C621" s="6" t="s">
        <v>37</v>
      </c>
      <c r="D621" s="6" t="s">
        <v>17</v>
      </c>
      <c r="E621" s="6" t="s">
        <v>44</v>
      </c>
      <c r="F621" s="6" t="s">
        <v>27</v>
      </c>
      <c r="G621" s="7">
        <v>46193</v>
      </c>
      <c r="H621" s="6">
        <v>6</v>
      </c>
      <c r="I621" s="7">
        <v>46196</v>
      </c>
      <c r="J621" s="7">
        <f t="shared" si="28"/>
        <v>46199</v>
      </c>
      <c r="K621" s="8">
        <v>110</v>
      </c>
      <c r="L621" s="9">
        <f t="shared" si="27"/>
        <v>0</v>
      </c>
      <c r="M621" s="9" t="str" cm="1">
        <f t="array" ref="M621">_xlfn.IFS(L621&gt;=10,"HIGH",L621=0,"LOW",L621&lt;=9,"MEDIUM")</f>
        <v>LOW</v>
      </c>
      <c r="N621" s="9" t="str" cm="1">
        <f t="array" ref="N621">_xlfn.IFS(M621="HIGH",K621*L621,M621="MEDIUM",K621*L621,M621="LOW","NA")</f>
        <v>NA</v>
      </c>
      <c r="O621" s="18" t="str">
        <f t="shared" si="29"/>
        <v>cleared</v>
      </c>
    </row>
    <row r="622" spans="1:15" x14ac:dyDescent="0.25">
      <c r="A622" s="17">
        <v>618</v>
      </c>
      <c r="B622" s="6" t="s">
        <v>655</v>
      </c>
      <c r="C622" s="6" t="s">
        <v>16</v>
      </c>
      <c r="D622" s="6" t="s">
        <v>49</v>
      </c>
      <c r="E622" s="6" t="s">
        <v>23</v>
      </c>
      <c r="F622" s="6" t="s">
        <v>24</v>
      </c>
      <c r="G622" s="7">
        <v>46181</v>
      </c>
      <c r="H622" s="6">
        <v>5</v>
      </c>
      <c r="I622" s="6"/>
      <c r="J622" s="7">
        <f t="shared" si="28"/>
        <v>46186</v>
      </c>
      <c r="K622" s="8">
        <v>75</v>
      </c>
      <c r="L622" s="9">
        <f t="shared" si="27"/>
        <v>73</v>
      </c>
      <c r="M622" s="9" t="str" cm="1">
        <f t="array" ref="M622">_xlfn.IFS(L622&gt;=10,"HIGH",L622=0,"LOW",L622&lt;=9,"MEDIUM")</f>
        <v>HIGH</v>
      </c>
      <c r="N622" s="9" cm="1">
        <f t="array" ref="N622">_xlfn.IFS(M622="HIGH",K622*L622,M622="MEDIUM",K622*L622,M622="LOW","NA")</f>
        <v>5475</v>
      </c>
      <c r="O622" s="18" t="str">
        <f t="shared" si="29"/>
        <v>still in yard</v>
      </c>
    </row>
    <row r="623" spans="1:15" x14ac:dyDescent="0.25">
      <c r="A623" s="17">
        <v>619</v>
      </c>
      <c r="B623" s="6" t="s">
        <v>656</v>
      </c>
      <c r="C623" s="6" t="s">
        <v>33</v>
      </c>
      <c r="D623" s="6" t="s">
        <v>54</v>
      </c>
      <c r="E623" s="6" t="s">
        <v>42</v>
      </c>
      <c r="F623" s="6" t="s">
        <v>14</v>
      </c>
      <c r="G623" s="7">
        <v>46215</v>
      </c>
      <c r="H623" s="6">
        <v>5</v>
      </c>
      <c r="I623" s="7">
        <v>46219</v>
      </c>
      <c r="J623" s="7">
        <f t="shared" si="28"/>
        <v>46220</v>
      </c>
      <c r="K623" s="8">
        <v>75</v>
      </c>
      <c r="L623" s="9">
        <f t="shared" si="27"/>
        <v>0</v>
      </c>
      <c r="M623" s="9" t="str" cm="1">
        <f t="array" ref="M623">_xlfn.IFS(L623&gt;=10,"HIGH",L623=0,"LOW",L623&lt;=9,"MEDIUM")</f>
        <v>LOW</v>
      </c>
      <c r="N623" s="9" t="str" cm="1">
        <f t="array" ref="N623">_xlfn.IFS(M623="HIGH",K623*L623,M623="MEDIUM",K623*L623,M623="LOW","NA")</f>
        <v>NA</v>
      </c>
      <c r="O623" s="18" t="str">
        <f t="shared" si="29"/>
        <v>cleared</v>
      </c>
    </row>
    <row r="624" spans="1:15" x14ac:dyDescent="0.25">
      <c r="A624" s="17">
        <v>620</v>
      </c>
      <c r="B624" s="6" t="s">
        <v>657</v>
      </c>
      <c r="C624" s="6" t="s">
        <v>11</v>
      </c>
      <c r="D624" s="6" t="s">
        <v>20</v>
      </c>
      <c r="E624" s="6" t="s">
        <v>61</v>
      </c>
      <c r="F624" s="6" t="s">
        <v>27</v>
      </c>
      <c r="G624" s="7">
        <v>46229</v>
      </c>
      <c r="H624" s="6">
        <v>7</v>
      </c>
      <c r="I624" s="6"/>
      <c r="J624" s="7">
        <f t="shared" si="28"/>
        <v>46236</v>
      </c>
      <c r="K624" s="8">
        <v>75</v>
      </c>
      <c r="L624" s="9">
        <f t="shared" si="27"/>
        <v>23</v>
      </c>
      <c r="M624" s="9" t="str" cm="1">
        <f t="array" ref="M624">_xlfn.IFS(L624&gt;=10,"HIGH",L624=0,"LOW",L624&lt;=9,"MEDIUM")</f>
        <v>HIGH</v>
      </c>
      <c r="N624" s="9" cm="1">
        <f t="array" ref="N624">_xlfn.IFS(M624="HIGH",K624*L624,M624="MEDIUM",K624*L624,M624="LOW","NA")</f>
        <v>1725</v>
      </c>
      <c r="O624" s="18" t="str">
        <f t="shared" si="29"/>
        <v>still in yard</v>
      </c>
    </row>
    <row r="625" spans="1:15" x14ac:dyDescent="0.25">
      <c r="A625" s="17">
        <v>621</v>
      </c>
      <c r="B625" s="6" t="s">
        <v>658</v>
      </c>
      <c r="C625" s="6" t="s">
        <v>16</v>
      </c>
      <c r="D625" s="6" t="s">
        <v>41</v>
      </c>
      <c r="E625" s="6" t="s">
        <v>21</v>
      </c>
      <c r="F625" s="6" t="s">
        <v>27</v>
      </c>
      <c r="G625" s="7">
        <v>46224</v>
      </c>
      <c r="H625" s="6">
        <v>6</v>
      </c>
      <c r="I625" s="7">
        <v>46239</v>
      </c>
      <c r="J625" s="7">
        <f t="shared" si="28"/>
        <v>46230</v>
      </c>
      <c r="K625" s="8">
        <v>110</v>
      </c>
      <c r="L625" s="9">
        <f t="shared" si="27"/>
        <v>9</v>
      </c>
      <c r="M625" s="9" t="str" cm="1">
        <f t="array" ref="M625">_xlfn.IFS(L625&gt;=10,"HIGH",L625=0,"LOW",L625&lt;=9,"MEDIUM")</f>
        <v>MEDIUM</v>
      </c>
      <c r="N625" s="9" cm="1">
        <f t="array" ref="N625">_xlfn.IFS(M625="HIGH",K625*L625,M625="MEDIUM",K625*L625,M625="LOW","NA")</f>
        <v>990</v>
      </c>
      <c r="O625" s="18" t="str">
        <f t="shared" si="29"/>
        <v>cleared</v>
      </c>
    </row>
    <row r="626" spans="1:15" x14ac:dyDescent="0.25">
      <c r="A626" s="17">
        <v>622</v>
      </c>
      <c r="B626" s="6" t="s">
        <v>659</v>
      </c>
      <c r="C626" s="6" t="s">
        <v>16</v>
      </c>
      <c r="D626" s="6" t="s">
        <v>56</v>
      </c>
      <c r="E626" s="6" t="s">
        <v>61</v>
      </c>
      <c r="F626" s="6" t="s">
        <v>29</v>
      </c>
      <c r="G626" s="7">
        <v>46240</v>
      </c>
      <c r="H626" s="6">
        <v>4</v>
      </c>
      <c r="I626" s="7">
        <v>46247</v>
      </c>
      <c r="J626" s="7">
        <f t="shared" si="28"/>
        <v>46244</v>
      </c>
      <c r="K626" s="8">
        <v>180</v>
      </c>
      <c r="L626" s="9">
        <f t="shared" si="27"/>
        <v>3</v>
      </c>
      <c r="M626" s="9" t="str" cm="1">
        <f t="array" ref="M626">_xlfn.IFS(L626&gt;=10,"HIGH",L626=0,"LOW",L626&lt;=9,"MEDIUM")</f>
        <v>MEDIUM</v>
      </c>
      <c r="N626" s="9" cm="1">
        <f t="array" ref="N626">_xlfn.IFS(M626="HIGH",K626*L626,M626="MEDIUM",K626*L626,M626="LOW","NA")</f>
        <v>540</v>
      </c>
      <c r="O626" s="18" t="str">
        <f t="shared" si="29"/>
        <v>cleared</v>
      </c>
    </row>
    <row r="627" spans="1:15" x14ac:dyDescent="0.25">
      <c r="A627" s="17">
        <v>623</v>
      </c>
      <c r="B627" s="6" t="s">
        <v>660</v>
      </c>
      <c r="C627" s="6" t="s">
        <v>37</v>
      </c>
      <c r="D627" s="6" t="s">
        <v>17</v>
      </c>
      <c r="E627" s="6" t="s">
        <v>39</v>
      </c>
      <c r="F627" s="6" t="s">
        <v>29</v>
      </c>
      <c r="G627" s="7">
        <v>46227</v>
      </c>
      <c r="H627" s="6">
        <v>3</v>
      </c>
      <c r="I627" s="6"/>
      <c r="J627" s="7">
        <f t="shared" si="28"/>
        <v>46230</v>
      </c>
      <c r="K627" s="8">
        <v>150</v>
      </c>
      <c r="L627" s="9">
        <f t="shared" si="27"/>
        <v>29</v>
      </c>
      <c r="M627" s="9" t="str" cm="1">
        <f t="array" ref="M627">_xlfn.IFS(L627&gt;=10,"HIGH",L627=0,"LOW",L627&lt;=9,"MEDIUM")</f>
        <v>HIGH</v>
      </c>
      <c r="N627" s="9" cm="1">
        <f t="array" ref="N627">_xlfn.IFS(M627="HIGH",K627*L627,M627="MEDIUM",K627*L627,M627="LOW","NA")</f>
        <v>4350</v>
      </c>
      <c r="O627" s="18" t="str">
        <f t="shared" si="29"/>
        <v>still in yard</v>
      </c>
    </row>
    <row r="628" spans="1:15" x14ac:dyDescent="0.25">
      <c r="A628" s="17">
        <v>624</v>
      </c>
      <c r="B628" s="6" t="s">
        <v>661</v>
      </c>
      <c r="C628" s="6" t="s">
        <v>11</v>
      </c>
      <c r="D628" s="6" t="s">
        <v>26</v>
      </c>
      <c r="E628" s="6" t="s">
        <v>13</v>
      </c>
      <c r="F628" s="6" t="s">
        <v>24</v>
      </c>
      <c r="G628" s="7">
        <v>46219</v>
      </c>
      <c r="H628" s="6">
        <v>5</v>
      </c>
      <c r="I628" s="7">
        <v>46221</v>
      </c>
      <c r="J628" s="7">
        <f t="shared" si="28"/>
        <v>46224</v>
      </c>
      <c r="K628" s="8">
        <v>130</v>
      </c>
      <c r="L628" s="9">
        <f t="shared" si="27"/>
        <v>0</v>
      </c>
      <c r="M628" s="9" t="str" cm="1">
        <f t="array" ref="M628">_xlfn.IFS(L628&gt;=10,"HIGH",L628=0,"LOW",L628&lt;=9,"MEDIUM")</f>
        <v>LOW</v>
      </c>
      <c r="N628" s="9" t="str" cm="1">
        <f t="array" ref="N628">_xlfn.IFS(M628="HIGH",K628*L628,M628="MEDIUM",K628*L628,M628="LOW","NA")</f>
        <v>NA</v>
      </c>
      <c r="O628" s="18" t="str">
        <f t="shared" si="29"/>
        <v>cleared</v>
      </c>
    </row>
    <row r="629" spans="1:15" x14ac:dyDescent="0.25">
      <c r="A629" s="17">
        <v>625</v>
      </c>
      <c r="B629" s="6" t="s">
        <v>662</v>
      </c>
      <c r="C629" s="6" t="s">
        <v>11</v>
      </c>
      <c r="D629" s="6" t="s">
        <v>56</v>
      </c>
      <c r="E629" s="6" t="s">
        <v>61</v>
      </c>
      <c r="F629" s="6" t="s">
        <v>24</v>
      </c>
      <c r="G629" s="7">
        <v>46235</v>
      </c>
      <c r="H629" s="6">
        <v>6</v>
      </c>
      <c r="I629" s="7">
        <v>46241</v>
      </c>
      <c r="J629" s="7">
        <f t="shared" si="28"/>
        <v>46241</v>
      </c>
      <c r="K629" s="8">
        <v>110</v>
      </c>
      <c r="L629" s="9">
        <f t="shared" si="27"/>
        <v>0</v>
      </c>
      <c r="M629" s="9" t="str" cm="1">
        <f t="array" ref="M629">_xlfn.IFS(L629&gt;=10,"HIGH",L629=0,"LOW",L629&lt;=9,"MEDIUM")</f>
        <v>LOW</v>
      </c>
      <c r="N629" s="9" t="str" cm="1">
        <f t="array" ref="N629">_xlfn.IFS(M629="HIGH",K629*L629,M629="MEDIUM",K629*L629,M629="LOW","NA")</f>
        <v>NA</v>
      </c>
      <c r="O629" s="18" t="str">
        <f t="shared" si="29"/>
        <v>cleared</v>
      </c>
    </row>
    <row r="630" spans="1:15" x14ac:dyDescent="0.25">
      <c r="A630" s="17">
        <v>626</v>
      </c>
      <c r="B630" s="6" t="s">
        <v>663</v>
      </c>
      <c r="C630" s="6" t="s">
        <v>33</v>
      </c>
      <c r="D630" s="6" t="s">
        <v>41</v>
      </c>
      <c r="E630" s="6" t="s">
        <v>46</v>
      </c>
      <c r="F630" s="6" t="s">
        <v>29</v>
      </c>
      <c r="G630" s="7">
        <v>46192</v>
      </c>
      <c r="H630" s="6">
        <v>3</v>
      </c>
      <c r="I630" s="7">
        <v>46193</v>
      </c>
      <c r="J630" s="7">
        <f t="shared" si="28"/>
        <v>46195</v>
      </c>
      <c r="K630" s="8">
        <v>120</v>
      </c>
      <c r="L630" s="9">
        <f t="shared" si="27"/>
        <v>0</v>
      </c>
      <c r="M630" s="9" t="str" cm="1">
        <f t="array" ref="M630">_xlfn.IFS(L630&gt;=10,"HIGH",L630=0,"LOW",L630&lt;=9,"MEDIUM")</f>
        <v>LOW</v>
      </c>
      <c r="N630" s="9" t="str" cm="1">
        <f t="array" ref="N630">_xlfn.IFS(M630="HIGH",K630*L630,M630="MEDIUM",K630*L630,M630="LOW","NA")</f>
        <v>NA</v>
      </c>
      <c r="O630" s="18" t="str">
        <f t="shared" si="29"/>
        <v>cleared</v>
      </c>
    </row>
    <row r="631" spans="1:15" x14ac:dyDescent="0.25">
      <c r="A631" s="17">
        <v>627</v>
      </c>
      <c r="B631" s="6" t="s">
        <v>664</v>
      </c>
      <c r="C631" s="6" t="s">
        <v>16</v>
      </c>
      <c r="D631" s="6" t="s">
        <v>34</v>
      </c>
      <c r="E631" s="6" t="s">
        <v>13</v>
      </c>
      <c r="F631" s="6" t="s">
        <v>14</v>
      </c>
      <c r="G631" s="7">
        <v>46207</v>
      </c>
      <c r="H631" s="6">
        <v>4</v>
      </c>
      <c r="I631" s="7">
        <v>46210</v>
      </c>
      <c r="J631" s="7">
        <f t="shared" si="28"/>
        <v>46211</v>
      </c>
      <c r="K631" s="8">
        <v>110</v>
      </c>
      <c r="L631" s="9">
        <f t="shared" si="27"/>
        <v>0</v>
      </c>
      <c r="M631" s="9" t="str" cm="1">
        <f t="array" ref="M631">_xlfn.IFS(L631&gt;=10,"HIGH",L631=0,"LOW",L631&lt;=9,"MEDIUM")</f>
        <v>LOW</v>
      </c>
      <c r="N631" s="9" t="str" cm="1">
        <f t="array" ref="N631">_xlfn.IFS(M631="HIGH",K631*L631,M631="MEDIUM",K631*L631,M631="LOW","NA")</f>
        <v>NA</v>
      </c>
      <c r="O631" s="18" t="str">
        <f t="shared" si="29"/>
        <v>cleared</v>
      </c>
    </row>
    <row r="632" spans="1:15" x14ac:dyDescent="0.25">
      <c r="A632" s="17">
        <v>628</v>
      </c>
      <c r="B632" s="6" t="s">
        <v>665</v>
      </c>
      <c r="C632" s="6" t="s">
        <v>11</v>
      </c>
      <c r="D632" s="6" t="s">
        <v>34</v>
      </c>
      <c r="E632" s="6" t="s">
        <v>13</v>
      </c>
      <c r="F632" s="6" t="s">
        <v>27</v>
      </c>
      <c r="G632" s="7">
        <v>46199</v>
      </c>
      <c r="H632" s="6">
        <v>7</v>
      </c>
      <c r="I632" s="7">
        <v>46212</v>
      </c>
      <c r="J632" s="7">
        <f t="shared" si="28"/>
        <v>46206</v>
      </c>
      <c r="K632" s="8">
        <v>110</v>
      </c>
      <c r="L632" s="9">
        <f t="shared" si="27"/>
        <v>6</v>
      </c>
      <c r="M632" s="9" t="str" cm="1">
        <f t="array" ref="M632">_xlfn.IFS(L632&gt;=10,"HIGH",L632=0,"LOW",L632&lt;=9,"MEDIUM")</f>
        <v>MEDIUM</v>
      </c>
      <c r="N632" s="9" cm="1">
        <f t="array" ref="N632">_xlfn.IFS(M632="HIGH",K632*L632,M632="MEDIUM",K632*L632,M632="LOW","NA")</f>
        <v>660</v>
      </c>
      <c r="O632" s="18" t="str">
        <f t="shared" si="29"/>
        <v>cleared</v>
      </c>
    </row>
    <row r="633" spans="1:15" x14ac:dyDescent="0.25">
      <c r="A633" s="17">
        <v>629</v>
      </c>
      <c r="B633" s="6" t="s">
        <v>666</v>
      </c>
      <c r="C633" s="6" t="s">
        <v>11</v>
      </c>
      <c r="D633" s="6" t="s">
        <v>17</v>
      </c>
      <c r="E633" s="6" t="s">
        <v>13</v>
      </c>
      <c r="F633" s="6" t="s">
        <v>29</v>
      </c>
      <c r="G633" s="7">
        <v>46179</v>
      </c>
      <c r="H633" s="6">
        <v>4</v>
      </c>
      <c r="I633" s="6"/>
      <c r="J633" s="7">
        <f t="shared" si="28"/>
        <v>46183</v>
      </c>
      <c r="K633" s="8">
        <v>180</v>
      </c>
      <c r="L633" s="9">
        <f t="shared" si="27"/>
        <v>76</v>
      </c>
      <c r="M633" s="9" t="str" cm="1">
        <f t="array" ref="M633">_xlfn.IFS(L633&gt;=10,"HIGH",L633=0,"LOW",L633&lt;=9,"MEDIUM")</f>
        <v>HIGH</v>
      </c>
      <c r="N633" s="9" cm="1">
        <f t="array" ref="N633">_xlfn.IFS(M633="HIGH",K633*L633,M633="MEDIUM",K633*L633,M633="LOW","NA")</f>
        <v>13680</v>
      </c>
      <c r="O633" s="18" t="str">
        <f t="shared" si="29"/>
        <v>still in yard</v>
      </c>
    </row>
    <row r="634" spans="1:15" x14ac:dyDescent="0.25">
      <c r="A634" s="17">
        <v>630</v>
      </c>
      <c r="B634" s="6" t="s">
        <v>667</v>
      </c>
      <c r="C634" s="6" t="s">
        <v>16</v>
      </c>
      <c r="D634" s="6" t="s">
        <v>12</v>
      </c>
      <c r="E634" s="6" t="s">
        <v>39</v>
      </c>
      <c r="F634" s="6" t="s">
        <v>29</v>
      </c>
      <c r="G634" s="7">
        <v>46217</v>
      </c>
      <c r="H634" s="6">
        <v>4</v>
      </c>
      <c r="I634" s="7">
        <v>46222</v>
      </c>
      <c r="J634" s="7">
        <f t="shared" si="28"/>
        <v>46221</v>
      </c>
      <c r="K634" s="8">
        <v>120</v>
      </c>
      <c r="L634" s="9">
        <f t="shared" si="27"/>
        <v>1</v>
      </c>
      <c r="M634" s="9" t="str" cm="1">
        <f t="array" ref="M634">_xlfn.IFS(L634&gt;=10,"HIGH",L634=0,"LOW",L634&lt;=9,"MEDIUM")</f>
        <v>MEDIUM</v>
      </c>
      <c r="N634" s="9" cm="1">
        <f t="array" ref="N634">_xlfn.IFS(M634="HIGH",K634*L634,M634="MEDIUM",K634*L634,M634="LOW","NA")</f>
        <v>120</v>
      </c>
      <c r="O634" s="18" t="str">
        <f t="shared" si="29"/>
        <v>cleared</v>
      </c>
    </row>
    <row r="635" spans="1:15" x14ac:dyDescent="0.25">
      <c r="A635" s="17">
        <v>631</v>
      </c>
      <c r="B635" s="6" t="s">
        <v>668</v>
      </c>
      <c r="C635" s="6" t="s">
        <v>11</v>
      </c>
      <c r="D635" s="6" t="s">
        <v>12</v>
      </c>
      <c r="E635" s="6" t="s">
        <v>61</v>
      </c>
      <c r="F635" s="6" t="s">
        <v>29</v>
      </c>
      <c r="G635" s="7">
        <v>46175</v>
      </c>
      <c r="H635" s="6">
        <v>3</v>
      </c>
      <c r="I635" s="6"/>
      <c r="J635" s="7">
        <f t="shared" si="28"/>
        <v>46178</v>
      </c>
      <c r="K635" s="8">
        <v>120</v>
      </c>
      <c r="L635" s="9">
        <f t="shared" si="27"/>
        <v>81</v>
      </c>
      <c r="M635" s="9" t="str" cm="1">
        <f t="array" ref="M635">_xlfn.IFS(L635&gt;=10,"HIGH",L635=0,"LOW",L635&lt;=9,"MEDIUM")</f>
        <v>HIGH</v>
      </c>
      <c r="N635" s="9" cm="1">
        <f t="array" ref="N635">_xlfn.IFS(M635="HIGH",K635*L635,M635="MEDIUM",K635*L635,M635="LOW","NA")</f>
        <v>9720</v>
      </c>
      <c r="O635" s="18" t="str">
        <f t="shared" si="29"/>
        <v>still in yard</v>
      </c>
    </row>
    <row r="636" spans="1:15" x14ac:dyDescent="0.25">
      <c r="A636" s="17">
        <v>632</v>
      </c>
      <c r="B636" s="6" t="s">
        <v>669</v>
      </c>
      <c r="C636" s="6" t="s">
        <v>16</v>
      </c>
      <c r="D636" s="6" t="s">
        <v>26</v>
      </c>
      <c r="E636" s="6" t="s">
        <v>39</v>
      </c>
      <c r="F636" s="6" t="s">
        <v>29</v>
      </c>
      <c r="G636" s="7">
        <v>46202</v>
      </c>
      <c r="H636" s="6">
        <v>4</v>
      </c>
      <c r="I636" s="6"/>
      <c r="J636" s="7">
        <f t="shared" si="28"/>
        <v>46206</v>
      </c>
      <c r="K636" s="8">
        <v>180</v>
      </c>
      <c r="L636" s="9">
        <f t="shared" si="27"/>
        <v>53</v>
      </c>
      <c r="M636" s="9" t="str" cm="1">
        <f t="array" ref="M636">_xlfn.IFS(L636&gt;=10,"HIGH",L636=0,"LOW",L636&lt;=9,"MEDIUM")</f>
        <v>HIGH</v>
      </c>
      <c r="N636" s="9" cm="1">
        <f t="array" ref="N636">_xlfn.IFS(M636="HIGH",K636*L636,M636="MEDIUM",K636*L636,M636="LOW","NA")</f>
        <v>9540</v>
      </c>
      <c r="O636" s="18" t="str">
        <f t="shared" si="29"/>
        <v>still in yard</v>
      </c>
    </row>
    <row r="637" spans="1:15" x14ac:dyDescent="0.25">
      <c r="A637" s="17">
        <v>633</v>
      </c>
      <c r="B637" s="6" t="s">
        <v>670</v>
      </c>
      <c r="C637" s="6" t="s">
        <v>16</v>
      </c>
      <c r="D637" s="6" t="s">
        <v>34</v>
      </c>
      <c r="E637" s="6" t="s">
        <v>61</v>
      </c>
      <c r="F637" s="6" t="s">
        <v>24</v>
      </c>
      <c r="G637" s="7">
        <v>46177</v>
      </c>
      <c r="H637" s="6">
        <v>6</v>
      </c>
      <c r="I637" s="6"/>
      <c r="J637" s="7">
        <f t="shared" si="28"/>
        <v>46183</v>
      </c>
      <c r="K637" s="8">
        <v>90</v>
      </c>
      <c r="L637" s="9">
        <f t="shared" si="27"/>
        <v>76</v>
      </c>
      <c r="M637" s="9" t="str" cm="1">
        <f t="array" ref="M637">_xlfn.IFS(L637&gt;=10,"HIGH",L637=0,"LOW",L637&lt;=9,"MEDIUM")</f>
        <v>HIGH</v>
      </c>
      <c r="N637" s="9" cm="1">
        <f t="array" ref="N637">_xlfn.IFS(M637="HIGH",K637*L637,M637="MEDIUM",K637*L637,M637="LOW","NA")</f>
        <v>6840</v>
      </c>
      <c r="O637" s="18" t="str">
        <f t="shared" si="29"/>
        <v>still in yard</v>
      </c>
    </row>
    <row r="638" spans="1:15" x14ac:dyDescent="0.25">
      <c r="A638" s="17">
        <v>634</v>
      </c>
      <c r="B638" s="6" t="s">
        <v>671</v>
      </c>
      <c r="C638" s="6" t="s">
        <v>33</v>
      </c>
      <c r="D638" s="6" t="s">
        <v>26</v>
      </c>
      <c r="E638" s="6" t="s">
        <v>21</v>
      </c>
      <c r="F638" s="6" t="s">
        <v>24</v>
      </c>
      <c r="G638" s="7">
        <v>46256</v>
      </c>
      <c r="H638" s="6">
        <v>5</v>
      </c>
      <c r="I638" s="7">
        <v>46259</v>
      </c>
      <c r="J638" s="7">
        <f t="shared" si="28"/>
        <v>46261</v>
      </c>
      <c r="K638" s="8">
        <v>130</v>
      </c>
      <c r="L638" s="9">
        <f t="shared" si="27"/>
        <v>0</v>
      </c>
      <c r="M638" s="9" t="str" cm="1">
        <f t="array" ref="M638">_xlfn.IFS(L638&gt;=10,"HIGH",L638=0,"LOW",L638&lt;=9,"MEDIUM")</f>
        <v>LOW</v>
      </c>
      <c r="N638" s="9" t="str" cm="1">
        <f t="array" ref="N638">_xlfn.IFS(M638="HIGH",K638*L638,M638="MEDIUM",K638*L638,M638="LOW","NA")</f>
        <v>NA</v>
      </c>
      <c r="O638" s="18" t="str">
        <f t="shared" si="29"/>
        <v>cleared</v>
      </c>
    </row>
    <row r="639" spans="1:15" x14ac:dyDescent="0.25">
      <c r="A639" s="17">
        <v>635</v>
      </c>
      <c r="B639" s="6" t="s">
        <v>672</v>
      </c>
      <c r="C639" s="6" t="s">
        <v>16</v>
      </c>
      <c r="D639" s="6" t="s">
        <v>31</v>
      </c>
      <c r="E639" s="6" t="s">
        <v>39</v>
      </c>
      <c r="F639" s="6" t="s">
        <v>24</v>
      </c>
      <c r="G639" s="7">
        <v>46195</v>
      </c>
      <c r="H639" s="6">
        <v>5</v>
      </c>
      <c r="I639" s="7">
        <v>46202</v>
      </c>
      <c r="J639" s="7">
        <f t="shared" si="28"/>
        <v>46200</v>
      </c>
      <c r="K639" s="8">
        <v>110</v>
      </c>
      <c r="L639" s="9">
        <f t="shared" si="27"/>
        <v>2</v>
      </c>
      <c r="M639" s="9" t="str" cm="1">
        <f t="array" ref="M639">_xlfn.IFS(L639&gt;=10,"HIGH",L639=0,"LOW",L639&lt;=9,"MEDIUM")</f>
        <v>MEDIUM</v>
      </c>
      <c r="N639" s="9" cm="1">
        <f t="array" ref="N639">_xlfn.IFS(M639="HIGH",K639*L639,M639="MEDIUM",K639*L639,M639="LOW","NA")</f>
        <v>220</v>
      </c>
      <c r="O639" s="18" t="str">
        <f t="shared" si="29"/>
        <v>cleared</v>
      </c>
    </row>
    <row r="640" spans="1:15" x14ac:dyDescent="0.25">
      <c r="A640" s="17">
        <v>636</v>
      </c>
      <c r="B640" s="6" t="s">
        <v>673</v>
      </c>
      <c r="C640" s="6" t="s">
        <v>16</v>
      </c>
      <c r="D640" s="6" t="s">
        <v>56</v>
      </c>
      <c r="E640" s="6" t="s">
        <v>18</v>
      </c>
      <c r="F640" s="6" t="s">
        <v>27</v>
      </c>
      <c r="G640" s="7">
        <v>46251</v>
      </c>
      <c r="H640" s="6">
        <v>5</v>
      </c>
      <c r="I640" s="6"/>
      <c r="J640" s="7">
        <f t="shared" si="28"/>
        <v>46256</v>
      </c>
      <c r="K640" s="8">
        <v>75</v>
      </c>
      <c r="L640" s="9">
        <f t="shared" si="27"/>
        <v>3</v>
      </c>
      <c r="M640" s="9" t="str" cm="1">
        <f t="array" ref="M640">_xlfn.IFS(L640&gt;=10,"HIGH",L640=0,"LOW",L640&lt;=9,"MEDIUM")</f>
        <v>MEDIUM</v>
      </c>
      <c r="N640" s="9" cm="1">
        <f t="array" ref="N640">_xlfn.IFS(M640="HIGH",K640*L640,M640="MEDIUM",K640*L640,M640="LOW","NA")</f>
        <v>225</v>
      </c>
      <c r="O640" s="18" t="str">
        <f t="shared" si="29"/>
        <v>still in yard</v>
      </c>
    </row>
    <row r="641" spans="1:15" x14ac:dyDescent="0.25">
      <c r="A641" s="17">
        <v>637</v>
      </c>
      <c r="B641" s="6" t="s">
        <v>674</v>
      </c>
      <c r="C641" s="6" t="s">
        <v>37</v>
      </c>
      <c r="D641" s="6" t="s">
        <v>54</v>
      </c>
      <c r="E641" s="6" t="s">
        <v>13</v>
      </c>
      <c r="F641" s="6" t="s">
        <v>24</v>
      </c>
      <c r="G641" s="7">
        <v>46243</v>
      </c>
      <c r="H641" s="6">
        <v>4</v>
      </c>
      <c r="I641" s="7">
        <v>46244</v>
      </c>
      <c r="J641" s="7">
        <f t="shared" si="28"/>
        <v>46247</v>
      </c>
      <c r="K641" s="8">
        <v>60</v>
      </c>
      <c r="L641" s="9">
        <f t="shared" si="27"/>
        <v>0</v>
      </c>
      <c r="M641" s="9" t="str" cm="1">
        <f t="array" ref="M641">_xlfn.IFS(L641&gt;=10,"HIGH",L641=0,"LOW",L641&lt;=9,"MEDIUM")</f>
        <v>LOW</v>
      </c>
      <c r="N641" s="9" t="str" cm="1">
        <f t="array" ref="N641">_xlfn.IFS(M641="HIGH",K641*L641,M641="MEDIUM",K641*L641,M641="LOW","NA")</f>
        <v>NA</v>
      </c>
      <c r="O641" s="18" t="str">
        <f t="shared" si="29"/>
        <v>cleared</v>
      </c>
    </row>
    <row r="642" spans="1:15" x14ac:dyDescent="0.25">
      <c r="A642" s="17">
        <v>638</v>
      </c>
      <c r="B642" s="6" t="s">
        <v>675</v>
      </c>
      <c r="C642" s="6" t="s">
        <v>37</v>
      </c>
      <c r="D642" s="6" t="s">
        <v>49</v>
      </c>
      <c r="E642" s="6" t="s">
        <v>18</v>
      </c>
      <c r="F642" s="6" t="s">
        <v>14</v>
      </c>
      <c r="G642" s="7">
        <v>46195</v>
      </c>
      <c r="H642" s="6">
        <v>6</v>
      </c>
      <c r="I642" s="7">
        <v>46198</v>
      </c>
      <c r="J642" s="7">
        <f t="shared" si="28"/>
        <v>46201</v>
      </c>
      <c r="K642" s="8">
        <v>75</v>
      </c>
      <c r="L642" s="9">
        <f t="shared" si="27"/>
        <v>0</v>
      </c>
      <c r="M642" s="9" t="str" cm="1">
        <f t="array" ref="M642">_xlfn.IFS(L642&gt;=10,"HIGH",L642=0,"LOW",L642&lt;=9,"MEDIUM")</f>
        <v>LOW</v>
      </c>
      <c r="N642" s="9" t="str" cm="1">
        <f t="array" ref="N642">_xlfn.IFS(M642="HIGH",K642*L642,M642="MEDIUM",K642*L642,M642="LOW","NA")</f>
        <v>NA</v>
      </c>
      <c r="O642" s="18" t="str">
        <f t="shared" si="29"/>
        <v>cleared</v>
      </c>
    </row>
    <row r="643" spans="1:15" x14ac:dyDescent="0.25">
      <c r="A643" s="17">
        <v>639</v>
      </c>
      <c r="B643" s="6" t="s">
        <v>676</v>
      </c>
      <c r="C643" s="6" t="s">
        <v>37</v>
      </c>
      <c r="D643" s="6" t="s">
        <v>31</v>
      </c>
      <c r="E643" s="6" t="s">
        <v>44</v>
      </c>
      <c r="F643" s="6" t="s">
        <v>14</v>
      </c>
      <c r="G643" s="7">
        <v>46251</v>
      </c>
      <c r="H643" s="6">
        <v>5</v>
      </c>
      <c r="I643" s="6"/>
      <c r="J643" s="7">
        <f t="shared" si="28"/>
        <v>46256</v>
      </c>
      <c r="K643" s="8">
        <v>60</v>
      </c>
      <c r="L643" s="9">
        <f t="shared" si="27"/>
        <v>3</v>
      </c>
      <c r="M643" s="9" t="str" cm="1">
        <f t="array" ref="M643">_xlfn.IFS(L643&gt;=10,"HIGH",L643=0,"LOW",L643&lt;=9,"MEDIUM")</f>
        <v>MEDIUM</v>
      </c>
      <c r="N643" s="9" cm="1">
        <f t="array" ref="N643">_xlfn.IFS(M643="HIGH",K643*L643,M643="MEDIUM",K643*L643,M643="LOW","NA")</f>
        <v>180</v>
      </c>
      <c r="O643" s="18" t="str">
        <f t="shared" si="29"/>
        <v>still in yard</v>
      </c>
    </row>
    <row r="644" spans="1:15" x14ac:dyDescent="0.25">
      <c r="A644" s="17">
        <v>640</v>
      </c>
      <c r="B644" s="6" t="s">
        <v>677</v>
      </c>
      <c r="C644" s="6" t="s">
        <v>11</v>
      </c>
      <c r="D644" s="6" t="s">
        <v>12</v>
      </c>
      <c r="E644" s="6" t="s">
        <v>42</v>
      </c>
      <c r="F644" s="6" t="s">
        <v>29</v>
      </c>
      <c r="G644" s="7">
        <v>46238</v>
      </c>
      <c r="H644" s="6">
        <v>3</v>
      </c>
      <c r="I644" s="6"/>
      <c r="J644" s="7">
        <f t="shared" si="28"/>
        <v>46241</v>
      </c>
      <c r="K644" s="8">
        <v>180</v>
      </c>
      <c r="L644" s="9">
        <f t="shared" si="27"/>
        <v>18</v>
      </c>
      <c r="M644" s="9" t="str" cm="1">
        <f t="array" ref="M644">_xlfn.IFS(L644&gt;=10,"HIGH",L644=0,"LOW",L644&lt;=9,"MEDIUM")</f>
        <v>HIGH</v>
      </c>
      <c r="N644" s="9" cm="1">
        <f t="array" ref="N644">_xlfn.IFS(M644="HIGH",K644*L644,M644="MEDIUM",K644*L644,M644="LOW","NA")</f>
        <v>3240</v>
      </c>
      <c r="O644" s="18" t="str">
        <f t="shared" si="29"/>
        <v>still in yard</v>
      </c>
    </row>
    <row r="645" spans="1:15" x14ac:dyDescent="0.25">
      <c r="A645" s="17">
        <v>641</v>
      </c>
      <c r="B645" s="6" t="s">
        <v>678</v>
      </c>
      <c r="C645" s="6" t="s">
        <v>11</v>
      </c>
      <c r="D645" s="6" t="s">
        <v>20</v>
      </c>
      <c r="E645" s="6" t="s">
        <v>39</v>
      </c>
      <c r="F645" s="6" t="s">
        <v>14</v>
      </c>
      <c r="G645" s="7">
        <v>46203</v>
      </c>
      <c r="H645" s="6">
        <v>5</v>
      </c>
      <c r="I645" s="7">
        <v>46207</v>
      </c>
      <c r="J645" s="7">
        <f t="shared" si="28"/>
        <v>46208</v>
      </c>
      <c r="K645" s="8">
        <v>60</v>
      </c>
      <c r="L645" s="9">
        <f t="shared" ref="L645:L708" si="30">MAX(0, IF(I645="", $C$2-J645, I645-J645))</f>
        <v>0</v>
      </c>
      <c r="M645" s="9" t="str" cm="1">
        <f t="array" ref="M645">_xlfn.IFS(L645&gt;=10,"HIGH",L645=0,"LOW",L645&lt;=9,"MEDIUM")</f>
        <v>LOW</v>
      </c>
      <c r="N645" s="9" t="str" cm="1">
        <f t="array" ref="N645">_xlfn.IFS(M645="HIGH",K645*L645,M645="MEDIUM",K645*L645,M645="LOW","NA")</f>
        <v>NA</v>
      </c>
      <c r="O645" s="18" t="str">
        <f t="shared" si="29"/>
        <v>cleared</v>
      </c>
    </row>
    <row r="646" spans="1:15" x14ac:dyDescent="0.25">
      <c r="A646" s="17">
        <v>642</v>
      </c>
      <c r="B646" s="6" t="s">
        <v>679</v>
      </c>
      <c r="C646" s="6" t="s">
        <v>37</v>
      </c>
      <c r="D646" s="6" t="s">
        <v>12</v>
      </c>
      <c r="E646" s="6" t="s">
        <v>23</v>
      </c>
      <c r="F646" s="6" t="s">
        <v>27</v>
      </c>
      <c r="G646" s="7">
        <v>46214</v>
      </c>
      <c r="H646" s="6">
        <v>4</v>
      </c>
      <c r="I646" s="7">
        <v>46220</v>
      </c>
      <c r="J646" s="7">
        <f t="shared" ref="J646:J709" si="31">G646+H646</f>
        <v>46218</v>
      </c>
      <c r="K646" s="8">
        <v>130</v>
      </c>
      <c r="L646" s="9">
        <f t="shared" si="30"/>
        <v>2</v>
      </c>
      <c r="M646" s="9" t="str" cm="1">
        <f t="array" ref="M646">_xlfn.IFS(L646&gt;=10,"HIGH",L646=0,"LOW",L646&lt;=9,"MEDIUM")</f>
        <v>MEDIUM</v>
      </c>
      <c r="N646" s="9" cm="1">
        <f t="array" ref="N646">_xlfn.IFS(M646="HIGH",K646*L646,M646="MEDIUM",K646*L646,M646="LOW","NA")</f>
        <v>260</v>
      </c>
      <c r="O646" s="18" t="str">
        <f t="shared" ref="O646:O709" si="32">IF(I646="","still in yard","cleared")</f>
        <v>cleared</v>
      </c>
    </row>
    <row r="647" spans="1:15" x14ac:dyDescent="0.25">
      <c r="A647" s="17">
        <v>643</v>
      </c>
      <c r="B647" s="6" t="s">
        <v>680</v>
      </c>
      <c r="C647" s="6" t="s">
        <v>16</v>
      </c>
      <c r="D647" s="6" t="s">
        <v>41</v>
      </c>
      <c r="E647" s="6" t="s">
        <v>61</v>
      </c>
      <c r="F647" s="6" t="s">
        <v>14</v>
      </c>
      <c r="G647" s="7">
        <v>46201</v>
      </c>
      <c r="H647" s="6">
        <v>6</v>
      </c>
      <c r="I647" s="7">
        <v>46204</v>
      </c>
      <c r="J647" s="7">
        <f t="shared" si="31"/>
        <v>46207</v>
      </c>
      <c r="K647" s="8">
        <v>110</v>
      </c>
      <c r="L647" s="9">
        <f t="shared" si="30"/>
        <v>0</v>
      </c>
      <c r="M647" s="9" t="str" cm="1">
        <f t="array" ref="M647">_xlfn.IFS(L647&gt;=10,"HIGH",L647=0,"LOW",L647&lt;=9,"MEDIUM")</f>
        <v>LOW</v>
      </c>
      <c r="N647" s="9" t="str" cm="1">
        <f t="array" ref="N647">_xlfn.IFS(M647="HIGH",K647*L647,M647="MEDIUM",K647*L647,M647="LOW","NA")</f>
        <v>NA</v>
      </c>
      <c r="O647" s="18" t="str">
        <f t="shared" si="32"/>
        <v>cleared</v>
      </c>
    </row>
    <row r="648" spans="1:15" x14ac:dyDescent="0.25">
      <c r="A648" s="17">
        <v>644</v>
      </c>
      <c r="B648" s="6" t="s">
        <v>681</v>
      </c>
      <c r="C648" s="6" t="s">
        <v>37</v>
      </c>
      <c r="D648" s="6" t="s">
        <v>54</v>
      </c>
      <c r="E648" s="6" t="s">
        <v>61</v>
      </c>
      <c r="F648" s="6" t="s">
        <v>27</v>
      </c>
      <c r="G648" s="7">
        <v>46195</v>
      </c>
      <c r="H648" s="6">
        <v>5</v>
      </c>
      <c r="I648" s="7">
        <v>46197</v>
      </c>
      <c r="J648" s="7">
        <f t="shared" si="31"/>
        <v>46200</v>
      </c>
      <c r="K648" s="8">
        <v>75</v>
      </c>
      <c r="L648" s="9">
        <f t="shared" si="30"/>
        <v>0</v>
      </c>
      <c r="M648" s="9" t="str" cm="1">
        <f t="array" ref="M648">_xlfn.IFS(L648&gt;=10,"HIGH",L648=0,"LOW",L648&lt;=9,"MEDIUM")</f>
        <v>LOW</v>
      </c>
      <c r="N648" s="9" t="str" cm="1">
        <f t="array" ref="N648">_xlfn.IFS(M648="HIGH",K648*L648,M648="MEDIUM",K648*L648,M648="LOW","NA")</f>
        <v>NA</v>
      </c>
      <c r="O648" s="18" t="str">
        <f t="shared" si="32"/>
        <v>cleared</v>
      </c>
    </row>
    <row r="649" spans="1:15" x14ac:dyDescent="0.25">
      <c r="A649" s="17">
        <v>645</v>
      </c>
      <c r="B649" s="6" t="s">
        <v>682</v>
      </c>
      <c r="C649" s="6" t="s">
        <v>16</v>
      </c>
      <c r="D649" s="6" t="s">
        <v>17</v>
      </c>
      <c r="E649" s="6" t="s">
        <v>61</v>
      </c>
      <c r="F649" s="6" t="s">
        <v>14</v>
      </c>
      <c r="G649" s="7">
        <v>46212</v>
      </c>
      <c r="H649" s="6">
        <v>6</v>
      </c>
      <c r="I649" s="7">
        <v>46219</v>
      </c>
      <c r="J649" s="7">
        <f t="shared" si="31"/>
        <v>46218</v>
      </c>
      <c r="K649" s="8">
        <v>110</v>
      </c>
      <c r="L649" s="9">
        <f t="shared" si="30"/>
        <v>1</v>
      </c>
      <c r="M649" s="9" t="str" cm="1">
        <f t="array" ref="M649">_xlfn.IFS(L649&gt;=10,"HIGH",L649=0,"LOW",L649&lt;=9,"MEDIUM")</f>
        <v>MEDIUM</v>
      </c>
      <c r="N649" s="9" cm="1">
        <f t="array" ref="N649">_xlfn.IFS(M649="HIGH",K649*L649,M649="MEDIUM",K649*L649,M649="LOW","NA")</f>
        <v>110</v>
      </c>
      <c r="O649" s="18" t="str">
        <f t="shared" si="32"/>
        <v>cleared</v>
      </c>
    </row>
    <row r="650" spans="1:15" x14ac:dyDescent="0.25">
      <c r="A650" s="17">
        <v>646</v>
      </c>
      <c r="B650" s="6" t="s">
        <v>683</v>
      </c>
      <c r="C650" s="6" t="s">
        <v>11</v>
      </c>
      <c r="D650" s="6" t="s">
        <v>41</v>
      </c>
      <c r="E650" s="6" t="s">
        <v>21</v>
      </c>
      <c r="F650" s="6" t="s">
        <v>27</v>
      </c>
      <c r="G650" s="7">
        <v>46218</v>
      </c>
      <c r="H650" s="6">
        <v>6</v>
      </c>
      <c r="I650" s="6"/>
      <c r="J650" s="7">
        <f t="shared" si="31"/>
        <v>46224</v>
      </c>
      <c r="K650" s="8">
        <v>75</v>
      </c>
      <c r="L650" s="9">
        <f t="shared" si="30"/>
        <v>35</v>
      </c>
      <c r="M650" s="9" t="str" cm="1">
        <f t="array" ref="M650">_xlfn.IFS(L650&gt;=10,"HIGH",L650=0,"LOW",L650&lt;=9,"MEDIUM")</f>
        <v>HIGH</v>
      </c>
      <c r="N650" s="9" cm="1">
        <f t="array" ref="N650">_xlfn.IFS(M650="HIGH",K650*L650,M650="MEDIUM",K650*L650,M650="LOW","NA")</f>
        <v>2625</v>
      </c>
      <c r="O650" s="18" t="str">
        <f t="shared" si="32"/>
        <v>still in yard</v>
      </c>
    </row>
    <row r="651" spans="1:15" x14ac:dyDescent="0.25">
      <c r="A651" s="17">
        <v>647</v>
      </c>
      <c r="B651" s="6" t="s">
        <v>684</v>
      </c>
      <c r="C651" s="6" t="s">
        <v>16</v>
      </c>
      <c r="D651" s="6" t="s">
        <v>26</v>
      </c>
      <c r="E651" s="6" t="s">
        <v>39</v>
      </c>
      <c r="F651" s="6" t="s">
        <v>24</v>
      </c>
      <c r="G651" s="7">
        <v>46176</v>
      </c>
      <c r="H651" s="6">
        <v>7</v>
      </c>
      <c r="I651" s="6"/>
      <c r="J651" s="7">
        <f t="shared" si="31"/>
        <v>46183</v>
      </c>
      <c r="K651" s="8">
        <v>130</v>
      </c>
      <c r="L651" s="9">
        <f t="shared" si="30"/>
        <v>76</v>
      </c>
      <c r="M651" s="9" t="str" cm="1">
        <f t="array" ref="M651">_xlfn.IFS(L651&gt;=10,"HIGH",L651=0,"LOW",L651&lt;=9,"MEDIUM")</f>
        <v>HIGH</v>
      </c>
      <c r="N651" s="9" cm="1">
        <f t="array" ref="N651">_xlfn.IFS(M651="HIGH",K651*L651,M651="MEDIUM",K651*L651,M651="LOW","NA")</f>
        <v>9880</v>
      </c>
      <c r="O651" s="18" t="str">
        <f t="shared" si="32"/>
        <v>still in yard</v>
      </c>
    </row>
    <row r="652" spans="1:15" x14ac:dyDescent="0.25">
      <c r="A652" s="17">
        <v>648</v>
      </c>
      <c r="B652" s="6" t="s">
        <v>685</v>
      </c>
      <c r="C652" s="6" t="s">
        <v>11</v>
      </c>
      <c r="D652" s="6" t="s">
        <v>12</v>
      </c>
      <c r="E652" s="6" t="s">
        <v>21</v>
      </c>
      <c r="F652" s="6" t="s">
        <v>29</v>
      </c>
      <c r="G652" s="7">
        <v>46223</v>
      </c>
      <c r="H652" s="6">
        <v>3</v>
      </c>
      <c r="I652" s="7">
        <v>46229</v>
      </c>
      <c r="J652" s="7">
        <f t="shared" si="31"/>
        <v>46226</v>
      </c>
      <c r="K652" s="8">
        <v>120</v>
      </c>
      <c r="L652" s="9">
        <f t="shared" si="30"/>
        <v>3</v>
      </c>
      <c r="M652" s="9" t="str" cm="1">
        <f t="array" ref="M652">_xlfn.IFS(L652&gt;=10,"HIGH",L652=0,"LOW",L652&lt;=9,"MEDIUM")</f>
        <v>MEDIUM</v>
      </c>
      <c r="N652" s="9" cm="1">
        <f t="array" ref="N652">_xlfn.IFS(M652="HIGH",K652*L652,M652="MEDIUM",K652*L652,M652="LOW","NA")</f>
        <v>360</v>
      </c>
      <c r="O652" s="18" t="str">
        <f t="shared" si="32"/>
        <v>cleared</v>
      </c>
    </row>
    <row r="653" spans="1:15" x14ac:dyDescent="0.25">
      <c r="A653" s="17">
        <v>649</v>
      </c>
      <c r="B653" s="6" t="s">
        <v>686</v>
      </c>
      <c r="C653" s="6" t="s">
        <v>37</v>
      </c>
      <c r="D653" s="6" t="s">
        <v>49</v>
      </c>
      <c r="E653" s="6" t="s">
        <v>42</v>
      </c>
      <c r="F653" s="6" t="s">
        <v>29</v>
      </c>
      <c r="G653" s="7">
        <v>46221</v>
      </c>
      <c r="H653" s="6">
        <v>4</v>
      </c>
      <c r="I653" s="7">
        <v>46224</v>
      </c>
      <c r="J653" s="7">
        <f t="shared" si="31"/>
        <v>46225</v>
      </c>
      <c r="K653" s="8">
        <v>180</v>
      </c>
      <c r="L653" s="9">
        <f t="shared" si="30"/>
        <v>0</v>
      </c>
      <c r="M653" s="9" t="str" cm="1">
        <f t="array" ref="M653">_xlfn.IFS(L653&gt;=10,"HIGH",L653=0,"LOW",L653&lt;=9,"MEDIUM")</f>
        <v>LOW</v>
      </c>
      <c r="N653" s="9" t="str" cm="1">
        <f t="array" ref="N653">_xlfn.IFS(M653="HIGH",K653*L653,M653="MEDIUM",K653*L653,M653="LOW","NA")</f>
        <v>NA</v>
      </c>
      <c r="O653" s="18" t="str">
        <f t="shared" si="32"/>
        <v>cleared</v>
      </c>
    </row>
    <row r="654" spans="1:15" x14ac:dyDescent="0.25">
      <c r="A654" s="17">
        <v>650</v>
      </c>
      <c r="B654" s="6" t="s">
        <v>687</v>
      </c>
      <c r="C654" s="6" t="s">
        <v>37</v>
      </c>
      <c r="D654" s="6" t="s">
        <v>56</v>
      </c>
      <c r="E654" s="6" t="s">
        <v>13</v>
      </c>
      <c r="F654" s="6" t="s">
        <v>24</v>
      </c>
      <c r="G654" s="7">
        <v>46244</v>
      </c>
      <c r="H654" s="6">
        <v>7</v>
      </c>
      <c r="I654" s="7">
        <v>46250</v>
      </c>
      <c r="J654" s="7">
        <f t="shared" si="31"/>
        <v>46251</v>
      </c>
      <c r="K654" s="8">
        <v>110</v>
      </c>
      <c r="L654" s="9">
        <f t="shared" si="30"/>
        <v>0</v>
      </c>
      <c r="M654" s="9" t="str" cm="1">
        <f t="array" ref="M654">_xlfn.IFS(L654&gt;=10,"HIGH",L654=0,"LOW",L654&lt;=9,"MEDIUM")</f>
        <v>LOW</v>
      </c>
      <c r="N654" s="9" t="str" cm="1">
        <f t="array" ref="N654">_xlfn.IFS(M654="HIGH",K654*L654,M654="MEDIUM",K654*L654,M654="LOW","NA")</f>
        <v>NA</v>
      </c>
      <c r="O654" s="18" t="str">
        <f t="shared" si="32"/>
        <v>cleared</v>
      </c>
    </row>
    <row r="655" spans="1:15" x14ac:dyDescent="0.25">
      <c r="A655" s="17">
        <v>651</v>
      </c>
      <c r="B655" s="6" t="s">
        <v>688</v>
      </c>
      <c r="C655" s="6" t="s">
        <v>11</v>
      </c>
      <c r="D655" s="6" t="s">
        <v>56</v>
      </c>
      <c r="E655" s="6" t="s">
        <v>35</v>
      </c>
      <c r="F655" s="6" t="s">
        <v>24</v>
      </c>
      <c r="G655" s="7">
        <v>46246</v>
      </c>
      <c r="H655" s="6">
        <v>4</v>
      </c>
      <c r="I655" s="7">
        <v>46249</v>
      </c>
      <c r="J655" s="7">
        <f t="shared" si="31"/>
        <v>46250</v>
      </c>
      <c r="K655" s="8">
        <v>90</v>
      </c>
      <c r="L655" s="9">
        <f t="shared" si="30"/>
        <v>0</v>
      </c>
      <c r="M655" s="9" t="str" cm="1">
        <f t="array" ref="M655">_xlfn.IFS(L655&gt;=10,"HIGH",L655=0,"LOW",L655&lt;=9,"MEDIUM")</f>
        <v>LOW</v>
      </c>
      <c r="N655" s="9" t="str" cm="1">
        <f t="array" ref="N655">_xlfn.IFS(M655="HIGH",K655*L655,M655="MEDIUM",K655*L655,M655="LOW","NA")</f>
        <v>NA</v>
      </c>
      <c r="O655" s="18" t="str">
        <f t="shared" si="32"/>
        <v>cleared</v>
      </c>
    </row>
    <row r="656" spans="1:15" x14ac:dyDescent="0.25">
      <c r="A656" s="17">
        <v>652</v>
      </c>
      <c r="B656" s="6" t="s">
        <v>689</v>
      </c>
      <c r="C656" s="6" t="s">
        <v>11</v>
      </c>
      <c r="D656" s="6" t="s">
        <v>34</v>
      </c>
      <c r="E656" s="6" t="s">
        <v>18</v>
      </c>
      <c r="F656" s="6" t="s">
        <v>29</v>
      </c>
      <c r="G656" s="7">
        <v>46185</v>
      </c>
      <c r="H656" s="6">
        <v>4</v>
      </c>
      <c r="I656" s="7">
        <v>46186</v>
      </c>
      <c r="J656" s="7">
        <f t="shared" si="31"/>
        <v>46189</v>
      </c>
      <c r="K656" s="8">
        <v>150</v>
      </c>
      <c r="L656" s="9">
        <f t="shared" si="30"/>
        <v>0</v>
      </c>
      <c r="M656" s="9" t="str" cm="1">
        <f t="array" ref="M656">_xlfn.IFS(L656&gt;=10,"HIGH",L656=0,"LOW",L656&lt;=9,"MEDIUM")</f>
        <v>LOW</v>
      </c>
      <c r="N656" s="9" t="str" cm="1">
        <f t="array" ref="N656">_xlfn.IFS(M656="HIGH",K656*L656,M656="MEDIUM",K656*L656,M656="LOW","NA")</f>
        <v>NA</v>
      </c>
      <c r="O656" s="18" t="str">
        <f t="shared" si="32"/>
        <v>cleared</v>
      </c>
    </row>
    <row r="657" spans="1:15" x14ac:dyDescent="0.25">
      <c r="A657" s="17">
        <v>653</v>
      </c>
      <c r="B657" s="6" t="s">
        <v>690</v>
      </c>
      <c r="C657" s="6" t="s">
        <v>33</v>
      </c>
      <c r="D657" s="6" t="s">
        <v>34</v>
      </c>
      <c r="E657" s="6" t="s">
        <v>13</v>
      </c>
      <c r="F657" s="6" t="s">
        <v>29</v>
      </c>
      <c r="G657" s="7">
        <v>46243</v>
      </c>
      <c r="H657" s="6">
        <v>3</v>
      </c>
      <c r="I657" s="7">
        <v>46249</v>
      </c>
      <c r="J657" s="7">
        <f t="shared" si="31"/>
        <v>46246</v>
      </c>
      <c r="K657" s="8">
        <v>120</v>
      </c>
      <c r="L657" s="9">
        <f t="shared" si="30"/>
        <v>3</v>
      </c>
      <c r="M657" s="9" t="str" cm="1">
        <f t="array" ref="M657">_xlfn.IFS(L657&gt;=10,"HIGH",L657=0,"LOW",L657&lt;=9,"MEDIUM")</f>
        <v>MEDIUM</v>
      </c>
      <c r="N657" s="9" cm="1">
        <f t="array" ref="N657">_xlfn.IFS(M657="HIGH",K657*L657,M657="MEDIUM",K657*L657,M657="LOW","NA")</f>
        <v>360</v>
      </c>
      <c r="O657" s="18" t="str">
        <f t="shared" si="32"/>
        <v>cleared</v>
      </c>
    </row>
    <row r="658" spans="1:15" x14ac:dyDescent="0.25">
      <c r="A658" s="17">
        <v>654</v>
      </c>
      <c r="B658" s="6" t="s">
        <v>691</v>
      </c>
      <c r="C658" s="6" t="s">
        <v>37</v>
      </c>
      <c r="D658" s="6" t="s">
        <v>34</v>
      </c>
      <c r="E658" s="6" t="s">
        <v>13</v>
      </c>
      <c r="F658" s="6" t="s">
        <v>27</v>
      </c>
      <c r="G658" s="7">
        <v>46225</v>
      </c>
      <c r="H658" s="6">
        <v>7</v>
      </c>
      <c r="I658" s="6"/>
      <c r="J658" s="7">
        <f t="shared" si="31"/>
        <v>46232</v>
      </c>
      <c r="K658" s="8">
        <v>110</v>
      </c>
      <c r="L658" s="9">
        <f t="shared" si="30"/>
        <v>27</v>
      </c>
      <c r="M658" s="9" t="str" cm="1">
        <f t="array" ref="M658">_xlfn.IFS(L658&gt;=10,"HIGH",L658=0,"LOW",L658&lt;=9,"MEDIUM")</f>
        <v>HIGH</v>
      </c>
      <c r="N658" s="9" cm="1">
        <f t="array" ref="N658">_xlfn.IFS(M658="HIGH",K658*L658,M658="MEDIUM",K658*L658,M658="LOW","NA")</f>
        <v>2970</v>
      </c>
      <c r="O658" s="18" t="str">
        <f t="shared" si="32"/>
        <v>still in yard</v>
      </c>
    </row>
    <row r="659" spans="1:15" x14ac:dyDescent="0.25">
      <c r="A659" s="17">
        <v>655</v>
      </c>
      <c r="B659" s="6" t="s">
        <v>692</v>
      </c>
      <c r="C659" s="6" t="s">
        <v>16</v>
      </c>
      <c r="D659" s="6" t="s">
        <v>56</v>
      </c>
      <c r="E659" s="6" t="s">
        <v>42</v>
      </c>
      <c r="F659" s="6" t="s">
        <v>14</v>
      </c>
      <c r="G659" s="7">
        <v>46231</v>
      </c>
      <c r="H659" s="6">
        <v>6</v>
      </c>
      <c r="I659" s="7">
        <v>46241</v>
      </c>
      <c r="J659" s="7">
        <f t="shared" si="31"/>
        <v>46237</v>
      </c>
      <c r="K659" s="8">
        <v>60</v>
      </c>
      <c r="L659" s="9">
        <f t="shared" si="30"/>
        <v>4</v>
      </c>
      <c r="M659" s="9" t="str" cm="1">
        <f t="array" ref="M659">_xlfn.IFS(L659&gt;=10,"HIGH",L659=0,"LOW",L659&lt;=9,"MEDIUM")</f>
        <v>MEDIUM</v>
      </c>
      <c r="N659" s="9" cm="1">
        <f t="array" ref="N659">_xlfn.IFS(M659="HIGH",K659*L659,M659="MEDIUM",K659*L659,M659="LOW","NA")</f>
        <v>240</v>
      </c>
      <c r="O659" s="18" t="str">
        <f t="shared" si="32"/>
        <v>cleared</v>
      </c>
    </row>
    <row r="660" spans="1:15" x14ac:dyDescent="0.25">
      <c r="A660" s="17">
        <v>656</v>
      </c>
      <c r="B660" s="6" t="s">
        <v>693</v>
      </c>
      <c r="C660" s="6" t="s">
        <v>11</v>
      </c>
      <c r="D660" s="6" t="s">
        <v>34</v>
      </c>
      <c r="E660" s="6" t="s">
        <v>21</v>
      </c>
      <c r="F660" s="6" t="s">
        <v>27</v>
      </c>
      <c r="G660" s="7">
        <v>46241</v>
      </c>
      <c r="H660" s="6">
        <v>4</v>
      </c>
      <c r="I660" s="7">
        <v>46246</v>
      </c>
      <c r="J660" s="7">
        <f t="shared" si="31"/>
        <v>46245</v>
      </c>
      <c r="K660" s="8">
        <v>75</v>
      </c>
      <c r="L660" s="9">
        <f t="shared" si="30"/>
        <v>1</v>
      </c>
      <c r="M660" s="9" t="str" cm="1">
        <f t="array" ref="M660">_xlfn.IFS(L660&gt;=10,"HIGH",L660=0,"LOW",L660&lt;=9,"MEDIUM")</f>
        <v>MEDIUM</v>
      </c>
      <c r="N660" s="9" cm="1">
        <f t="array" ref="N660">_xlfn.IFS(M660="HIGH",K660*L660,M660="MEDIUM",K660*L660,M660="LOW","NA")</f>
        <v>75</v>
      </c>
      <c r="O660" s="18" t="str">
        <f t="shared" si="32"/>
        <v>cleared</v>
      </c>
    </row>
    <row r="661" spans="1:15" x14ac:dyDescent="0.25">
      <c r="A661" s="17">
        <v>657</v>
      </c>
      <c r="B661" s="6" t="s">
        <v>694</v>
      </c>
      <c r="C661" s="6" t="s">
        <v>37</v>
      </c>
      <c r="D661" s="6" t="s">
        <v>20</v>
      </c>
      <c r="E661" s="6" t="s">
        <v>35</v>
      </c>
      <c r="F661" s="6" t="s">
        <v>27</v>
      </c>
      <c r="G661" s="7">
        <v>46226</v>
      </c>
      <c r="H661" s="6">
        <v>5</v>
      </c>
      <c r="I661" s="7">
        <v>46228</v>
      </c>
      <c r="J661" s="7">
        <f t="shared" si="31"/>
        <v>46231</v>
      </c>
      <c r="K661" s="8">
        <v>75</v>
      </c>
      <c r="L661" s="9">
        <f t="shared" si="30"/>
        <v>0</v>
      </c>
      <c r="M661" s="9" t="str" cm="1">
        <f t="array" ref="M661">_xlfn.IFS(L661&gt;=10,"HIGH",L661=0,"LOW",L661&lt;=9,"MEDIUM")</f>
        <v>LOW</v>
      </c>
      <c r="N661" s="9" t="str" cm="1">
        <f t="array" ref="N661">_xlfn.IFS(M661="HIGH",K661*L661,M661="MEDIUM",K661*L661,M661="LOW","NA")</f>
        <v>NA</v>
      </c>
      <c r="O661" s="18" t="str">
        <f t="shared" si="32"/>
        <v>cleared</v>
      </c>
    </row>
    <row r="662" spans="1:15" x14ac:dyDescent="0.25">
      <c r="A662" s="17">
        <v>658</v>
      </c>
      <c r="B662" s="6" t="s">
        <v>695</v>
      </c>
      <c r="C662" s="6" t="s">
        <v>37</v>
      </c>
      <c r="D662" s="6" t="s">
        <v>26</v>
      </c>
      <c r="E662" s="6" t="s">
        <v>46</v>
      </c>
      <c r="F662" s="6" t="s">
        <v>14</v>
      </c>
      <c r="G662" s="7">
        <v>46178</v>
      </c>
      <c r="H662" s="6">
        <v>6</v>
      </c>
      <c r="I662" s="7">
        <v>46186</v>
      </c>
      <c r="J662" s="7">
        <f t="shared" si="31"/>
        <v>46184</v>
      </c>
      <c r="K662" s="8">
        <v>60</v>
      </c>
      <c r="L662" s="9">
        <f t="shared" si="30"/>
        <v>2</v>
      </c>
      <c r="M662" s="9" t="str" cm="1">
        <f t="array" ref="M662">_xlfn.IFS(L662&gt;=10,"HIGH",L662=0,"LOW",L662&lt;=9,"MEDIUM")</f>
        <v>MEDIUM</v>
      </c>
      <c r="N662" s="9" cm="1">
        <f t="array" ref="N662">_xlfn.IFS(M662="HIGH",K662*L662,M662="MEDIUM",K662*L662,M662="LOW","NA")</f>
        <v>120</v>
      </c>
      <c r="O662" s="18" t="str">
        <f t="shared" si="32"/>
        <v>cleared</v>
      </c>
    </row>
    <row r="663" spans="1:15" x14ac:dyDescent="0.25">
      <c r="A663" s="17">
        <v>659</v>
      </c>
      <c r="B663" s="6" t="s">
        <v>696</v>
      </c>
      <c r="C663" s="6" t="s">
        <v>33</v>
      </c>
      <c r="D663" s="6" t="s">
        <v>41</v>
      </c>
      <c r="E663" s="6" t="s">
        <v>39</v>
      </c>
      <c r="F663" s="6" t="s">
        <v>14</v>
      </c>
      <c r="G663" s="7">
        <v>46209</v>
      </c>
      <c r="H663" s="6">
        <v>5</v>
      </c>
      <c r="I663" s="7">
        <v>46210</v>
      </c>
      <c r="J663" s="7">
        <f t="shared" si="31"/>
        <v>46214</v>
      </c>
      <c r="K663" s="8">
        <v>110</v>
      </c>
      <c r="L663" s="9">
        <f t="shared" si="30"/>
        <v>0</v>
      </c>
      <c r="M663" s="9" t="str" cm="1">
        <f t="array" ref="M663">_xlfn.IFS(L663&gt;=10,"HIGH",L663=0,"LOW",L663&lt;=9,"MEDIUM")</f>
        <v>LOW</v>
      </c>
      <c r="N663" s="9" t="str" cm="1">
        <f t="array" ref="N663">_xlfn.IFS(M663="HIGH",K663*L663,M663="MEDIUM",K663*L663,M663="LOW","NA")</f>
        <v>NA</v>
      </c>
      <c r="O663" s="18" t="str">
        <f t="shared" si="32"/>
        <v>cleared</v>
      </c>
    </row>
    <row r="664" spans="1:15" x14ac:dyDescent="0.25">
      <c r="A664" s="17">
        <v>660</v>
      </c>
      <c r="B664" s="6" t="s">
        <v>697</v>
      </c>
      <c r="C664" s="6" t="s">
        <v>37</v>
      </c>
      <c r="D664" s="6" t="s">
        <v>31</v>
      </c>
      <c r="E664" s="6" t="s">
        <v>23</v>
      </c>
      <c r="F664" s="6" t="s">
        <v>14</v>
      </c>
      <c r="G664" s="7">
        <v>46188</v>
      </c>
      <c r="H664" s="6">
        <v>5</v>
      </c>
      <c r="I664" s="7">
        <v>46194</v>
      </c>
      <c r="J664" s="7">
        <f t="shared" si="31"/>
        <v>46193</v>
      </c>
      <c r="K664" s="8">
        <v>110</v>
      </c>
      <c r="L664" s="9">
        <f t="shared" si="30"/>
        <v>1</v>
      </c>
      <c r="M664" s="9" t="str" cm="1">
        <f t="array" ref="M664">_xlfn.IFS(L664&gt;=10,"HIGH",L664=0,"LOW",L664&lt;=9,"MEDIUM")</f>
        <v>MEDIUM</v>
      </c>
      <c r="N664" s="9" cm="1">
        <f t="array" ref="N664">_xlfn.IFS(M664="HIGH",K664*L664,M664="MEDIUM",K664*L664,M664="LOW","NA")</f>
        <v>110</v>
      </c>
      <c r="O664" s="18" t="str">
        <f t="shared" si="32"/>
        <v>cleared</v>
      </c>
    </row>
    <row r="665" spans="1:15" x14ac:dyDescent="0.25">
      <c r="A665" s="17">
        <v>661</v>
      </c>
      <c r="B665" s="6" t="s">
        <v>698</v>
      </c>
      <c r="C665" s="6" t="s">
        <v>33</v>
      </c>
      <c r="D665" s="6" t="s">
        <v>41</v>
      </c>
      <c r="E665" s="6" t="s">
        <v>46</v>
      </c>
      <c r="F665" s="6" t="s">
        <v>24</v>
      </c>
      <c r="G665" s="7">
        <v>46246</v>
      </c>
      <c r="H665" s="6">
        <v>7</v>
      </c>
      <c r="I665" s="7">
        <v>46254</v>
      </c>
      <c r="J665" s="7">
        <f t="shared" si="31"/>
        <v>46253</v>
      </c>
      <c r="K665" s="8">
        <v>130</v>
      </c>
      <c r="L665" s="9">
        <f t="shared" si="30"/>
        <v>1</v>
      </c>
      <c r="M665" s="9" t="str" cm="1">
        <f t="array" ref="M665">_xlfn.IFS(L665&gt;=10,"HIGH",L665=0,"LOW",L665&lt;=9,"MEDIUM")</f>
        <v>MEDIUM</v>
      </c>
      <c r="N665" s="9" cm="1">
        <f t="array" ref="N665">_xlfn.IFS(M665="HIGH",K665*L665,M665="MEDIUM",K665*L665,M665="LOW","NA")</f>
        <v>130</v>
      </c>
      <c r="O665" s="18" t="str">
        <f t="shared" si="32"/>
        <v>cleared</v>
      </c>
    </row>
    <row r="666" spans="1:15" x14ac:dyDescent="0.25">
      <c r="A666" s="17">
        <v>662</v>
      </c>
      <c r="B666" s="6" t="s">
        <v>699</v>
      </c>
      <c r="C666" s="6" t="s">
        <v>11</v>
      </c>
      <c r="D666" s="6" t="s">
        <v>12</v>
      </c>
      <c r="E666" s="6" t="s">
        <v>39</v>
      </c>
      <c r="F666" s="6" t="s">
        <v>14</v>
      </c>
      <c r="G666" s="7">
        <v>46211</v>
      </c>
      <c r="H666" s="6">
        <v>6</v>
      </c>
      <c r="I666" s="7">
        <v>46219</v>
      </c>
      <c r="J666" s="7">
        <f t="shared" si="31"/>
        <v>46217</v>
      </c>
      <c r="K666" s="8">
        <v>130</v>
      </c>
      <c r="L666" s="9">
        <f t="shared" si="30"/>
        <v>2</v>
      </c>
      <c r="M666" s="9" t="str" cm="1">
        <f t="array" ref="M666">_xlfn.IFS(L666&gt;=10,"HIGH",L666=0,"LOW",L666&lt;=9,"MEDIUM")</f>
        <v>MEDIUM</v>
      </c>
      <c r="N666" s="9" cm="1">
        <f t="array" ref="N666">_xlfn.IFS(M666="HIGH",K666*L666,M666="MEDIUM",K666*L666,M666="LOW","NA")</f>
        <v>260</v>
      </c>
      <c r="O666" s="18" t="str">
        <f t="shared" si="32"/>
        <v>cleared</v>
      </c>
    </row>
    <row r="667" spans="1:15" x14ac:dyDescent="0.25">
      <c r="A667" s="17">
        <v>663</v>
      </c>
      <c r="B667" s="6" t="s">
        <v>700</v>
      </c>
      <c r="C667" s="6" t="s">
        <v>11</v>
      </c>
      <c r="D667" s="6" t="s">
        <v>34</v>
      </c>
      <c r="E667" s="6" t="s">
        <v>13</v>
      </c>
      <c r="F667" s="6" t="s">
        <v>27</v>
      </c>
      <c r="G667" s="7">
        <v>46218</v>
      </c>
      <c r="H667" s="6">
        <v>4</v>
      </c>
      <c r="I667" s="7">
        <v>46221</v>
      </c>
      <c r="J667" s="7">
        <f t="shared" si="31"/>
        <v>46222</v>
      </c>
      <c r="K667" s="8">
        <v>110</v>
      </c>
      <c r="L667" s="9">
        <f t="shared" si="30"/>
        <v>0</v>
      </c>
      <c r="M667" s="9" t="str" cm="1">
        <f t="array" ref="M667">_xlfn.IFS(L667&gt;=10,"HIGH",L667=0,"LOW",L667&lt;=9,"MEDIUM")</f>
        <v>LOW</v>
      </c>
      <c r="N667" s="9" t="str" cm="1">
        <f t="array" ref="N667">_xlfn.IFS(M667="HIGH",K667*L667,M667="MEDIUM",K667*L667,M667="LOW","NA")</f>
        <v>NA</v>
      </c>
      <c r="O667" s="18" t="str">
        <f t="shared" si="32"/>
        <v>cleared</v>
      </c>
    </row>
    <row r="668" spans="1:15" x14ac:dyDescent="0.25">
      <c r="A668" s="17">
        <v>664</v>
      </c>
      <c r="B668" s="6" t="s">
        <v>701</v>
      </c>
      <c r="C668" s="6" t="s">
        <v>16</v>
      </c>
      <c r="D668" s="6" t="s">
        <v>31</v>
      </c>
      <c r="E668" s="6" t="s">
        <v>35</v>
      </c>
      <c r="F668" s="6" t="s">
        <v>24</v>
      </c>
      <c r="G668" s="7">
        <v>46186</v>
      </c>
      <c r="H668" s="6">
        <v>5</v>
      </c>
      <c r="I668" s="7">
        <v>46193</v>
      </c>
      <c r="J668" s="7">
        <f t="shared" si="31"/>
        <v>46191</v>
      </c>
      <c r="K668" s="8">
        <v>75</v>
      </c>
      <c r="L668" s="9">
        <f t="shared" si="30"/>
        <v>2</v>
      </c>
      <c r="M668" s="9" t="str" cm="1">
        <f t="array" ref="M668">_xlfn.IFS(L668&gt;=10,"HIGH",L668=0,"LOW",L668&lt;=9,"MEDIUM")</f>
        <v>MEDIUM</v>
      </c>
      <c r="N668" s="9" cm="1">
        <f t="array" ref="N668">_xlfn.IFS(M668="HIGH",K668*L668,M668="MEDIUM",K668*L668,M668="LOW","NA")</f>
        <v>150</v>
      </c>
      <c r="O668" s="18" t="str">
        <f t="shared" si="32"/>
        <v>cleared</v>
      </c>
    </row>
    <row r="669" spans="1:15" x14ac:dyDescent="0.25">
      <c r="A669" s="17">
        <v>665</v>
      </c>
      <c r="B669" s="6" t="s">
        <v>702</v>
      </c>
      <c r="C669" s="6" t="s">
        <v>11</v>
      </c>
      <c r="D669" s="6" t="s">
        <v>20</v>
      </c>
      <c r="E669" s="6" t="s">
        <v>21</v>
      </c>
      <c r="F669" s="6" t="s">
        <v>27</v>
      </c>
      <c r="G669" s="7">
        <v>46220</v>
      </c>
      <c r="H669" s="6">
        <v>5</v>
      </c>
      <c r="I669" s="7">
        <v>46223</v>
      </c>
      <c r="J669" s="7">
        <f t="shared" si="31"/>
        <v>46225</v>
      </c>
      <c r="K669" s="8">
        <v>75</v>
      </c>
      <c r="L669" s="9">
        <f t="shared" si="30"/>
        <v>0</v>
      </c>
      <c r="M669" s="9" t="str" cm="1">
        <f t="array" ref="M669">_xlfn.IFS(L669&gt;=10,"HIGH",L669=0,"LOW",L669&lt;=9,"MEDIUM")</f>
        <v>LOW</v>
      </c>
      <c r="N669" s="9" t="str" cm="1">
        <f t="array" ref="N669">_xlfn.IFS(M669="HIGH",K669*L669,M669="MEDIUM",K669*L669,M669="LOW","NA")</f>
        <v>NA</v>
      </c>
      <c r="O669" s="18" t="str">
        <f t="shared" si="32"/>
        <v>cleared</v>
      </c>
    </row>
    <row r="670" spans="1:15" x14ac:dyDescent="0.25">
      <c r="A670" s="17">
        <v>666</v>
      </c>
      <c r="B670" s="6" t="s">
        <v>703</v>
      </c>
      <c r="C670" s="6" t="s">
        <v>16</v>
      </c>
      <c r="D670" s="6" t="s">
        <v>49</v>
      </c>
      <c r="E670" s="6" t="s">
        <v>44</v>
      </c>
      <c r="F670" s="6" t="s">
        <v>27</v>
      </c>
      <c r="G670" s="7">
        <v>46188</v>
      </c>
      <c r="H670" s="6">
        <v>4</v>
      </c>
      <c r="I670" s="6"/>
      <c r="J670" s="7">
        <f t="shared" si="31"/>
        <v>46192</v>
      </c>
      <c r="K670" s="8">
        <v>130</v>
      </c>
      <c r="L670" s="9">
        <f t="shared" si="30"/>
        <v>67</v>
      </c>
      <c r="M670" s="9" t="str" cm="1">
        <f t="array" ref="M670">_xlfn.IFS(L670&gt;=10,"HIGH",L670=0,"LOW",L670&lt;=9,"MEDIUM")</f>
        <v>HIGH</v>
      </c>
      <c r="N670" s="9" cm="1">
        <f t="array" ref="N670">_xlfn.IFS(M670="HIGH",K670*L670,M670="MEDIUM",K670*L670,M670="LOW","NA")</f>
        <v>8710</v>
      </c>
      <c r="O670" s="18" t="str">
        <f t="shared" si="32"/>
        <v>still in yard</v>
      </c>
    </row>
    <row r="671" spans="1:15" x14ac:dyDescent="0.25">
      <c r="A671" s="17">
        <v>667</v>
      </c>
      <c r="B671" s="6" t="s">
        <v>704</v>
      </c>
      <c r="C671" s="6" t="s">
        <v>16</v>
      </c>
      <c r="D671" s="6" t="s">
        <v>20</v>
      </c>
      <c r="E671" s="6" t="s">
        <v>42</v>
      </c>
      <c r="F671" s="6" t="s">
        <v>24</v>
      </c>
      <c r="G671" s="7">
        <v>46246</v>
      </c>
      <c r="H671" s="6">
        <v>5</v>
      </c>
      <c r="I671" s="7">
        <v>46250</v>
      </c>
      <c r="J671" s="7">
        <f t="shared" si="31"/>
        <v>46251</v>
      </c>
      <c r="K671" s="8">
        <v>60</v>
      </c>
      <c r="L671" s="9">
        <f t="shared" si="30"/>
        <v>0</v>
      </c>
      <c r="M671" s="9" t="str" cm="1">
        <f t="array" ref="M671">_xlfn.IFS(L671&gt;=10,"HIGH",L671=0,"LOW",L671&lt;=9,"MEDIUM")</f>
        <v>LOW</v>
      </c>
      <c r="N671" s="9" t="str" cm="1">
        <f t="array" ref="N671">_xlfn.IFS(M671="HIGH",K671*L671,M671="MEDIUM",K671*L671,M671="LOW","NA")</f>
        <v>NA</v>
      </c>
      <c r="O671" s="18" t="str">
        <f t="shared" si="32"/>
        <v>cleared</v>
      </c>
    </row>
    <row r="672" spans="1:15" x14ac:dyDescent="0.25">
      <c r="A672" s="17">
        <v>668</v>
      </c>
      <c r="B672" s="6" t="s">
        <v>705</v>
      </c>
      <c r="C672" s="6" t="s">
        <v>33</v>
      </c>
      <c r="D672" s="6" t="s">
        <v>56</v>
      </c>
      <c r="E672" s="6" t="s">
        <v>46</v>
      </c>
      <c r="F672" s="6" t="s">
        <v>24</v>
      </c>
      <c r="G672" s="7">
        <v>46186</v>
      </c>
      <c r="H672" s="6">
        <v>4</v>
      </c>
      <c r="I672" s="7">
        <v>46189</v>
      </c>
      <c r="J672" s="7">
        <f t="shared" si="31"/>
        <v>46190</v>
      </c>
      <c r="K672" s="8">
        <v>90</v>
      </c>
      <c r="L672" s="9">
        <f t="shared" si="30"/>
        <v>0</v>
      </c>
      <c r="M672" s="9" t="str" cm="1">
        <f t="array" ref="M672">_xlfn.IFS(L672&gt;=10,"HIGH",L672=0,"LOW",L672&lt;=9,"MEDIUM")</f>
        <v>LOW</v>
      </c>
      <c r="N672" s="9" t="str" cm="1">
        <f t="array" ref="N672">_xlfn.IFS(M672="HIGH",K672*L672,M672="MEDIUM",K672*L672,M672="LOW","NA")</f>
        <v>NA</v>
      </c>
      <c r="O672" s="18" t="str">
        <f t="shared" si="32"/>
        <v>cleared</v>
      </c>
    </row>
    <row r="673" spans="1:15" x14ac:dyDescent="0.25">
      <c r="A673" s="17">
        <v>669</v>
      </c>
      <c r="B673" s="6" t="s">
        <v>706</v>
      </c>
      <c r="C673" s="6" t="s">
        <v>37</v>
      </c>
      <c r="D673" s="6" t="s">
        <v>54</v>
      </c>
      <c r="E673" s="6" t="s">
        <v>21</v>
      </c>
      <c r="F673" s="6" t="s">
        <v>27</v>
      </c>
      <c r="G673" s="7">
        <v>46236</v>
      </c>
      <c r="H673" s="6">
        <v>5</v>
      </c>
      <c r="I673" s="6"/>
      <c r="J673" s="7">
        <f t="shared" si="31"/>
        <v>46241</v>
      </c>
      <c r="K673" s="8">
        <v>60</v>
      </c>
      <c r="L673" s="9">
        <f t="shared" si="30"/>
        <v>18</v>
      </c>
      <c r="M673" s="9" t="str" cm="1">
        <f t="array" ref="M673">_xlfn.IFS(L673&gt;=10,"HIGH",L673=0,"LOW",L673&lt;=9,"MEDIUM")</f>
        <v>HIGH</v>
      </c>
      <c r="N673" s="9" cm="1">
        <f t="array" ref="N673">_xlfn.IFS(M673="HIGH",K673*L673,M673="MEDIUM",K673*L673,M673="LOW","NA")</f>
        <v>1080</v>
      </c>
      <c r="O673" s="18" t="str">
        <f t="shared" si="32"/>
        <v>still in yard</v>
      </c>
    </row>
    <row r="674" spans="1:15" x14ac:dyDescent="0.25">
      <c r="A674" s="17">
        <v>670</v>
      </c>
      <c r="B674" s="6" t="s">
        <v>707</v>
      </c>
      <c r="C674" s="6" t="s">
        <v>11</v>
      </c>
      <c r="D674" s="6" t="s">
        <v>26</v>
      </c>
      <c r="E674" s="6" t="s">
        <v>61</v>
      </c>
      <c r="F674" s="6" t="s">
        <v>24</v>
      </c>
      <c r="G674" s="7">
        <v>46172</v>
      </c>
      <c r="H674" s="6">
        <v>6</v>
      </c>
      <c r="I674" s="7">
        <v>46177</v>
      </c>
      <c r="J674" s="7">
        <f t="shared" si="31"/>
        <v>46178</v>
      </c>
      <c r="K674" s="8">
        <v>110</v>
      </c>
      <c r="L674" s="9">
        <f t="shared" si="30"/>
        <v>0</v>
      </c>
      <c r="M674" s="9" t="str" cm="1">
        <f t="array" ref="M674">_xlfn.IFS(L674&gt;=10,"HIGH",L674=0,"LOW",L674&lt;=9,"MEDIUM")</f>
        <v>LOW</v>
      </c>
      <c r="N674" s="9" t="str" cm="1">
        <f t="array" ref="N674">_xlfn.IFS(M674="HIGH",K674*L674,M674="MEDIUM",K674*L674,M674="LOW","NA")</f>
        <v>NA</v>
      </c>
      <c r="O674" s="18" t="str">
        <f t="shared" si="32"/>
        <v>cleared</v>
      </c>
    </row>
    <row r="675" spans="1:15" x14ac:dyDescent="0.25">
      <c r="A675" s="17">
        <v>671</v>
      </c>
      <c r="B675" s="6" t="s">
        <v>708</v>
      </c>
      <c r="C675" s="6" t="s">
        <v>16</v>
      </c>
      <c r="D675" s="6" t="s">
        <v>31</v>
      </c>
      <c r="E675" s="6" t="s">
        <v>61</v>
      </c>
      <c r="F675" s="6" t="s">
        <v>27</v>
      </c>
      <c r="G675" s="7">
        <v>46204</v>
      </c>
      <c r="H675" s="6">
        <v>5</v>
      </c>
      <c r="I675" s="7">
        <v>46207</v>
      </c>
      <c r="J675" s="7">
        <f t="shared" si="31"/>
        <v>46209</v>
      </c>
      <c r="K675" s="8">
        <v>60</v>
      </c>
      <c r="L675" s="9">
        <f t="shared" si="30"/>
        <v>0</v>
      </c>
      <c r="M675" s="9" t="str" cm="1">
        <f t="array" ref="M675">_xlfn.IFS(L675&gt;=10,"HIGH",L675=0,"LOW",L675&lt;=9,"MEDIUM")</f>
        <v>LOW</v>
      </c>
      <c r="N675" s="9" t="str" cm="1">
        <f t="array" ref="N675">_xlfn.IFS(M675="HIGH",K675*L675,M675="MEDIUM",K675*L675,M675="LOW","NA")</f>
        <v>NA</v>
      </c>
      <c r="O675" s="18" t="str">
        <f t="shared" si="32"/>
        <v>cleared</v>
      </c>
    </row>
    <row r="676" spans="1:15" x14ac:dyDescent="0.25">
      <c r="A676" s="17">
        <v>672</v>
      </c>
      <c r="B676" s="6" t="s">
        <v>709</v>
      </c>
      <c r="C676" s="6" t="s">
        <v>16</v>
      </c>
      <c r="D676" s="6" t="s">
        <v>54</v>
      </c>
      <c r="E676" s="6" t="s">
        <v>13</v>
      </c>
      <c r="F676" s="6" t="s">
        <v>29</v>
      </c>
      <c r="G676" s="7">
        <v>46238</v>
      </c>
      <c r="H676" s="6">
        <v>4</v>
      </c>
      <c r="I676" s="7">
        <v>46239</v>
      </c>
      <c r="J676" s="7">
        <f t="shared" si="31"/>
        <v>46242</v>
      </c>
      <c r="K676" s="8">
        <v>150</v>
      </c>
      <c r="L676" s="9">
        <f t="shared" si="30"/>
        <v>0</v>
      </c>
      <c r="M676" s="9" t="str" cm="1">
        <f t="array" ref="M676">_xlfn.IFS(L676&gt;=10,"HIGH",L676=0,"LOW",L676&lt;=9,"MEDIUM")</f>
        <v>LOW</v>
      </c>
      <c r="N676" s="9" t="str" cm="1">
        <f t="array" ref="N676">_xlfn.IFS(M676="HIGH",K676*L676,M676="MEDIUM",K676*L676,M676="LOW","NA")</f>
        <v>NA</v>
      </c>
      <c r="O676" s="18" t="str">
        <f t="shared" si="32"/>
        <v>cleared</v>
      </c>
    </row>
    <row r="677" spans="1:15" x14ac:dyDescent="0.25">
      <c r="A677" s="17">
        <v>673</v>
      </c>
      <c r="B677" s="6" t="s">
        <v>710</v>
      </c>
      <c r="C677" s="6" t="s">
        <v>11</v>
      </c>
      <c r="D677" s="6" t="s">
        <v>17</v>
      </c>
      <c r="E677" s="6" t="s">
        <v>23</v>
      </c>
      <c r="F677" s="6" t="s">
        <v>27</v>
      </c>
      <c r="G677" s="7">
        <v>46238</v>
      </c>
      <c r="H677" s="6">
        <v>5</v>
      </c>
      <c r="I677" s="6"/>
      <c r="J677" s="7">
        <f t="shared" si="31"/>
        <v>46243</v>
      </c>
      <c r="K677" s="8">
        <v>130</v>
      </c>
      <c r="L677" s="9">
        <f t="shared" si="30"/>
        <v>16</v>
      </c>
      <c r="M677" s="9" t="str" cm="1">
        <f t="array" ref="M677">_xlfn.IFS(L677&gt;=10,"HIGH",L677=0,"LOW",L677&lt;=9,"MEDIUM")</f>
        <v>HIGH</v>
      </c>
      <c r="N677" s="9" cm="1">
        <f t="array" ref="N677">_xlfn.IFS(M677="HIGH",K677*L677,M677="MEDIUM",K677*L677,M677="LOW","NA")</f>
        <v>2080</v>
      </c>
      <c r="O677" s="18" t="str">
        <f t="shared" si="32"/>
        <v>still in yard</v>
      </c>
    </row>
    <row r="678" spans="1:15" x14ac:dyDescent="0.25">
      <c r="A678" s="17">
        <v>674</v>
      </c>
      <c r="B678" s="6" t="s">
        <v>711</v>
      </c>
      <c r="C678" s="6" t="s">
        <v>16</v>
      </c>
      <c r="D678" s="6" t="s">
        <v>12</v>
      </c>
      <c r="E678" s="6" t="s">
        <v>46</v>
      </c>
      <c r="F678" s="6" t="s">
        <v>14</v>
      </c>
      <c r="G678" s="7">
        <v>46187</v>
      </c>
      <c r="H678" s="6">
        <v>6</v>
      </c>
      <c r="I678" s="7">
        <v>46191</v>
      </c>
      <c r="J678" s="7">
        <f t="shared" si="31"/>
        <v>46193</v>
      </c>
      <c r="K678" s="8">
        <v>130</v>
      </c>
      <c r="L678" s="9">
        <f t="shared" si="30"/>
        <v>0</v>
      </c>
      <c r="M678" s="9" t="str" cm="1">
        <f t="array" ref="M678">_xlfn.IFS(L678&gt;=10,"HIGH",L678=0,"LOW",L678&lt;=9,"MEDIUM")</f>
        <v>LOW</v>
      </c>
      <c r="N678" s="9" t="str" cm="1">
        <f t="array" ref="N678">_xlfn.IFS(M678="HIGH",K678*L678,M678="MEDIUM",K678*L678,M678="LOW","NA")</f>
        <v>NA</v>
      </c>
      <c r="O678" s="18" t="str">
        <f t="shared" si="32"/>
        <v>cleared</v>
      </c>
    </row>
    <row r="679" spans="1:15" x14ac:dyDescent="0.25">
      <c r="A679" s="17">
        <v>675</v>
      </c>
      <c r="B679" s="6" t="s">
        <v>712</v>
      </c>
      <c r="C679" s="6" t="s">
        <v>16</v>
      </c>
      <c r="D679" s="6" t="s">
        <v>54</v>
      </c>
      <c r="E679" s="6" t="s">
        <v>18</v>
      </c>
      <c r="F679" s="6" t="s">
        <v>29</v>
      </c>
      <c r="G679" s="7">
        <v>46241</v>
      </c>
      <c r="H679" s="6">
        <v>3</v>
      </c>
      <c r="I679" s="7">
        <v>46252</v>
      </c>
      <c r="J679" s="7">
        <f t="shared" si="31"/>
        <v>46244</v>
      </c>
      <c r="K679" s="8">
        <v>150</v>
      </c>
      <c r="L679" s="9">
        <f t="shared" si="30"/>
        <v>8</v>
      </c>
      <c r="M679" s="9" t="str" cm="1">
        <f t="array" ref="M679">_xlfn.IFS(L679&gt;=10,"HIGH",L679=0,"LOW",L679&lt;=9,"MEDIUM")</f>
        <v>MEDIUM</v>
      </c>
      <c r="N679" s="9" cm="1">
        <f t="array" ref="N679">_xlfn.IFS(M679="HIGH",K679*L679,M679="MEDIUM",K679*L679,M679="LOW","NA")</f>
        <v>1200</v>
      </c>
      <c r="O679" s="18" t="str">
        <f t="shared" si="32"/>
        <v>cleared</v>
      </c>
    </row>
    <row r="680" spans="1:15" x14ac:dyDescent="0.25">
      <c r="A680" s="17">
        <v>676</v>
      </c>
      <c r="B680" s="6" t="s">
        <v>713</v>
      </c>
      <c r="C680" s="6" t="s">
        <v>37</v>
      </c>
      <c r="D680" s="6" t="s">
        <v>56</v>
      </c>
      <c r="E680" s="6" t="s">
        <v>35</v>
      </c>
      <c r="F680" s="6" t="s">
        <v>29</v>
      </c>
      <c r="G680" s="7">
        <v>46204</v>
      </c>
      <c r="H680" s="6">
        <v>4</v>
      </c>
      <c r="I680" s="7">
        <v>46208</v>
      </c>
      <c r="J680" s="7">
        <f t="shared" si="31"/>
        <v>46208</v>
      </c>
      <c r="K680" s="8">
        <v>120</v>
      </c>
      <c r="L680" s="9">
        <f t="shared" si="30"/>
        <v>0</v>
      </c>
      <c r="M680" s="9" t="str" cm="1">
        <f t="array" ref="M680">_xlfn.IFS(L680&gt;=10,"HIGH",L680=0,"LOW",L680&lt;=9,"MEDIUM")</f>
        <v>LOW</v>
      </c>
      <c r="N680" s="9" t="str" cm="1">
        <f t="array" ref="N680">_xlfn.IFS(M680="HIGH",K680*L680,M680="MEDIUM",K680*L680,M680="LOW","NA")</f>
        <v>NA</v>
      </c>
      <c r="O680" s="18" t="str">
        <f t="shared" si="32"/>
        <v>cleared</v>
      </c>
    </row>
    <row r="681" spans="1:15" x14ac:dyDescent="0.25">
      <c r="A681" s="17">
        <v>677</v>
      </c>
      <c r="B681" s="6" t="s">
        <v>714</v>
      </c>
      <c r="C681" s="6" t="s">
        <v>37</v>
      </c>
      <c r="D681" s="6" t="s">
        <v>54</v>
      </c>
      <c r="E681" s="6" t="s">
        <v>35</v>
      </c>
      <c r="F681" s="6" t="s">
        <v>27</v>
      </c>
      <c r="G681" s="7">
        <v>46254</v>
      </c>
      <c r="H681" s="6">
        <v>7</v>
      </c>
      <c r="I681" s="7">
        <v>46259</v>
      </c>
      <c r="J681" s="7">
        <f t="shared" si="31"/>
        <v>46261</v>
      </c>
      <c r="K681" s="8">
        <v>90</v>
      </c>
      <c r="L681" s="9">
        <f t="shared" si="30"/>
        <v>0</v>
      </c>
      <c r="M681" s="9" t="str" cm="1">
        <f t="array" ref="M681">_xlfn.IFS(L681&gt;=10,"HIGH",L681=0,"LOW",L681&lt;=9,"MEDIUM")</f>
        <v>LOW</v>
      </c>
      <c r="N681" s="9" t="str" cm="1">
        <f t="array" ref="N681">_xlfn.IFS(M681="HIGH",K681*L681,M681="MEDIUM",K681*L681,M681="LOW","NA")</f>
        <v>NA</v>
      </c>
      <c r="O681" s="18" t="str">
        <f t="shared" si="32"/>
        <v>cleared</v>
      </c>
    </row>
    <row r="682" spans="1:15" x14ac:dyDescent="0.25">
      <c r="A682" s="17">
        <v>678</v>
      </c>
      <c r="B682" s="6" t="s">
        <v>715</v>
      </c>
      <c r="C682" s="6" t="s">
        <v>16</v>
      </c>
      <c r="D682" s="6" t="s">
        <v>34</v>
      </c>
      <c r="E682" s="6" t="s">
        <v>42</v>
      </c>
      <c r="F682" s="6" t="s">
        <v>29</v>
      </c>
      <c r="G682" s="7">
        <v>46219</v>
      </c>
      <c r="H682" s="6">
        <v>3</v>
      </c>
      <c r="I682" s="7">
        <v>46224</v>
      </c>
      <c r="J682" s="7">
        <f t="shared" si="31"/>
        <v>46222</v>
      </c>
      <c r="K682" s="8">
        <v>150</v>
      </c>
      <c r="L682" s="9">
        <f t="shared" si="30"/>
        <v>2</v>
      </c>
      <c r="M682" s="9" t="str" cm="1">
        <f t="array" ref="M682">_xlfn.IFS(L682&gt;=10,"HIGH",L682=0,"LOW",L682&lt;=9,"MEDIUM")</f>
        <v>MEDIUM</v>
      </c>
      <c r="N682" s="9" cm="1">
        <f t="array" ref="N682">_xlfn.IFS(M682="HIGH",K682*L682,M682="MEDIUM",K682*L682,M682="LOW","NA")</f>
        <v>300</v>
      </c>
      <c r="O682" s="18" t="str">
        <f t="shared" si="32"/>
        <v>cleared</v>
      </c>
    </row>
    <row r="683" spans="1:15" x14ac:dyDescent="0.25">
      <c r="A683" s="17">
        <v>679</v>
      </c>
      <c r="B683" s="6" t="s">
        <v>716</v>
      </c>
      <c r="C683" s="6" t="s">
        <v>37</v>
      </c>
      <c r="D683" s="6" t="s">
        <v>12</v>
      </c>
      <c r="E683" s="6" t="s">
        <v>23</v>
      </c>
      <c r="F683" s="6" t="s">
        <v>24</v>
      </c>
      <c r="G683" s="7">
        <v>46203</v>
      </c>
      <c r="H683" s="6">
        <v>5</v>
      </c>
      <c r="I683" s="7">
        <v>46211</v>
      </c>
      <c r="J683" s="7">
        <f t="shared" si="31"/>
        <v>46208</v>
      </c>
      <c r="K683" s="8">
        <v>75</v>
      </c>
      <c r="L683" s="9">
        <f t="shared" si="30"/>
        <v>3</v>
      </c>
      <c r="M683" s="9" t="str" cm="1">
        <f t="array" ref="M683">_xlfn.IFS(L683&gt;=10,"HIGH",L683=0,"LOW",L683&lt;=9,"MEDIUM")</f>
        <v>MEDIUM</v>
      </c>
      <c r="N683" s="9" cm="1">
        <f t="array" ref="N683">_xlfn.IFS(M683="HIGH",K683*L683,M683="MEDIUM",K683*L683,M683="LOW","NA")</f>
        <v>225</v>
      </c>
      <c r="O683" s="18" t="str">
        <f t="shared" si="32"/>
        <v>cleared</v>
      </c>
    </row>
    <row r="684" spans="1:15" x14ac:dyDescent="0.25">
      <c r="A684" s="17">
        <v>680</v>
      </c>
      <c r="B684" s="6" t="s">
        <v>717</v>
      </c>
      <c r="C684" s="6" t="s">
        <v>16</v>
      </c>
      <c r="D684" s="6" t="s">
        <v>41</v>
      </c>
      <c r="E684" s="6" t="s">
        <v>42</v>
      </c>
      <c r="F684" s="6" t="s">
        <v>27</v>
      </c>
      <c r="G684" s="7">
        <v>46178</v>
      </c>
      <c r="H684" s="6">
        <v>4</v>
      </c>
      <c r="I684" s="6"/>
      <c r="J684" s="7">
        <f t="shared" si="31"/>
        <v>46182</v>
      </c>
      <c r="K684" s="8">
        <v>60</v>
      </c>
      <c r="L684" s="9">
        <f t="shared" si="30"/>
        <v>77</v>
      </c>
      <c r="M684" s="9" t="str" cm="1">
        <f t="array" ref="M684">_xlfn.IFS(L684&gt;=10,"HIGH",L684=0,"LOW",L684&lt;=9,"MEDIUM")</f>
        <v>HIGH</v>
      </c>
      <c r="N684" s="9" cm="1">
        <f t="array" ref="N684">_xlfn.IFS(M684="HIGH",K684*L684,M684="MEDIUM",K684*L684,M684="LOW","NA")</f>
        <v>4620</v>
      </c>
      <c r="O684" s="18" t="str">
        <f t="shared" si="32"/>
        <v>still in yard</v>
      </c>
    </row>
    <row r="685" spans="1:15" x14ac:dyDescent="0.25">
      <c r="A685" s="17">
        <v>681</v>
      </c>
      <c r="B685" s="6" t="s">
        <v>718</v>
      </c>
      <c r="C685" s="6" t="s">
        <v>11</v>
      </c>
      <c r="D685" s="6" t="s">
        <v>54</v>
      </c>
      <c r="E685" s="6" t="s">
        <v>42</v>
      </c>
      <c r="F685" s="6" t="s">
        <v>27</v>
      </c>
      <c r="G685" s="7">
        <v>46193</v>
      </c>
      <c r="H685" s="6">
        <v>6</v>
      </c>
      <c r="I685" s="6"/>
      <c r="J685" s="7">
        <f t="shared" si="31"/>
        <v>46199</v>
      </c>
      <c r="K685" s="8">
        <v>75</v>
      </c>
      <c r="L685" s="9">
        <f t="shared" si="30"/>
        <v>60</v>
      </c>
      <c r="M685" s="9" t="str" cm="1">
        <f t="array" ref="M685">_xlfn.IFS(L685&gt;=10,"HIGH",L685=0,"LOW",L685&lt;=9,"MEDIUM")</f>
        <v>HIGH</v>
      </c>
      <c r="N685" s="9" cm="1">
        <f t="array" ref="N685">_xlfn.IFS(M685="HIGH",K685*L685,M685="MEDIUM",K685*L685,M685="LOW","NA")</f>
        <v>4500</v>
      </c>
      <c r="O685" s="18" t="str">
        <f t="shared" si="32"/>
        <v>still in yard</v>
      </c>
    </row>
    <row r="686" spans="1:15" x14ac:dyDescent="0.25">
      <c r="A686" s="17">
        <v>682</v>
      </c>
      <c r="B686" s="6" t="s">
        <v>719</v>
      </c>
      <c r="C686" s="6" t="s">
        <v>33</v>
      </c>
      <c r="D686" s="6" t="s">
        <v>31</v>
      </c>
      <c r="E686" s="6" t="s">
        <v>35</v>
      </c>
      <c r="F686" s="6" t="s">
        <v>14</v>
      </c>
      <c r="G686" s="7">
        <v>46228</v>
      </c>
      <c r="H686" s="6">
        <v>6</v>
      </c>
      <c r="I686" s="6"/>
      <c r="J686" s="7">
        <f t="shared" si="31"/>
        <v>46234</v>
      </c>
      <c r="K686" s="8">
        <v>75</v>
      </c>
      <c r="L686" s="9">
        <f t="shared" si="30"/>
        <v>25</v>
      </c>
      <c r="M686" s="9" t="str" cm="1">
        <f t="array" ref="M686">_xlfn.IFS(L686&gt;=10,"HIGH",L686=0,"LOW",L686&lt;=9,"MEDIUM")</f>
        <v>HIGH</v>
      </c>
      <c r="N686" s="9" cm="1">
        <f t="array" ref="N686">_xlfn.IFS(M686="HIGH",K686*L686,M686="MEDIUM",K686*L686,M686="LOW","NA")</f>
        <v>1875</v>
      </c>
      <c r="O686" s="18" t="str">
        <f t="shared" si="32"/>
        <v>still in yard</v>
      </c>
    </row>
    <row r="687" spans="1:15" x14ac:dyDescent="0.25">
      <c r="A687" s="17">
        <v>683</v>
      </c>
      <c r="B687" s="6" t="s">
        <v>720</v>
      </c>
      <c r="C687" s="6" t="s">
        <v>33</v>
      </c>
      <c r="D687" s="6" t="s">
        <v>56</v>
      </c>
      <c r="E687" s="6" t="s">
        <v>18</v>
      </c>
      <c r="F687" s="6" t="s">
        <v>29</v>
      </c>
      <c r="G687" s="7">
        <v>46247</v>
      </c>
      <c r="H687" s="6">
        <v>4</v>
      </c>
      <c r="I687" s="7">
        <v>46253</v>
      </c>
      <c r="J687" s="7">
        <f t="shared" si="31"/>
        <v>46251</v>
      </c>
      <c r="K687" s="8">
        <v>150</v>
      </c>
      <c r="L687" s="9">
        <f t="shared" si="30"/>
        <v>2</v>
      </c>
      <c r="M687" s="9" t="str" cm="1">
        <f t="array" ref="M687">_xlfn.IFS(L687&gt;=10,"HIGH",L687=0,"LOW",L687&lt;=9,"MEDIUM")</f>
        <v>MEDIUM</v>
      </c>
      <c r="N687" s="9" cm="1">
        <f t="array" ref="N687">_xlfn.IFS(M687="HIGH",K687*L687,M687="MEDIUM",K687*L687,M687="LOW","NA")</f>
        <v>300</v>
      </c>
      <c r="O687" s="18" t="str">
        <f t="shared" si="32"/>
        <v>cleared</v>
      </c>
    </row>
    <row r="688" spans="1:15" x14ac:dyDescent="0.25">
      <c r="A688" s="17">
        <v>684</v>
      </c>
      <c r="B688" s="6" t="s">
        <v>721</v>
      </c>
      <c r="C688" s="6" t="s">
        <v>11</v>
      </c>
      <c r="D688" s="6" t="s">
        <v>20</v>
      </c>
      <c r="E688" s="6" t="s">
        <v>46</v>
      </c>
      <c r="F688" s="6" t="s">
        <v>24</v>
      </c>
      <c r="G688" s="7">
        <v>46230</v>
      </c>
      <c r="H688" s="6">
        <v>4</v>
      </c>
      <c r="I688" s="7">
        <v>46232</v>
      </c>
      <c r="J688" s="7">
        <f t="shared" si="31"/>
        <v>46234</v>
      </c>
      <c r="K688" s="8">
        <v>75</v>
      </c>
      <c r="L688" s="9">
        <f t="shared" si="30"/>
        <v>0</v>
      </c>
      <c r="M688" s="9" t="str" cm="1">
        <f t="array" ref="M688">_xlfn.IFS(L688&gt;=10,"HIGH",L688=0,"LOW",L688&lt;=9,"MEDIUM")</f>
        <v>LOW</v>
      </c>
      <c r="N688" s="9" t="str" cm="1">
        <f t="array" ref="N688">_xlfn.IFS(M688="HIGH",K688*L688,M688="MEDIUM",K688*L688,M688="LOW","NA")</f>
        <v>NA</v>
      </c>
      <c r="O688" s="18" t="str">
        <f t="shared" si="32"/>
        <v>cleared</v>
      </c>
    </row>
    <row r="689" spans="1:15" x14ac:dyDescent="0.25">
      <c r="A689" s="17">
        <v>685</v>
      </c>
      <c r="B689" s="6" t="s">
        <v>722</v>
      </c>
      <c r="C689" s="6" t="s">
        <v>16</v>
      </c>
      <c r="D689" s="6" t="s">
        <v>56</v>
      </c>
      <c r="E689" s="6" t="s">
        <v>44</v>
      </c>
      <c r="F689" s="6" t="s">
        <v>27</v>
      </c>
      <c r="G689" s="7">
        <v>46225</v>
      </c>
      <c r="H689" s="6">
        <v>4</v>
      </c>
      <c r="I689" s="7">
        <v>46226</v>
      </c>
      <c r="J689" s="7">
        <f t="shared" si="31"/>
        <v>46229</v>
      </c>
      <c r="K689" s="8">
        <v>110</v>
      </c>
      <c r="L689" s="9">
        <f t="shared" si="30"/>
        <v>0</v>
      </c>
      <c r="M689" s="9" t="str" cm="1">
        <f t="array" ref="M689">_xlfn.IFS(L689&gt;=10,"HIGH",L689=0,"LOW",L689&lt;=9,"MEDIUM")</f>
        <v>LOW</v>
      </c>
      <c r="N689" s="9" t="str" cm="1">
        <f t="array" ref="N689">_xlfn.IFS(M689="HIGH",K689*L689,M689="MEDIUM",K689*L689,M689="LOW","NA")</f>
        <v>NA</v>
      </c>
      <c r="O689" s="18" t="str">
        <f t="shared" si="32"/>
        <v>cleared</v>
      </c>
    </row>
    <row r="690" spans="1:15" x14ac:dyDescent="0.25">
      <c r="A690" s="17">
        <v>686</v>
      </c>
      <c r="B690" s="6" t="s">
        <v>723</v>
      </c>
      <c r="C690" s="6" t="s">
        <v>11</v>
      </c>
      <c r="D690" s="6" t="s">
        <v>20</v>
      </c>
      <c r="E690" s="6" t="s">
        <v>42</v>
      </c>
      <c r="F690" s="6" t="s">
        <v>29</v>
      </c>
      <c r="G690" s="7">
        <v>46186</v>
      </c>
      <c r="H690" s="6">
        <v>4</v>
      </c>
      <c r="I690" s="6"/>
      <c r="J690" s="7">
        <f t="shared" si="31"/>
        <v>46190</v>
      </c>
      <c r="K690" s="8">
        <v>180</v>
      </c>
      <c r="L690" s="9">
        <f t="shared" si="30"/>
        <v>69</v>
      </c>
      <c r="M690" s="9" t="str" cm="1">
        <f t="array" ref="M690">_xlfn.IFS(L690&gt;=10,"HIGH",L690=0,"LOW",L690&lt;=9,"MEDIUM")</f>
        <v>HIGH</v>
      </c>
      <c r="N690" s="9" cm="1">
        <f t="array" ref="N690">_xlfn.IFS(M690="HIGH",K690*L690,M690="MEDIUM",K690*L690,M690="LOW","NA")</f>
        <v>12420</v>
      </c>
      <c r="O690" s="18" t="str">
        <f t="shared" si="32"/>
        <v>still in yard</v>
      </c>
    </row>
    <row r="691" spans="1:15" x14ac:dyDescent="0.25">
      <c r="A691" s="17">
        <v>687</v>
      </c>
      <c r="B691" s="6" t="s">
        <v>724</v>
      </c>
      <c r="C691" s="6" t="s">
        <v>33</v>
      </c>
      <c r="D691" s="6" t="s">
        <v>12</v>
      </c>
      <c r="E691" s="6" t="s">
        <v>23</v>
      </c>
      <c r="F691" s="6" t="s">
        <v>14</v>
      </c>
      <c r="G691" s="7">
        <v>46197</v>
      </c>
      <c r="H691" s="6">
        <v>6</v>
      </c>
      <c r="I691" s="6"/>
      <c r="J691" s="7">
        <f t="shared" si="31"/>
        <v>46203</v>
      </c>
      <c r="K691" s="8">
        <v>60</v>
      </c>
      <c r="L691" s="9">
        <f t="shared" si="30"/>
        <v>56</v>
      </c>
      <c r="M691" s="9" t="str" cm="1">
        <f t="array" ref="M691">_xlfn.IFS(L691&gt;=10,"HIGH",L691=0,"LOW",L691&lt;=9,"MEDIUM")</f>
        <v>HIGH</v>
      </c>
      <c r="N691" s="9" cm="1">
        <f t="array" ref="N691">_xlfn.IFS(M691="HIGH",K691*L691,M691="MEDIUM",K691*L691,M691="LOW","NA")</f>
        <v>3360</v>
      </c>
      <c r="O691" s="18" t="str">
        <f t="shared" si="32"/>
        <v>still in yard</v>
      </c>
    </row>
    <row r="692" spans="1:15" x14ac:dyDescent="0.25">
      <c r="A692" s="17">
        <v>688</v>
      </c>
      <c r="B692" s="6" t="s">
        <v>725</v>
      </c>
      <c r="C692" s="6" t="s">
        <v>37</v>
      </c>
      <c r="D692" s="6" t="s">
        <v>26</v>
      </c>
      <c r="E692" s="6" t="s">
        <v>44</v>
      </c>
      <c r="F692" s="6" t="s">
        <v>14</v>
      </c>
      <c r="G692" s="7">
        <v>46244</v>
      </c>
      <c r="H692" s="6">
        <v>5</v>
      </c>
      <c r="I692" s="6"/>
      <c r="J692" s="7">
        <f t="shared" si="31"/>
        <v>46249</v>
      </c>
      <c r="K692" s="8">
        <v>75</v>
      </c>
      <c r="L692" s="9">
        <f t="shared" si="30"/>
        <v>10</v>
      </c>
      <c r="M692" s="9" t="str" cm="1">
        <f t="array" ref="M692">_xlfn.IFS(L692&gt;=10,"HIGH",L692=0,"LOW",L692&lt;=9,"MEDIUM")</f>
        <v>HIGH</v>
      </c>
      <c r="N692" s="9" cm="1">
        <f t="array" ref="N692">_xlfn.IFS(M692="HIGH",K692*L692,M692="MEDIUM",K692*L692,M692="LOW","NA")</f>
        <v>750</v>
      </c>
      <c r="O692" s="18" t="str">
        <f t="shared" si="32"/>
        <v>still in yard</v>
      </c>
    </row>
    <row r="693" spans="1:15" x14ac:dyDescent="0.25">
      <c r="A693" s="17">
        <v>689</v>
      </c>
      <c r="B693" s="6" t="s">
        <v>726</v>
      </c>
      <c r="C693" s="6" t="s">
        <v>11</v>
      </c>
      <c r="D693" s="6" t="s">
        <v>34</v>
      </c>
      <c r="E693" s="6" t="s">
        <v>23</v>
      </c>
      <c r="F693" s="6" t="s">
        <v>24</v>
      </c>
      <c r="G693" s="7">
        <v>46206</v>
      </c>
      <c r="H693" s="6">
        <v>5</v>
      </c>
      <c r="I693" s="6"/>
      <c r="J693" s="7">
        <f t="shared" si="31"/>
        <v>46211</v>
      </c>
      <c r="K693" s="8">
        <v>110</v>
      </c>
      <c r="L693" s="9">
        <f t="shared" si="30"/>
        <v>48</v>
      </c>
      <c r="M693" s="9" t="str" cm="1">
        <f t="array" ref="M693">_xlfn.IFS(L693&gt;=10,"HIGH",L693=0,"LOW",L693&lt;=9,"MEDIUM")</f>
        <v>HIGH</v>
      </c>
      <c r="N693" s="9" cm="1">
        <f t="array" ref="N693">_xlfn.IFS(M693="HIGH",K693*L693,M693="MEDIUM",K693*L693,M693="LOW","NA")</f>
        <v>5280</v>
      </c>
      <c r="O693" s="18" t="str">
        <f t="shared" si="32"/>
        <v>still in yard</v>
      </c>
    </row>
    <row r="694" spans="1:15" x14ac:dyDescent="0.25">
      <c r="A694" s="17">
        <v>690</v>
      </c>
      <c r="B694" s="6" t="s">
        <v>727</v>
      </c>
      <c r="C694" s="6" t="s">
        <v>33</v>
      </c>
      <c r="D694" s="6" t="s">
        <v>12</v>
      </c>
      <c r="E694" s="6" t="s">
        <v>44</v>
      </c>
      <c r="F694" s="6" t="s">
        <v>27</v>
      </c>
      <c r="G694" s="7">
        <v>46247</v>
      </c>
      <c r="H694" s="6">
        <v>7</v>
      </c>
      <c r="I694" s="7">
        <v>46257</v>
      </c>
      <c r="J694" s="7">
        <f t="shared" si="31"/>
        <v>46254</v>
      </c>
      <c r="K694" s="8">
        <v>75</v>
      </c>
      <c r="L694" s="9">
        <f t="shared" si="30"/>
        <v>3</v>
      </c>
      <c r="M694" s="9" t="str" cm="1">
        <f t="array" ref="M694">_xlfn.IFS(L694&gt;=10,"HIGH",L694=0,"LOW",L694&lt;=9,"MEDIUM")</f>
        <v>MEDIUM</v>
      </c>
      <c r="N694" s="9" cm="1">
        <f t="array" ref="N694">_xlfn.IFS(M694="HIGH",K694*L694,M694="MEDIUM",K694*L694,M694="LOW","NA")</f>
        <v>225</v>
      </c>
      <c r="O694" s="18" t="str">
        <f t="shared" si="32"/>
        <v>cleared</v>
      </c>
    </row>
    <row r="695" spans="1:15" x14ac:dyDescent="0.25">
      <c r="A695" s="17">
        <v>691</v>
      </c>
      <c r="B695" s="6" t="s">
        <v>728</v>
      </c>
      <c r="C695" s="6" t="s">
        <v>11</v>
      </c>
      <c r="D695" s="6" t="s">
        <v>56</v>
      </c>
      <c r="E695" s="6" t="s">
        <v>42</v>
      </c>
      <c r="F695" s="6" t="s">
        <v>29</v>
      </c>
      <c r="G695" s="7">
        <v>46247</v>
      </c>
      <c r="H695" s="6">
        <v>4</v>
      </c>
      <c r="I695" s="6"/>
      <c r="J695" s="7">
        <f t="shared" si="31"/>
        <v>46251</v>
      </c>
      <c r="K695" s="8">
        <v>120</v>
      </c>
      <c r="L695" s="9">
        <f t="shared" si="30"/>
        <v>8</v>
      </c>
      <c r="M695" s="9" t="str" cm="1">
        <f t="array" ref="M695">_xlfn.IFS(L695&gt;=10,"HIGH",L695=0,"LOW",L695&lt;=9,"MEDIUM")</f>
        <v>MEDIUM</v>
      </c>
      <c r="N695" s="9" cm="1">
        <f t="array" ref="N695">_xlfn.IFS(M695="HIGH",K695*L695,M695="MEDIUM",K695*L695,M695="LOW","NA")</f>
        <v>960</v>
      </c>
      <c r="O695" s="18" t="str">
        <f t="shared" si="32"/>
        <v>still in yard</v>
      </c>
    </row>
    <row r="696" spans="1:15" x14ac:dyDescent="0.25">
      <c r="A696" s="17">
        <v>692</v>
      </c>
      <c r="B696" s="6" t="s">
        <v>729</v>
      </c>
      <c r="C696" s="6" t="s">
        <v>16</v>
      </c>
      <c r="D696" s="6" t="s">
        <v>34</v>
      </c>
      <c r="E696" s="6" t="s">
        <v>42</v>
      </c>
      <c r="F696" s="6" t="s">
        <v>24</v>
      </c>
      <c r="G696" s="7">
        <v>46183</v>
      </c>
      <c r="H696" s="6">
        <v>5</v>
      </c>
      <c r="I696" s="7">
        <v>46184</v>
      </c>
      <c r="J696" s="7">
        <f t="shared" si="31"/>
        <v>46188</v>
      </c>
      <c r="K696" s="8">
        <v>130</v>
      </c>
      <c r="L696" s="9">
        <f t="shared" si="30"/>
        <v>0</v>
      </c>
      <c r="M696" s="9" t="str" cm="1">
        <f t="array" ref="M696">_xlfn.IFS(L696&gt;=10,"HIGH",L696=0,"LOW",L696&lt;=9,"MEDIUM")</f>
        <v>LOW</v>
      </c>
      <c r="N696" s="9" t="str" cm="1">
        <f t="array" ref="N696">_xlfn.IFS(M696="HIGH",K696*L696,M696="MEDIUM",K696*L696,M696="LOW","NA")</f>
        <v>NA</v>
      </c>
      <c r="O696" s="18" t="str">
        <f t="shared" si="32"/>
        <v>cleared</v>
      </c>
    </row>
    <row r="697" spans="1:15" x14ac:dyDescent="0.25">
      <c r="A697" s="17">
        <v>693</v>
      </c>
      <c r="B697" s="6" t="s">
        <v>730</v>
      </c>
      <c r="C697" s="6" t="s">
        <v>33</v>
      </c>
      <c r="D697" s="6" t="s">
        <v>26</v>
      </c>
      <c r="E697" s="6" t="s">
        <v>61</v>
      </c>
      <c r="F697" s="6" t="s">
        <v>27</v>
      </c>
      <c r="G697" s="7">
        <v>46219</v>
      </c>
      <c r="H697" s="6">
        <v>7</v>
      </c>
      <c r="I697" s="6"/>
      <c r="J697" s="7">
        <f t="shared" si="31"/>
        <v>46226</v>
      </c>
      <c r="K697" s="8">
        <v>90</v>
      </c>
      <c r="L697" s="9">
        <f t="shared" si="30"/>
        <v>33</v>
      </c>
      <c r="M697" s="9" t="str" cm="1">
        <f t="array" ref="M697">_xlfn.IFS(L697&gt;=10,"HIGH",L697=0,"LOW",L697&lt;=9,"MEDIUM")</f>
        <v>HIGH</v>
      </c>
      <c r="N697" s="9" cm="1">
        <f t="array" ref="N697">_xlfn.IFS(M697="HIGH",K697*L697,M697="MEDIUM",K697*L697,M697="LOW","NA")</f>
        <v>2970</v>
      </c>
      <c r="O697" s="18" t="str">
        <f t="shared" si="32"/>
        <v>still in yard</v>
      </c>
    </row>
    <row r="698" spans="1:15" x14ac:dyDescent="0.25">
      <c r="A698" s="17">
        <v>694</v>
      </c>
      <c r="B698" s="6" t="s">
        <v>731</v>
      </c>
      <c r="C698" s="6" t="s">
        <v>37</v>
      </c>
      <c r="D698" s="6" t="s">
        <v>34</v>
      </c>
      <c r="E698" s="6" t="s">
        <v>39</v>
      </c>
      <c r="F698" s="6" t="s">
        <v>27</v>
      </c>
      <c r="G698" s="7">
        <v>46179</v>
      </c>
      <c r="H698" s="6">
        <v>5</v>
      </c>
      <c r="I698" s="7">
        <v>46184</v>
      </c>
      <c r="J698" s="7">
        <f t="shared" si="31"/>
        <v>46184</v>
      </c>
      <c r="K698" s="8">
        <v>110</v>
      </c>
      <c r="L698" s="9">
        <f t="shared" si="30"/>
        <v>0</v>
      </c>
      <c r="M698" s="9" t="str" cm="1">
        <f t="array" ref="M698">_xlfn.IFS(L698&gt;=10,"HIGH",L698=0,"LOW",L698&lt;=9,"MEDIUM")</f>
        <v>LOW</v>
      </c>
      <c r="N698" s="9" t="str" cm="1">
        <f t="array" ref="N698">_xlfn.IFS(M698="HIGH",K698*L698,M698="MEDIUM",K698*L698,M698="LOW","NA")</f>
        <v>NA</v>
      </c>
      <c r="O698" s="18" t="str">
        <f t="shared" si="32"/>
        <v>cleared</v>
      </c>
    </row>
    <row r="699" spans="1:15" x14ac:dyDescent="0.25">
      <c r="A699" s="17">
        <v>695</v>
      </c>
      <c r="B699" s="6" t="s">
        <v>732</v>
      </c>
      <c r="C699" s="6" t="s">
        <v>37</v>
      </c>
      <c r="D699" s="6" t="s">
        <v>54</v>
      </c>
      <c r="E699" s="6" t="s">
        <v>61</v>
      </c>
      <c r="F699" s="6" t="s">
        <v>24</v>
      </c>
      <c r="G699" s="7">
        <v>46223</v>
      </c>
      <c r="H699" s="6">
        <v>4</v>
      </c>
      <c r="I699" s="7">
        <v>46227</v>
      </c>
      <c r="J699" s="7">
        <f t="shared" si="31"/>
        <v>46227</v>
      </c>
      <c r="K699" s="8">
        <v>110</v>
      </c>
      <c r="L699" s="9">
        <f t="shared" si="30"/>
        <v>0</v>
      </c>
      <c r="M699" s="9" t="str" cm="1">
        <f t="array" ref="M699">_xlfn.IFS(L699&gt;=10,"HIGH",L699=0,"LOW",L699&lt;=9,"MEDIUM")</f>
        <v>LOW</v>
      </c>
      <c r="N699" s="9" t="str" cm="1">
        <f t="array" ref="N699">_xlfn.IFS(M699="HIGH",K699*L699,M699="MEDIUM",K699*L699,M699="LOW","NA")</f>
        <v>NA</v>
      </c>
      <c r="O699" s="18" t="str">
        <f t="shared" si="32"/>
        <v>cleared</v>
      </c>
    </row>
    <row r="700" spans="1:15" x14ac:dyDescent="0.25">
      <c r="A700" s="17">
        <v>696</v>
      </c>
      <c r="B700" s="6" t="s">
        <v>733</v>
      </c>
      <c r="C700" s="6" t="s">
        <v>11</v>
      </c>
      <c r="D700" s="6" t="s">
        <v>17</v>
      </c>
      <c r="E700" s="6" t="s">
        <v>35</v>
      </c>
      <c r="F700" s="6" t="s">
        <v>27</v>
      </c>
      <c r="G700" s="7">
        <v>46193</v>
      </c>
      <c r="H700" s="6">
        <v>7</v>
      </c>
      <c r="I700" s="7">
        <v>46198</v>
      </c>
      <c r="J700" s="7">
        <f t="shared" si="31"/>
        <v>46200</v>
      </c>
      <c r="K700" s="8">
        <v>60</v>
      </c>
      <c r="L700" s="9">
        <f t="shared" si="30"/>
        <v>0</v>
      </c>
      <c r="M700" s="9" t="str" cm="1">
        <f t="array" ref="M700">_xlfn.IFS(L700&gt;=10,"HIGH",L700=0,"LOW",L700&lt;=9,"MEDIUM")</f>
        <v>LOW</v>
      </c>
      <c r="N700" s="9" t="str" cm="1">
        <f t="array" ref="N700">_xlfn.IFS(M700="HIGH",K700*L700,M700="MEDIUM",K700*L700,M700="LOW","NA")</f>
        <v>NA</v>
      </c>
      <c r="O700" s="18" t="str">
        <f t="shared" si="32"/>
        <v>cleared</v>
      </c>
    </row>
    <row r="701" spans="1:15" x14ac:dyDescent="0.25">
      <c r="A701" s="17">
        <v>697</v>
      </c>
      <c r="B701" s="6" t="s">
        <v>734</v>
      </c>
      <c r="C701" s="6" t="s">
        <v>11</v>
      </c>
      <c r="D701" s="6" t="s">
        <v>41</v>
      </c>
      <c r="E701" s="6" t="s">
        <v>39</v>
      </c>
      <c r="F701" s="6" t="s">
        <v>27</v>
      </c>
      <c r="G701" s="7">
        <v>46201</v>
      </c>
      <c r="H701" s="6">
        <v>5</v>
      </c>
      <c r="I701" s="7">
        <v>46209</v>
      </c>
      <c r="J701" s="7">
        <f t="shared" si="31"/>
        <v>46206</v>
      </c>
      <c r="K701" s="8">
        <v>110</v>
      </c>
      <c r="L701" s="9">
        <f t="shared" si="30"/>
        <v>3</v>
      </c>
      <c r="M701" s="9" t="str" cm="1">
        <f t="array" ref="M701">_xlfn.IFS(L701&gt;=10,"HIGH",L701=0,"LOW",L701&lt;=9,"MEDIUM")</f>
        <v>MEDIUM</v>
      </c>
      <c r="N701" s="9" cm="1">
        <f t="array" ref="N701">_xlfn.IFS(M701="HIGH",K701*L701,M701="MEDIUM",K701*L701,M701="LOW","NA")</f>
        <v>330</v>
      </c>
      <c r="O701" s="18" t="str">
        <f t="shared" si="32"/>
        <v>cleared</v>
      </c>
    </row>
    <row r="702" spans="1:15" x14ac:dyDescent="0.25">
      <c r="A702" s="17">
        <v>698</v>
      </c>
      <c r="B702" s="6" t="s">
        <v>735</v>
      </c>
      <c r="C702" s="6" t="s">
        <v>11</v>
      </c>
      <c r="D702" s="6" t="s">
        <v>56</v>
      </c>
      <c r="E702" s="6" t="s">
        <v>39</v>
      </c>
      <c r="F702" s="6" t="s">
        <v>27</v>
      </c>
      <c r="G702" s="7">
        <v>46229</v>
      </c>
      <c r="H702" s="6">
        <v>6</v>
      </c>
      <c r="I702" s="7">
        <v>46232</v>
      </c>
      <c r="J702" s="7">
        <f t="shared" si="31"/>
        <v>46235</v>
      </c>
      <c r="K702" s="8">
        <v>60</v>
      </c>
      <c r="L702" s="9">
        <f t="shared" si="30"/>
        <v>0</v>
      </c>
      <c r="M702" s="9" t="str" cm="1">
        <f t="array" ref="M702">_xlfn.IFS(L702&gt;=10,"HIGH",L702=0,"LOW",L702&lt;=9,"MEDIUM")</f>
        <v>LOW</v>
      </c>
      <c r="N702" s="9" t="str" cm="1">
        <f t="array" ref="N702">_xlfn.IFS(M702="HIGH",K702*L702,M702="MEDIUM",K702*L702,M702="LOW","NA")</f>
        <v>NA</v>
      </c>
      <c r="O702" s="18" t="str">
        <f t="shared" si="32"/>
        <v>cleared</v>
      </c>
    </row>
    <row r="703" spans="1:15" x14ac:dyDescent="0.25">
      <c r="A703" s="17">
        <v>699</v>
      </c>
      <c r="B703" s="6" t="s">
        <v>736</v>
      </c>
      <c r="C703" s="6" t="s">
        <v>11</v>
      </c>
      <c r="D703" s="6" t="s">
        <v>17</v>
      </c>
      <c r="E703" s="6" t="s">
        <v>44</v>
      </c>
      <c r="F703" s="6" t="s">
        <v>24</v>
      </c>
      <c r="G703" s="7">
        <v>46212</v>
      </c>
      <c r="H703" s="6">
        <v>6</v>
      </c>
      <c r="I703" s="6"/>
      <c r="J703" s="7">
        <f t="shared" si="31"/>
        <v>46218</v>
      </c>
      <c r="K703" s="8">
        <v>130</v>
      </c>
      <c r="L703" s="9">
        <f t="shared" si="30"/>
        <v>41</v>
      </c>
      <c r="M703" s="9" t="str" cm="1">
        <f t="array" ref="M703">_xlfn.IFS(L703&gt;=10,"HIGH",L703=0,"LOW",L703&lt;=9,"MEDIUM")</f>
        <v>HIGH</v>
      </c>
      <c r="N703" s="9" cm="1">
        <f t="array" ref="N703">_xlfn.IFS(M703="HIGH",K703*L703,M703="MEDIUM",K703*L703,M703="LOW","NA")</f>
        <v>5330</v>
      </c>
      <c r="O703" s="18" t="str">
        <f t="shared" si="32"/>
        <v>still in yard</v>
      </c>
    </row>
    <row r="704" spans="1:15" x14ac:dyDescent="0.25">
      <c r="A704" s="17">
        <v>700</v>
      </c>
      <c r="B704" s="6" t="s">
        <v>737</v>
      </c>
      <c r="C704" s="6" t="s">
        <v>11</v>
      </c>
      <c r="D704" s="6" t="s">
        <v>20</v>
      </c>
      <c r="E704" s="6" t="s">
        <v>39</v>
      </c>
      <c r="F704" s="6" t="s">
        <v>24</v>
      </c>
      <c r="G704" s="7">
        <v>46198</v>
      </c>
      <c r="H704" s="6">
        <v>4</v>
      </c>
      <c r="I704" s="7">
        <v>46199</v>
      </c>
      <c r="J704" s="7">
        <f t="shared" si="31"/>
        <v>46202</v>
      </c>
      <c r="K704" s="8">
        <v>75</v>
      </c>
      <c r="L704" s="9">
        <f t="shared" si="30"/>
        <v>0</v>
      </c>
      <c r="M704" s="9" t="str" cm="1">
        <f t="array" ref="M704">_xlfn.IFS(L704&gt;=10,"HIGH",L704=0,"LOW",L704&lt;=9,"MEDIUM")</f>
        <v>LOW</v>
      </c>
      <c r="N704" s="9" t="str" cm="1">
        <f t="array" ref="N704">_xlfn.IFS(M704="HIGH",K704*L704,M704="MEDIUM",K704*L704,M704="LOW","NA")</f>
        <v>NA</v>
      </c>
      <c r="O704" s="18" t="str">
        <f t="shared" si="32"/>
        <v>cleared</v>
      </c>
    </row>
    <row r="705" spans="1:15" x14ac:dyDescent="0.25">
      <c r="A705" s="17">
        <v>701</v>
      </c>
      <c r="B705" s="6" t="s">
        <v>738</v>
      </c>
      <c r="C705" s="6" t="s">
        <v>33</v>
      </c>
      <c r="D705" s="6" t="s">
        <v>56</v>
      </c>
      <c r="E705" s="6" t="s">
        <v>39</v>
      </c>
      <c r="F705" s="6" t="s">
        <v>27</v>
      </c>
      <c r="G705" s="7">
        <v>46224</v>
      </c>
      <c r="H705" s="6">
        <v>6</v>
      </c>
      <c r="I705" s="6"/>
      <c r="J705" s="7">
        <f t="shared" si="31"/>
        <v>46230</v>
      </c>
      <c r="K705" s="8">
        <v>75</v>
      </c>
      <c r="L705" s="9">
        <f t="shared" si="30"/>
        <v>29</v>
      </c>
      <c r="M705" s="9" t="str" cm="1">
        <f t="array" ref="M705">_xlfn.IFS(L705&gt;=10,"HIGH",L705=0,"LOW",L705&lt;=9,"MEDIUM")</f>
        <v>HIGH</v>
      </c>
      <c r="N705" s="9" cm="1">
        <f t="array" ref="N705">_xlfn.IFS(M705="HIGH",K705*L705,M705="MEDIUM",K705*L705,M705="LOW","NA")</f>
        <v>2175</v>
      </c>
      <c r="O705" s="18" t="str">
        <f t="shared" si="32"/>
        <v>still in yard</v>
      </c>
    </row>
    <row r="706" spans="1:15" x14ac:dyDescent="0.25">
      <c r="A706" s="17">
        <v>702</v>
      </c>
      <c r="B706" s="6" t="s">
        <v>739</v>
      </c>
      <c r="C706" s="6" t="s">
        <v>11</v>
      </c>
      <c r="D706" s="6" t="s">
        <v>49</v>
      </c>
      <c r="E706" s="6" t="s">
        <v>35</v>
      </c>
      <c r="F706" s="6" t="s">
        <v>24</v>
      </c>
      <c r="G706" s="7">
        <v>46205</v>
      </c>
      <c r="H706" s="6">
        <v>5</v>
      </c>
      <c r="I706" s="7">
        <v>46212</v>
      </c>
      <c r="J706" s="7">
        <f t="shared" si="31"/>
        <v>46210</v>
      </c>
      <c r="K706" s="8">
        <v>75</v>
      </c>
      <c r="L706" s="9">
        <f t="shared" si="30"/>
        <v>2</v>
      </c>
      <c r="M706" s="9" t="str" cm="1">
        <f t="array" ref="M706">_xlfn.IFS(L706&gt;=10,"HIGH",L706=0,"LOW",L706&lt;=9,"MEDIUM")</f>
        <v>MEDIUM</v>
      </c>
      <c r="N706" s="9" cm="1">
        <f t="array" ref="N706">_xlfn.IFS(M706="HIGH",K706*L706,M706="MEDIUM",K706*L706,M706="LOW","NA")</f>
        <v>150</v>
      </c>
      <c r="O706" s="18" t="str">
        <f t="shared" si="32"/>
        <v>cleared</v>
      </c>
    </row>
    <row r="707" spans="1:15" x14ac:dyDescent="0.25">
      <c r="A707" s="17">
        <v>703</v>
      </c>
      <c r="B707" s="6" t="s">
        <v>740</v>
      </c>
      <c r="C707" s="6" t="s">
        <v>11</v>
      </c>
      <c r="D707" s="6" t="s">
        <v>31</v>
      </c>
      <c r="E707" s="6" t="s">
        <v>44</v>
      </c>
      <c r="F707" s="6" t="s">
        <v>27</v>
      </c>
      <c r="G707" s="7">
        <v>46216</v>
      </c>
      <c r="H707" s="6">
        <v>4</v>
      </c>
      <c r="I707" s="7">
        <v>46219</v>
      </c>
      <c r="J707" s="7">
        <f t="shared" si="31"/>
        <v>46220</v>
      </c>
      <c r="K707" s="8">
        <v>60</v>
      </c>
      <c r="L707" s="9">
        <f t="shared" si="30"/>
        <v>0</v>
      </c>
      <c r="M707" s="9" t="str" cm="1">
        <f t="array" ref="M707">_xlfn.IFS(L707&gt;=10,"HIGH",L707=0,"LOW",L707&lt;=9,"MEDIUM")</f>
        <v>LOW</v>
      </c>
      <c r="N707" s="9" t="str" cm="1">
        <f t="array" ref="N707">_xlfn.IFS(M707="HIGH",K707*L707,M707="MEDIUM",K707*L707,M707="LOW","NA")</f>
        <v>NA</v>
      </c>
      <c r="O707" s="18" t="str">
        <f t="shared" si="32"/>
        <v>cleared</v>
      </c>
    </row>
    <row r="708" spans="1:15" x14ac:dyDescent="0.25">
      <c r="A708" s="17">
        <v>704</v>
      </c>
      <c r="B708" s="6" t="s">
        <v>741</v>
      </c>
      <c r="C708" s="6" t="s">
        <v>33</v>
      </c>
      <c r="D708" s="6" t="s">
        <v>49</v>
      </c>
      <c r="E708" s="6" t="s">
        <v>18</v>
      </c>
      <c r="F708" s="6" t="s">
        <v>27</v>
      </c>
      <c r="G708" s="7">
        <v>46211</v>
      </c>
      <c r="H708" s="6">
        <v>7</v>
      </c>
      <c r="I708" s="6"/>
      <c r="J708" s="7">
        <f t="shared" si="31"/>
        <v>46218</v>
      </c>
      <c r="K708" s="8">
        <v>90</v>
      </c>
      <c r="L708" s="9">
        <f t="shared" si="30"/>
        <v>41</v>
      </c>
      <c r="M708" s="9" t="str" cm="1">
        <f t="array" ref="M708">_xlfn.IFS(L708&gt;=10,"HIGH",L708=0,"LOW",L708&lt;=9,"MEDIUM")</f>
        <v>HIGH</v>
      </c>
      <c r="N708" s="9" cm="1">
        <f t="array" ref="N708">_xlfn.IFS(M708="HIGH",K708*L708,M708="MEDIUM",K708*L708,M708="LOW","NA")</f>
        <v>3690</v>
      </c>
      <c r="O708" s="18" t="str">
        <f t="shared" si="32"/>
        <v>still in yard</v>
      </c>
    </row>
    <row r="709" spans="1:15" x14ac:dyDescent="0.25">
      <c r="A709" s="17">
        <v>705</v>
      </c>
      <c r="B709" s="6" t="s">
        <v>742</v>
      </c>
      <c r="C709" s="6" t="s">
        <v>33</v>
      </c>
      <c r="D709" s="6" t="s">
        <v>17</v>
      </c>
      <c r="E709" s="6" t="s">
        <v>13</v>
      </c>
      <c r="F709" s="6" t="s">
        <v>24</v>
      </c>
      <c r="G709" s="7">
        <v>46256</v>
      </c>
      <c r="H709" s="6">
        <v>6</v>
      </c>
      <c r="I709" s="7">
        <v>46259</v>
      </c>
      <c r="J709" s="7">
        <f t="shared" si="31"/>
        <v>46262</v>
      </c>
      <c r="K709" s="8">
        <v>90</v>
      </c>
      <c r="L709" s="9">
        <f t="shared" ref="L709:L772" si="33">MAX(0, IF(I709="", $C$2-J709, I709-J709))</f>
        <v>0</v>
      </c>
      <c r="M709" s="9" t="str" cm="1">
        <f t="array" ref="M709">_xlfn.IFS(L709&gt;=10,"HIGH",L709=0,"LOW",L709&lt;=9,"MEDIUM")</f>
        <v>LOW</v>
      </c>
      <c r="N709" s="9" t="str" cm="1">
        <f t="array" ref="N709">_xlfn.IFS(M709="HIGH",K709*L709,M709="MEDIUM",K709*L709,M709="LOW","NA")</f>
        <v>NA</v>
      </c>
      <c r="O709" s="18" t="str">
        <f t="shared" si="32"/>
        <v>cleared</v>
      </c>
    </row>
    <row r="710" spans="1:15" x14ac:dyDescent="0.25">
      <c r="A710" s="17">
        <v>706</v>
      </c>
      <c r="B710" s="6" t="s">
        <v>743</v>
      </c>
      <c r="C710" s="6" t="s">
        <v>16</v>
      </c>
      <c r="D710" s="6" t="s">
        <v>34</v>
      </c>
      <c r="E710" s="6" t="s">
        <v>39</v>
      </c>
      <c r="F710" s="6" t="s">
        <v>27</v>
      </c>
      <c r="G710" s="7">
        <v>46172</v>
      </c>
      <c r="H710" s="6">
        <v>4</v>
      </c>
      <c r="I710" s="7">
        <v>46176</v>
      </c>
      <c r="J710" s="7">
        <f t="shared" ref="J710:J773" si="34">G710+H710</f>
        <v>46176</v>
      </c>
      <c r="K710" s="8">
        <v>75</v>
      </c>
      <c r="L710" s="9">
        <f t="shared" si="33"/>
        <v>0</v>
      </c>
      <c r="M710" s="9" t="str" cm="1">
        <f t="array" ref="M710">_xlfn.IFS(L710&gt;=10,"HIGH",L710=0,"LOW",L710&lt;=9,"MEDIUM")</f>
        <v>LOW</v>
      </c>
      <c r="N710" s="9" t="str" cm="1">
        <f t="array" ref="N710">_xlfn.IFS(M710="HIGH",K710*L710,M710="MEDIUM",K710*L710,M710="LOW","NA")</f>
        <v>NA</v>
      </c>
      <c r="O710" s="18" t="str">
        <f t="shared" ref="O710:O773" si="35">IF(I710="","still in yard","cleared")</f>
        <v>cleared</v>
      </c>
    </row>
    <row r="711" spans="1:15" x14ac:dyDescent="0.25">
      <c r="A711" s="17">
        <v>707</v>
      </c>
      <c r="B711" s="6" t="s">
        <v>744</v>
      </c>
      <c r="C711" s="6" t="s">
        <v>37</v>
      </c>
      <c r="D711" s="6" t="s">
        <v>54</v>
      </c>
      <c r="E711" s="6" t="s">
        <v>21</v>
      </c>
      <c r="F711" s="6" t="s">
        <v>27</v>
      </c>
      <c r="G711" s="7">
        <v>46221</v>
      </c>
      <c r="H711" s="6">
        <v>4</v>
      </c>
      <c r="I711" s="6"/>
      <c r="J711" s="7">
        <f t="shared" si="34"/>
        <v>46225</v>
      </c>
      <c r="K711" s="8">
        <v>75</v>
      </c>
      <c r="L711" s="9">
        <f t="shared" si="33"/>
        <v>34</v>
      </c>
      <c r="M711" s="9" t="str" cm="1">
        <f t="array" ref="M711">_xlfn.IFS(L711&gt;=10,"HIGH",L711=0,"LOW",L711&lt;=9,"MEDIUM")</f>
        <v>HIGH</v>
      </c>
      <c r="N711" s="9" cm="1">
        <f t="array" ref="N711">_xlfn.IFS(M711="HIGH",K711*L711,M711="MEDIUM",K711*L711,M711="LOW","NA")</f>
        <v>2550</v>
      </c>
      <c r="O711" s="18" t="str">
        <f t="shared" si="35"/>
        <v>still in yard</v>
      </c>
    </row>
    <row r="712" spans="1:15" x14ac:dyDescent="0.25">
      <c r="A712" s="17">
        <v>708</v>
      </c>
      <c r="B712" s="6" t="s">
        <v>745</v>
      </c>
      <c r="C712" s="6" t="s">
        <v>37</v>
      </c>
      <c r="D712" s="6" t="s">
        <v>41</v>
      </c>
      <c r="E712" s="6" t="s">
        <v>21</v>
      </c>
      <c r="F712" s="6" t="s">
        <v>24</v>
      </c>
      <c r="G712" s="7">
        <v>46243</v>
      </c>
      <c r="H712" s="6">
        <v>4</v>
      </c>
      <c r="I712" s="7">
        <v>46244</v>
      </c>
      <c r="J712" s="7">
        <f t="shared" si="34"/>
        <v>46247</v>
      </c>
      <c r="K712" s="8">
        <v>60</v>
      </c>
      <c r="L712" s="9">
        <f t="shared" si="33"/>
        <v>0</v>
      </c>
      <c r="M712" s="9" t="str" cm="1">
        <f t="array" ref="M712">_xlfn.IFS(L712&gt;=10,"HIGH",L712=0,"LOW",L712&lt;=9,"MEDIUM")</f>
        <v>LOW</v>
      </c>
      <c r="N712" s="9" t="str" cm="1">
        <f t="array" ref="N712">_xlfn.IFS(M712="HIGH",K712*L712,M712="MEDIUM",K712*L712,M712="LOW","NA")</f>
        <v>NA</v>
      </c>
      <c r="O712" s="18" t="str">
        <f t="shared" si="35"/>
        <v>cleared</v>
      </c>
    </row>
    <row r="713" spans="1:15" x14ac:dyDescent="0.25">
      <c r="A713" s="17">
        <v>709</v>
      </c>
      <c r="B713" s="6" t="s">
        <v>746</v>
      </c>
      <c r="C713" s="6" t="s">
        <v>33</v>
      </c>
      <c r="D713" s="6" t="s">
        <v>56</v>
      </c>
      <c r="E713" s="6" t="s">
        <v>18</v>
      </c>
      <c r="F713" s="6" t="s">
        <v>27</v>
      </c>
      <c r="G713" s="7">
        <v>46202</v>
      </c>
      <c r="H713" s="6">
        <v>5</v>
      </c>
      <c r="I713" s="7">
        <v>46206</v>
      </c>
      <c r="J713" s="7">
        <f t="shared" si="34"/>
        <v>46207</v>
      </c>
      <c r="K713" s="8">
        <v>90</v>
      </c>
      <c r="L713" s="9">
        <f t="shared" si="33"/>
        <v>0</v>
      </c>
      <c r="M713" s="9" t="str" cm="1">
        <f t="array" ref="M713">_xlfn.IFS(L713&gt;=10,"HIGH",L713=0,"LOW",L713&lt;=9,"MEDIUM")</f>
        <v>LOW</v>
      </c>
      <c r="N713" s="9" t="str" cm="1">
        <f t="array" ref="N713">_xlfn.IFS(M713="HIGH",K713*L713,M713="MEDIUM",K713*L713,M713="LOW","NA")</f>
        <v>NA</v>
      </c>
      <c r="O713" s="18" t="str">
        <f t="shared" si="35"/>
        <v>cleared</v>
      </c>
    </row>
    <row r="714" spans="1:15" x14ac:dyDescent="0.25">
      <c r="A714" s="17">
        <v>710</v>
      </c>
      <c r="B714" s="6" t="s">
        <v>747</v>
      </c>
      <c r="C714" s="6" t="s">
        <v>16</v>
      </c>
      <c r="D714" s="6" t="s">
        <v>20</v>
      </c>
      <c r="E714" s="6" t="s">
        <v>42</v>
      </c>
      <c r="F714" s="6" t="s">
        <v>24</v>
      </c>
      <c r="G714" s="7">
        <v>46207</v>
      </c>
      <c r="H714" s="6">
        <v>5</v>
      </c>
      <c r="I714" s="7">
        <v>46208</v>
      </c>
      <c r="J714" s="7">
        <f t="shared" si="34"/>
        <v>46212</v>
      </c>
      <c r="K714" s="8">
        <v>75</v>
      </c>
      <c r="L714" s="9">
        <f t="shared" si="33"/>
        <v>0</v>
      </c>
      <c r="M714" s="9" t="str" cm="1">
        <f t="array" ref="M714">_xlfn.IFS(L714&gt;=10,"HIGH",L714=0,"LOW",L714&lt;=9,"MEDIUM")</f>
        <v>LOW</v>
      </c>
      <c r="N714" s="9" t="str" cm="1">
        <f t="array" ref="N714">_xlfn.IFS(M714="HIGH",K714*L714,M714="MEDIUM",K714*L714,M714="LOW","NA")</f>
        <v>NA</v>
      </c>
      <c r="O714" s="18" t="str">
        <f t="shared" si="35"/>
        <v>cleared</v>
      </c>
    </row>
    <row r="715" spans="1:15" x14ac:dyDescent="0.25">
      <c r="A715" s="17">
        <v>711</v>
      </c>
      <c r="B715" s="6" t="s">
        <v>748</v>
      </c>
      <c r="C715" s="6" t="s">
        <v>33</v>
      </c>
      <c r="D715" s="6" t="s">
        <v>54</v>
      </c>
      <c r="E715" s="6" t="s">
        <v>61</v>
      </c>
      <c r="F715" s="6" t="s">
        <v>24</v>
      </c>
      <c r="G715" s="7">
        <v>46224</v>
      </c>
      <c r="H715" s="6">
        <v>6</v>
      </c>
      <c r="I715" s="7">
        <v>46231</v>
      </c>
      <c r="J715" s="7">
        <f t="shared" si="34"/>
        <v>46230</v>
      </c>
      <c r="K715" s="8">
        <v>110</v>
      </c>
      <c r="L715" s="9">
        <f t="shared" si="33"/>
        <v>1</v>
      </c>
      <c r="M715" s="9" t="str" cm="1">
        <f t="array" ref="M715">_xlfn.IFS(L715&gt;=10,"HIGH",L715=0,"LOW",L715&lt;=9,"MEDIUM")</f>
        <v>MEDIUM</v>
      </c>
      <c r="N715" s="9" cm="1">
        <f t="array" ref="N715">_xlfn.IFS(M715="HIGH",K715*L715,M715="MEDIUM",K715*L715,M715="LOW","NA")</f>
        <v>110</v>
      </c>
      <c r="O715" s="18" t="str">
        <f t="shared" si="35"/>
        <v>cleared</v>
      </c>
    </row>
    <row r="716" spans="1:15" x14ac:dyDescent="0.25">
      <c r="A716" s="17">
        <v>712</v>
      </c>
      <c r="B716" s="6" t="s">
        <v>749</v>
      </c>
      <c r="C716" s="6" t="s">
        <v>33</v>
      </c>
      <c r="D716" s="6" t="s">
        <v>54</v>
      </c>
      <c r="E716" s="6" t="s">
        <v>44</v>
      </c>
      <c r="F716" s="6" t="s">
        <v>29</v>
      </c>
      <c r="G716" s="7">
        <v>46199</v>
      </c>
      <c r="H716" s="6">
        <v>3</v>
      </c>
      <c r="I716" s="7">
        <v>46204</v>
      </c>
      <c r="J716" s="7">
        <f t="shared" si="34"/>
        <v>46202</v>
      </c>
      <c r="K716" s="8">
        <v>150</v>
      </c>
      <c r="L716" s="9">
        <f t="shared" si="33"/>
        <v>2</v>
      </c>
      <c r="M716" s="9" t="str" cm="1">
        <f t="array" ref="M716">_xlfn.IFS(L716&gt;=10,"HIGH",L716=0,"LOW",L716&lt;=9,"MEDIUM")</f>
        <v>MEDIUM</v>
      </c>
      <c r="N716" s="9" cm="1">
        <f t="array" ref="N716">_xlfn.IFS(M716="HIGH",K716*L716,M716="MEDIUM",K716*L716,M716="LOW","NA")</f>
        <v>300</v>
      </c>
      <c r="O716" s="18" t="str">
        <f t="shared" si="35"/>
        <v>cleared</v>
      </c>
    </row>
    <row r="717" spans="1:15" x14ac:dyDescent="0.25">
      <c r="A717" s="17">
        <v>713</v>
      </c>
      <c r="B717" s="6" t="s">
        <v>750</v>
      </c>
      <c r="C717" s="6" t="s">
        <v>33</v>
      </c>
      <c r="D717" s="6" t="s">
        <v>12</v>
      </c>
      <c r="E717" s="6" t="s">
        <v>42</v>
      </c>
      <c r="F717" s="6" t="s">
        <v>24</v>
      </c>
      <c r="G717" s="7">
        <v>46202</v>
      </c>
      <c r="H717" s="6">
        <v>4</v>
      </c>
      <c r="I717" s="7">
        <v>46210</v>
      </c>
      <c r="J717" s="7">
        <f t="shared" si="34"/>
        <v>46206</v>
      </c>
      <c r="K717" s="8">
        <v>75</v>
      </c>
      <c r="L717" s="9">
        <f t="shared" si="33"/>
        <v>4</v>
      </c>
      <c r="M717" s="9" t="str" cm="1">
        <f t="array" ref="M717">_xlfn.IFS(L717&gt;=10,"HIGH",L717=0,"LOW",L717&lt;=9,"MEDIUM")</f>
        <v>MEDIUM</v>
      </c>
      <c r="N717" s="9" cm="1">
        <f t="array" ref="N717">_xlfn.IFS(M717="HIGH",K717*L717,M717="MEDIUM",K717*L717,M717="LOW","NA")</f>
        <v>300</v>
      </c>
      <c r="O717" s="18" t="str">
        <f t="shared" si="35"/>
        <v>cleared</v>
      </c>
    </row>
    <row r="718" spans="1:15" x14ac:dyDescent="0.25">
      <c r="A718" s="17">
        <v>714</v>
      </c>
      <c r="B718" s="6" t="s">
        <v>751</v>
      </c>
      <c r="C718" s="6" t="s">
        <v>16</v>
      </c>
      <c r="D718" s="6" t="s">
        <v>56</v>
      </c>
      <c r="E718" s="6" t="s">
        <v>42</v>
      </c>
      <c r="F718" s="6" t="s">
        <v>14</v>
      </c>
      <c r="G718" s="7">
        <v>46235</v>
      </c>
      <c r="H718" s="6">
        <v>5</v>
      </c>
      <c r="I718" s="6"/>
      <c r="J718" s="7">
        <f t="shared" si="34"/>
        <v>46240</v>
      </c>
      <c r="K718" s="8">
        <v>110</v>
      </c>
      <c r="L718" s="9">
        <f t="shared" si="33"/>
        <v>19</v>
      </c>
      <c r="M718" s="9" t="str" cm="1">
        <f t="array" ref="M718">_xlfn.IFS(L718&gt;=10,"HIGH",L718=0,"LOW",L718&lt;=9,"MEDIUM")</f>
        <v>HIGH</v>
      </c>
      <c r="N718" s="9" cm="1">
        <f t="array" ref="N718">_xlfn.IFS(M718="HIGH",K718*L718,M718="MEDIUM",K718*L718,M718="LOW","NA")</f>
        <v>2090</v>
      </c>
      <c r="O718" s="18" t="str">
        <f t="shared" si="35"/>
        <v>still in yard</v>
      </c>
    </row>
    <row r="719" spans="1:15" x14ac:dyDescent="0.25">
      <c r="A719" s="17">
        <v>715</v>
      </c>
      <c r="B719" s="6" t="s">
        <v>752</v>
      </c>
      <c r="C719" s="6" t="s">
        <v>33</v>
      </c>
      <c r="D719" s="6" t="s">
        <v>31</v>
      </c>
      <c r="E719" s="6" t="s">
        <v>39</v>
      </c>
      <c r="F719" s="6" t="s">
        <v>24</v>
      </c>
      <c r="G719" s="7">
        <v>46237</v>
      </c>
      <c r="H719" s="6">
        <v>4</v>
      </c>
      <c r="I719" s="7">
        <v>46238</v>
      </c>
      <c r="J719" s="7">
        <f t="shared" si="34"/>
        <v>46241</v>
      </c>
      <c r="K719" s="8">
        <v>130</v>
      </c>
      <c r="L719" s="9">
        <f t="shared" si="33"/>
        <v>0</v>
      </c>
      <c r="M719" s="9" t="str" cm="1">
        <f t="array" ref="M719">_xlfn.IFS(L719&gt;=10,"HIGH",L719=0,"LOW",L719&lt;=9,"MEDIUM")</f>
        <v>LOW</v>
      </c>
      <c r="N719" s="9" t="str" cm="1">
        <f t="array" ref="N719">_xlfn.IFS(M719="HIGH",K719*L719,M719="MEDIUM",K719*L719,M719="LOW","NA")</f>
        <v>NA</v>
      </c>
      <c r="O719" s="18" t="str">
        <f t="shared" si="35"/>
        <v>cleared</v>
      </c>
    </row>
    <row r="720" spans="1:15" x14ac:dyDescent="0.25">
      <c r="A720" s="17">
        <v>716</v>
      </c>
      <c r="B720" s="6" t="s">
        <v>753</v>
      </c>
      <c r="C720" s="6" t="s">
        <v>37</v>
      </c>
      <c r="D720" s="6" t="s">
        <v>20</v>
      </c>
      <c r="E720" s="6" t="s">
        <v>13</v>
      </c>
      <c r="F720" s="6" t="s">
        <v>24</v>
      </c>
      <c r="G720" s="7">
        <v>46216</v>
      </c>
      <c r="H720" s="6">
        <v>7</v>
      </c>
      <c r="I720" s="7">
        <v>46223</v>
      </c>
      <c r="J720" s="7">
        <f t="shared" si="34"/>
        <v>46223</v>
      </c>
      <c r="K720" s="8">
        <v>130</v>
      </c>
      <c r="L720" s="9">
        <f t="shared" si="33"/>
        <v>0</v>
      </c>
      <c r="M720" s="9" t="str" cm="1">
        <f t="array" ref="M720">_xlfn.IFS(L720&gt;=10,"HIGH",L720=0,"LOW",L720&lt;=9,"MEDIUM")</f>
        <v>LOW</v>
      </c>
      <c r="N720" s="9" t="str" cm="1">
        <f t="array" ref="N720">_xlfn.IFS(M720="HIGH",K720*L720,M720="MEDIUM",K720*L720,M720="LOW","NA")</f>
        <v>NA</v>
      </c>
      <c r="O720" s="18" t="str">
        <f t="shared" si="35"/>
        <v>cleared</v>
      </c>
    </row>
    <row r="721" spans="1:15" x14ac:dyDescent="0.25">
      <c r="A721" s="17">
        <v>717</v>
      </c>
      <c r="B721" s="6" t="s">
        <v>754</v>
      </c>
      <c r="C721" s="6" t="s">
        <v>11</v>
      </c>
      <c r="D721" s="6" t="s">
        <v>31</v>
      </c>
      <c r="E721" s="6" t="s">
        <v>42</v>
      </c>
      <c r="F721" s="6" t="s">
        <v>24</v>
      </c>
      <c r="G721" s="7">
        <v>46244</v>
      </c>
      <c r="H721" s="6">
        <v>5</v>
      </c>
      <c r="I721" s="7">
        <v>46245</v>
      </c>
      <c r="J721" s="7">
        <f t="shared" si="34"/>
        <v>46249</v>
      </c>
      <c r="K721" s="8">
        <v>90</v>
      </c>
      <c r="L721" s="9">
        <f t="shared" si="33"/>
        <v>0</v>
      </c>
      <c r="M721" s="9" t="str" cm="1">
        <f t="array" ref="M721">_xlfn.IFS(L721&gt;=10,"HIGH",L721=0,"LOW",L721&lt;=9,"MEDIUM")</f>
        <v>LOW</v>
      </c>
      <c r="N721" s="9" t="str" cm="1">
        <f t="array" ref="N721">_xlfn.IFS(M721="HIGH",K721*L721,M721="MEDIUM",K721*L721,M721="LOW","NA")</f>
        <v>NA</v>
      </c>
      <c r="O721" s="18" t="str">
        <f t="shared" si="35"/>
        <v>cleared</v>
      </c>
    </row>
    <row r="722" spans="1:15" x14ac:dyDescent="0.25">
      <c r="A722" s="17">
        <v>718</v>
      </c>
      <c r="B722" s="6" t="s">
        <v>755</v>
      </c>
      <c r="C722" s="6" t="s">
        <v>16</v>
      </c>
      <c r="D722" s="6" t="s">
        <v>34</v>
      </c>
      <c r="E722" s="6" t="s">
        <v>23</v>
      </c>
      <c r="F722" s="6" t="s">
        <v>29</v>
      </c>
      <c r="G722" s="7">
        <v>46256</v>
      </c>
      <c r="H722" s="6">
        <v>4</v>
      </c>
      <c r="I722" s="6"/>
      <c r="J722" s="7">
        <f t="shared" si="34"/>
        <v>46260</v>
      </c>
      <c r="K722" s="8">
        <v>120</v>
      </c>
      <c r="L722" s="9">
        <f t="shared" si="33"/>
        <v>0</v>
      </c>
      <c r="M722" s="9" t="str" cm="1">
        <f t="array" ref="M722">_xlfn.IFS(L722&gt;=10,"HIGH",L722=0,"LOW",L722&lt;=9,"MEDIUM")</f>
        <v>LOW</v>
      </c>
      <c r="N722" s="9" t="str" cm="1">
        <f t="array" ref="N722">_xlfn.IFS(M722="HIGH",K722*L722,M722="MEDIUM",K722*L722,M722="LOW","NA")</f>
        <v>NA</v>
      </c>
      <c r="O722" s="18" t="str">
        <f t="shared" si="35"/>
        <v>still in yard</v>
      </c>
    </row>
    <row r="723" spans="1:15" x14ac:dyDescent="0.25">
      <c r="A723" s="17">
        <v>719</v>
      </c>
      <c r="B723" s="6" t="s">
        <v>756</v>
      </c>
      <c r="C723" s="6" t="s">
        <v>37</v>
      </c>
      <c r="D723" s="6" t="s">
        <v>20</v>
      </c>
      <c r="E723" s="6" t="s">
        <v>61</v>
      </c>
      <c r="F723" s="6" t="s">
        <v>29</v>
      </c>
      <c r="G723" s="7">
        <v>46212</v>
      </c>
      <c r="H723" s="6">
        <v>4</v>
      </c>
      <c r="I723" s="6"/>
      <c r="J723" s="7">
        <f t="shared" si="34"/>
        <v>46216</v>
      </c>
      <c r="K723" s="8">
        <v>120</v>
      </c>
      <c r="L723" s="9">
        <f t="shared" si="33"/>
        <v>43</v>
      </c>
      <c r="M723" s="9" t="str" cm="1">
        <f t="array" ref="M723">_xlfn.IFS(L723&gt;=10,"HIGH",L723=0,"LOW",L723&lt;=9,"MEDIUM")</f>
        <v>HIGH</v>
      </c>
      <c r="N723" s="9" cm="1">
        <f t="array" ref="N723">_xlfn.IFS(M723="HIGH",K723*L723,M723="MEDIUM",K723*L723,M723="LOW","NA")</f>
        <v>5160</v>
      </c>
      <c r="O723" s="18" t="str">
        <f t="shared" si="35"/>
        <v>still in yard</v>
      </c>
    </row>
    <row r="724" spans="1:15" x14ac:dyDescent="0.25">
      <c r="A724" s="17">
        <v>720</v>
      </c>
      <c r="B724" s="6" t="s">
        <v>757</v>
      </c>
      <c r="C724" s="6" t="s">
        <v>33</v>
      </c>
      <c r="D724" s="6" t="s">
        <v>12</v>
      </c>
      <c r="E724" s="6" t="s">
        <v>39</v>
      </c>
      <c r="F724" s="6" t="s">
        <v>14</v>
      </c>
      <c r="G724" s="7">
        <v>46255</v>
      </c>
      <c r="H724" s="6">
        <v>6</v>
      </c>
      <c r="I724" s="6"/>
      <c r="J724" s="7">
        <f t="shared" si="34"/>
        <v>46261</v>
      </c>
      <c r="K724" s="8">
        <v>90</v>
      </c>
      <c r="L724" s="9">
        <f t="shared" si="33"/>
        <v>0</v>
      </c>
      <c r="M724" s="9" t="str" cm="1">
        <f t="array" ref="M724">_xlfn.IFS(L724&gt;=10,"HIGH",L724=0,"LOW",L724&lt;=9,"MEDIUM")</f>
        <v>LOW</v>
      </c>
      <c r="N724" s="9" t="str" cm="1">
        <f t="array" ref="N724">_xlfn.IFS(M724="HIGH",K724*L724,M724="MEDIUM",K724*L724,M724="LOW","NA")</f>
        <v>NA</v>
      </c>
      <c r="O724" s="18" t="str">
        <f t="shared" si="35"/>
        <v>still in yard</v>
      </c>
    </row>
    <row r="725" spans="1:15" x14ac:dyDescent="0.25">
      <c r="A725" s="17">
        <v>721</v>
      </c>
      <c r="B725" s="6" t="s">
        <v>758</v>
      </c>
      <c r="C725" s="6" t="s">
        <v>33</v>
      </c>
      <c r="D725" s="6" t="s">
        <v>54</v>
      </c>
      <c r="E725" s="6" t="s">
        <v>35</v>
      </c>
      <c r="F725" s="6" t="s">
        <v>29</v>
      </c>
      <c r="G725" s="7">
        <v>46233</v>
      </c>
      <c r="H725" s="6">
        <v>4</v>
      </c>
      <c r="I725" s="6"/>
      <c r="J725" s="7">
        <f t="shared" si="34"/>
        <v>46237</v>
      </c>
      <c r="K725" s="8">
        <v>180</v>
      </c>
      <c r="L725" s="9">
        <f t="shared" si="33"/>
        <v>22</v>
      </c>
      <c r="M725" s="9" t="str" cm="1">
        <f t="array" ref="M725">_xlfn.IFS(L725&gt;=10,"HIGH",L725=0,"LOW",L725&lt;=9,"MEDIUM")</f>
        <v>HIGH</v>
      </c>
      <c r="N725" s="9" cm="1">
        <f t="array" ref="N725">_xlfn.IFS(M725="HIGH",K725*L725,M725="MEDIUM",K725*L725,M725="LOW","NA")</f>
        <v>3960</v>
      </c>
      <c r="O725" s="18" t="str">
        <f t="shared" si="35"/>
        <v>still in yard</v>
      </c>
    </row>
    <row r="726" spans="1:15" x14ac:dyDescent="0.25">
      <c r="A726" s="17">
        <v>722</v>
      </c>
      <c r="B726" s="6" t="s">
        <v>759</v>
      </c>
      <c r="C726" s="6" t="s">
        <v>37</v>
      </c>
      <c r="D726" s="6" t="s">
        <v>12</v>
      </c>
      <c r="E726" s="6" t="s">
        <v>46</v>
      </c>
      <c r="F726" s="6" t="s">
        <v>27</v>
      </c>
      <c r="G726" s="7">
        <v>46169</v>
      </c>
      <c r="H726" s="6">
        <v>7</v>
      </c>
      <c r="I726" s="7">
        <v>46175</v>
      </c>
      <c r="J726" s="7">
        <f t="shared" si="34"/>
        <v>46176</v>
      </c>
      <c r="K726" s="8">
        <v>130</v>
      </c>
      <c r="L726" s="9">
        <f t="shared" si="33"/>
        <v>0</v>
      </c>
      <c r="M726" s="9" t="str" cm="1">
        <f t="array" ref="M726">_xlfn.IFS(L726&gt;=10,"HIGH",L726=0,"LOW",L726&lt;=9,"MEDIUM")</f>
        <v>LOW</v>
      </c>
      <c r="N726" s="9" t="str" cm="1">
        <f t="array" ref="N726">_xlfn.IFS(M726="HIGH",K726*L726,M726="MEDIUM",K726*L726,M726="LOW","NA")</f>
        <v>NA</v>
      </c>
      <c r="O726" s="18" t="str">
        <f t="shared" si="35"/>
        <v>cleared</v>
      </c>
    </row>
    <row r="727" spans="1:15" x14ac:dyDescent="0.25">
      <c r="A727" s="17">
        <v>723</v>
      </c>
      <c r="B727" s="6" t="s">
        <v>760</v>
      </c>
      <c r="C727" s="6" t="s">
        <v>11</v>
      </c>
      <c r="D727" s="6" t="s">
        <v>31</v>
      </c>
      <c r="E727" s="6" t="s">
        <v>61</v>
      </c>
      <c r="F727" s="6" t="s">
        <v>27</v>
      </c>
      <c r="G727" s="7">
        <v>46197</v>
      </c>
      <c r="H727" s="6">
        <v>7</v>
      </c>
      <c r="I727" s="6"/>
      <c r="J727" s="7">
        <f t="shared" si="34"/>
        <v>46204</v>
      </c>
      <c r="K727" s="8">
        <v>90</v>
      </c>
      <c r="L727" s="9">
        <f t="shared" si="33"/>
        <v>55</v>
      </c>
      <c r="M727" s="9" t="str" cm="1">
        <f t="array" ref="M727">_xlfn.IFS(L727&gt;=10,"HIGH",L727=0,"LOW",L727&lt;=9,"MEDIUM")</f>
        <v>HIGH</v>
      </c>
      <c r="N727" s="9" cm="1">
        <f t="array" ref="N727">_xlfn.IFS(M727="HIGH",K727*L727,M727="MEDIUM",K727*L727,M727="LOW","NA")</f>
        <v>4950</v>
      </c>
      <c r="O727" s="18" t="str">
        <f t="shared" si="35"/>
        <v>still in yard</v>
      </c>
    </row>
    <row r="728" spans="1:15" x14ac:dyDescent="0.25">
      <c r="A728" s="17">
        <v>724</v>
      </c>
      <c r="B728" s="6" t="s">
        <v>761</v>
      </c>
      <c r="C728" s="6" t="s">
        <v>11</v>
      </c>
      <c r="D728" s="6" t="s">
        <v>31</v>
      </c>
      <c r="E728" s="6" t="s">
        <v>18</v>
      </c>
      <c r="F728" s="6" t="s">
        <v>27</v>
      </c>
      <c r="G728" s="7">
        <v>46173</v>
      </c>
      <c r="H728" s="6">
        <v>6</v>
      </c>
      <c r="I728" s="7">
        <v>46178</v>
      </c>
      <c r="J728" s="7">
        <f t="shared" si="34"/>
        <v>46179</v>
      </c>
      <c r="K728" s="8">
        <v>90</v>
      </c>
      <c r="L728" s="9">
        <f t="shared" si="33"/>
        <v>0</v>
      </c>
      <c r="M728" s="9" t="str" cm="1">
        <f t="array" ref="M728">_xlfn.IFS(L728&gt;=10,"HIGH",L728=0,"LOW",L728&lt;=9,"MEDIUM")</f>
        <v>LOW</v>
      </c>
      <c r="N728" s="9" t="str" cm="1">
        <f t="array" ref="N728">_xlfn.IFS(M728="HIGH",K728*L728,M728="MEDIUM",K728*L728,M728="LOW","NA")</f>
        <v>NA</v>
      </c>
      <c r="O728" s="18" t="str">
        <f t="shared" si="35"/>
        <v>cleared</v>
      </c>
    </row>
    <row r="729" spans="1:15" x14ac:dyDescent="0.25">
      <c r="A729" s="17">
        <v>725</v>
      </c>
      <c r="B729" s="6" t="s">
        <v>762</v>
      </c>
      <c r="C729" s="6" t="s">
        <v>33</v>
      </c>
      <c r="D729" s="6" t="s">
        <v>41</v>
      </c>
      <c r="E729" s="6" t="s">
        <v>61</v>
      </c>
      <c r="F729" s="6" t="s">
        <v>27</v>
      </c>
      <c r="G729" s="7">
        <v>46251</v>
      </c>
      <c r="H729" s="6">
        <v>4</v>
      </c>
      <c r="I729" s="6"/>
      <c r="J729" s="7">
        <f t="shared" si="34"/>
        <v>46255</v>
      </c>
      <c r="K729" s="8">
        <v>130</v>
      </c>
      <c r="L729" s="9">
        <f t="shared" si="33"/>
        <v>4</v>
      </c>
      <c r="M729" s="9" t="str" cm="1">
        <f t="array" ref="M729">_xlfn.IFS(L729&gt;=10,"HIGH",L729=0,"LOW",L729&lt;=9,"MEDIUM")</f>
        <v>MEDIUM</v>
      </c>
      <c r="N729" s="9" cm="1">
        <f t="array" ref="N729">_xlfn.IFS(M729="HIGH",K729*L729,M729="MEDIUM",K729*L729,M729="LOW","NA")</f>
        <v>520</v>
      </c>
      <c r="O729" s="18" t="str">
        <f t="shared" si="35"/>
        <v>still in yard</v>
      </c>
    </row>
    <row r="730" spans="1:15" x14ac:dyDescent="0.25">
      <c r="A730" s="17">
        <v>726</v>
      </c>
      <c r="B730" s="6" t="s">
        <v>763</v>
      </c>
      <c r="C730" s="6" t="s">
        <v>16</v>
      </c>
      <c r="D730" s="6" t="s">
        <v>26</v>
      </c>
      <c r="E730" s="6" t="s">
        <v>61</v>
      </c>
      <c r="F730" s="6" t="s">
        <v>27</v>
      </c>
      <c r="G730" s="7">
        <v>46224</v>
      </c>
      <c r="H730" s="6">
        <v>4</v>
      </c>
      <c r="I730" s="6"/>
      <c r="J730" s="7">
        <f t="shared" si="34"/>
        <v>46228</v>
      </c>
      <c r="K730" s="8">
        <v>130</v>
      </c>
      <c r="L730" s="9">
        <f t="shared" si="33"/>
        <v>31</v>
      </c>
      <c r="M730" s="9" t="str" cm="1">
        <f t="array" ref="M730">_xlfn.IFS(L730&gt;=10,"HIGH",L730=0,"LOW",L730&lt;=9,"MEDIUM")</f>
        <v>HIGH</v>
      </c>
      <c r="N730" s="9" cm="1">
        <f t="array" ref="N730">_xlfn.IFS(M730="HIGH",K730*L730,M730="MEDIUM",K730*L730,M730="LOW","NA")</f>
        <v>4030</v>
      </c>
      <c r="O730" s="18" t="str">
        <f t="shared" si="35"/>
        <v>still in yard</v>
      </c>
    </row>
    <row r="731" spans="1:15" x14ac:dyDescent="0.25">
      <c r="A731" s="17">
        <v>727</v>
      </c>
      <c r="B731" s="6" t="s">
        <v>764</v>
      </c>
      <c r="C731" s="6" t="s">
        <v>16</v>
      </c>
      <c r="D731" s="6" t="s">
        <v>54</v>
      </c>
      <c r="E731" s="6" t="s">
        <v>21</v>
      </c>
      <c r="F731" s="6" t="s">
        <v>27</v>
      </c>
      <c r="G731" s="7">
        <v>46202</v>
      </c>
      <c r="H731" s="6">
        <v>4</v>
      </c>
      <c r="I731" s="7">
        <v>46207</v>
      </c>
      <c r="J731" s="7">
        <f t="shared" si="34"/>
        <v>46206</v>
      </c>
      <c r="K731" s="8">
        <v>110</v>
      </c>
      <c r="L731" s="9">
        <f t="shared" si="33"/>
        <v>1</v>
      </c>
      <c r="M731" s="9" t="str" cm="1">
        <f t="array" ref="M731">_xlfn.IFS(L731&gt;=10,"HIGH",L731=0,"LOW",L731&lt;=9,"MEDIUM")</f>
        <v>MEDIUM</v>
      </c>
      <c r="N731" s="9" cm="1">
        <f t="array" ref="N731">_xlfn.IFS(M731="HIGH",K731*L731,M731="MEDIUM",K731*L731,M731="LOW","NA")</f>
        <v>110</v>
      </c>
      <c r="O731" s="18" t="str">
        <f t="shared" si="35"/>
        <v>cleared</v>
      </c>
    </row>
    <row r="732" spans="1:15" x14ac:dyDescent="0.25">
      <c r="A732" s="17">
        <v>728</v>
      </c>
      <c r="B732" s="6" t="s">
        <v>765</v>
      </c>
      <c r="C732" s="6" t="s">
        <v>37</v>
      </c>
      <c r="D732" s="6" t="s">
        <v>12</v>
      </c>
      <c r="E732" s="6" t="s">
        <v>18</v>
      </c>
      <c r="F732" s="6" t="s">
        <v>24</v>
      </c>
      <c r="G732" s="7">
        <v>46177</v>
      </c>
      <c r="H732" s="6">
        <v>5</v>
      </c>
      <c r="I732" s="7">
        <v>46184</v>
      </c>
      <c r="J732" s="7">
        <f t="shared" si="34"/>
        <v>46182</v>
      </c>
      <c r="K732" s="8">
        <v>60</v>
      </c>
      <c r="L732" s="9">
        <f t="shared" si="33"/>
        <v>2</v>
      </c>
      <c r="M732" s="9" t="str" cm="1">
        <f t="array" ref="M732">_xlfn.IFS(L732&gt;=10,"HIGH",L732=0,"LOW",L732&lt;=9,"MEDIUM")</f>
        <v>MEDIUM</v>
      </c>
      <c r="N732" s="9" cm="1">
        <f t="array" ref="N732">_xlfn.IFS(M732="HIGH",K732*L732,M732="MEDIUM",K732*L732,M732="LOW","NA")</f>
        <v>120</v>
      </c>
      <c r="O732" s="18" t="str">
        <f t="shared" si="35"/>
        <v>cleared</v>
      </c>
    </row>
    <row r="733" spans="1:15" x14ac:dyDescent="0.25">
      <c r="A733" s="17">
        <v>729</v>
      </c>
      <c r="B733" s="6" t="s">
        <v>766</v>
      </c>
      <c r="C733" s="6" t="s">
        <v>16</v>
      </c>
      <c r="D733" s="6" t="s">
        <v>26</v>
      </c>
      <c r="E733" s="6" t="s">
        <v>42</v>
      </c>
      <c r="F733" s="6" t="s">
        <v>14</v>
      </c>
      <c r="G733" s="7">
        <v>46238</v>
      </c>
      <c r="H733" s="6">
        <v>5</v>
      </c>
      <c r="I733" s="7">
        <v>46245</v>
      </c>
      <c r="J733" s="7">
        <f t="shared" si="34"/>
        <v>46243</v>
      </c>
      <c r="K733" s="8">
        <v>90</v>
      </c>
      <c r="L733" s="9">
        <f t="shared" si="33"/>
        <v>2</v>
      </c>
      <c r="M733" s="9" t="str" cm="1">
        <f t="array" ref="M733">_xlfn.IFS(L733&gt;=10,"HIGH",L733=0,"LOW",L733&lt;=9,"MEDIUM")</f>
        <v>MEDIUM</v>
      </c>
      <c r="N733" s="9" cm="1">
        <f t="array" ref="N733">_xlfn.IFS(M733="HIGH",K733*L733,M733="MEDIUM",K733*L733,M733="LOW","NA")</f>
        <v>180</v>
      </c>
      <c r="O733" s="18" t="str">
        <f t="shared" si="35"/>
        <v>cleared</v>
      </c>
    </row>
    <row r="734" spans="1:15" x14ac:dyDescent="0.25">
      <c r="A734" s="17">
        <v>730</v>
      </c>
      <c r="B734" s="6" t="s">
        <v>767</v>
      </c>
      <c r="C734" s="6" t="s">
        <v>16</v>
      </c>
      <c r="D734" s="6" t="s">
        <v>20</v>
      </c>
      <c r="E734" s="6" t="s">
        <v>35</v>
      </c>
      <c r="F734" s="6" t="s">
        <v>24</v>
      </c>
      <c r="G734" s="7">
        <v>46188</v>
      </c>
      <c r="H734" s="6">
        <v>4</v>
      </c>
      <c r="I734" s="7">
        <v>46191</v>
      </c>
      <c r="J734" s="7">
        <f t="shared" si="34"/>
        <v>46192</v>
      </c>
      <c r="K734" s="8">
        <v>60</v>
      </c>
      <c r="L734" s="9">
        <f t="shared" si="33"/>
        <v>0</v>
      </c>
      <c r="M734" s="9" t="str" cm="1">
        <f t="array" ref="M734">_xlfn.IFS(L734&gt;=10,"HIGH",L734=0,"LOW",L734&lt;=9,"MEDIUM")</f>
        <v>LOW</v>
      </c>
      <c r="N734" s="9" t="str" cm="1">
        <f t="array" ref="N734">_xlfn.IFS(M734="HIGH",K734*L734,M734="MEDIUM",K734*L734,M734="LOW","NA")</f>
        <v>NA</v>
      </c>
      <c r="O734" s="18" t="str">
        <f t="shared" si="35"/>
        <v>cleared</v>
      </c>
    </row>
    <row r="735" spans="1:15" x14ac:dyDescent="0.25">
      <c r="A735" s="17">
        <v>731</v>
      </c>
      <c r="B735" s="6" t="s">
        <v>768</v>
      </c>
      <c r="C735" s="6" t="s">
        <v>33</v>
      </c>
      <c r="D735" s="6" t="s">
        <v>26</v>
      </c>
      <c r="E735" s="6" t="s">
        <v>21</v>
      </c>
      <c r="F735" s="6" t="s">
        <v>27</v>
      </c>
      <c r="G735" s="7">
        <v>46210</v>
      </c>
      <c r="H735" s="6">
        <v>7</v>
      </c>
      <c r="I735" s="7">
        <v>46214</v>
      </c>
      <c r="J735" s="7">
        <f t="shared" si="34"/>
        <v>46217</v>
      </c>
      <c r="K735" s="8">
        <v>110</v>
      </c>
      <c r="L735" s="9">
        <f t="shared" si="33"/>
        <v>0</v>
      </c>
      <c r="M735" s="9" t="str" cm="1">
        <f t="array" ref="M735">_xlfn.IFS(L735&gt;=10,"HIGH",L735=0,"LOW",L735&lt;=9,"MEDIUM")</f>
        <v>LOW</v>
      </c>
      <c r="N735" s="9" t="str" cm="1">
        <f t="array" ref="N735">_xlfn.IFS(M735="HIGH",K735*L735,M735="MEDIUM",K735*L735,M735="LOW","NA")</f>
        <v>NA</v>
      </c>
      <c r="O735" s="18" t="str">
        <f t="shared" si="35"/>
        <v>cleared</v>
      </c>
    </row>
    <row r="736" spans="1:15" x14ac:dyDescent="0.25">
      <c r="A736" s="17">
        <v>732</v>
      </c>
      <c r="B736" s="6" t="s">
        <v>769</v>
      </c>
      <c r="C736" s="6" t="s">
        <v>37</v>
      </c>
      <c r="D736" s="6" t="s">
        <v>20</v>
      </c>
      <c r="E736" s="6" t="s">
        <v>46</v>
      </c>
      <c r="F736" s="6" t="s">
        <v>24</v>
      </c>
      <c r="G736" s="7">
        <v>46193</v>
      </c>
      <c r="H736" s="6">
        <v>5</v>
      </c>
      <c r="I736" s="6"/>
      <c r="J736" s="7">
        <f t="shared" si="34"/>
        <v>46198</v>
      </c>
      <c r="K736" s="8">
        <v>90</v>
      </c>
      <c r="L736" s="9">
        <f t="shared" si="33"/>
        <v>61</v>
      </c>
      <c r="M736" s="9" t="str" cm="1">
        <f t="array" ref="M736">_xlfn.IFS(L736&gt;=10,"HIGH",L736=0,"LOW",L736&lt;=9,"MEDIUM")</f>
        <v>HIGH</v>
      </c>
      <c r="N736" s="9" cm="1">
        <f t="array" ref="N736">_xlfn.IFS(M736="HIGH",K736*L736,M736="MEDIUM",K736*L736,M736="LOW","NA")</f>
        <v>5490</v>
      </c>
      <c r="O736" s="18" t="str">
        <f t="shared" si="35"/>
        <v>still in yard</v>
      </c>
    </row>
    <row r="737" spans="1:15" x14ac:dyDescent="0.25">
      <c r="A737" s="17">
        <v>733</v>
      </c>
      <c r="B737" s="6" t="s">
        <v>770</v>
      </c>
      <c r="C737" s="6" t="s">
        <v>33</v>
      </c>
      <c r="D737" s="6" t="s">
        <v>54</v>
      </c>
      <c r="E737" s="6" t="s">
        <v>18</v>
      </c>
      <c r="F737" s="6" t="s">
        <v>14</v>
      </c>
      <c r="G737" s="7">
        <v>46231</v>
      </c>
      <c r="H737" s="6">
        <v>6</v>
      </c>
      <c r="I737" s="7">
        <v>46233</v>
      </c>
      <c r="J737" s="7">
        <f t="shared" si="34"/>
        <v>46237</v>
      </c>
      <c r="K737" s="8">
        <v>130</v>
      </c>
      <c r="L737" s="9">
        <f t="shared" si="33"/>
        <v>0</v>
      </c>
      <c r="M737" s="9" t="str" cm="1">
        <f t="array" ref="M737">_xlfn.IFS(L737&gt;=10,"HIGH",L737=0,"LOW",L737&lt;=9,"MEDIUM")</f>
        <v>LOW</v>
      </c>
      <c r="N737" s="9" t="str" cm="1">
        <f t="array" ref="N737">_xlfn.IFS(M737="HIGH",K737*L737,M737="MEDIUM",K737*L737,M737="LOW","NA")</f>
        <v>NA</v>
      </c>
      <c r="O737" s="18" t="str">
        <f t="shared" si="35"/>
        <v>cleared</v>
      </c>
    </row>
    <row r="738" spans="1:15" x14ac:dyDescent="0.25">
      <c r="A738" s="17">
        <v>734</v>
      </c>
      <c r="B738" s="6" t="s">
        <v>771</v>
      </c>
      <c r="C738" s="6" t="s">
        <v>33</v>
      </c>
      <c r="D738" s="6" t="s">
        <v>54</v>
      </c>
      <c r="E738" s="6" t="s">
        <v>21</v>
      </c>
      <c r="F738" s="6" t="s">
        <v>24</v>
      </c>
      <c r="G738" s="7">
        <v>46207</v>
      </c>
      <c r="H738" s="6">
        <v>5</v>
      </c>
      <c r="I738" s="6"/>
      <c r="J738" s="7">
        <f t="shared" si="34"/>
        <v>46212</v>
      </c>
      <c r="K738" s="8">
        <v>110</v>
      </c>
      <c r="L738" s="9">
        <f t="shared" si="33"/>
        <v>47</v>
      </c>
      <c r="M738" s="9" t="str" cm="1">
        <f t="array" ref="M738">_xlfn.IFS(L738&gt;=10,"HIGH",L738=0,"LOW",L738&lt;=9,"MEDIUM")</f>
        <v>HIGH</v>
      </c>
      <c r="N738" s="9" cm="1">
        <f t="array" ref="N738">_xlfn.IFS(M738="HIGH",K738*L738,M738="MEDIUM",K738*L738,M738="LOW","NA")</f>
        <v>5170</v>
      </c>
      <c r="O738" s="18" t="str">
        <f t="shared" si="35"/>
        <v>still in yard</v>
      </c>
    </row>
    <row r="739" spans="1:15" x14ac:dyDescent="0.25">
      <c r="A739" s="17">
        <v>735</v>
      </c>
      <c r="B739" s="6" t="s">
        <v>772</v>
      </c>
      <c r="C739" s="6" t="s">
        <v>33</v>
      </c>
      <c r="D739" s="6" t="s">
        <v>12</v>
      </c>
      <c r="E739" s="6" t="s">
        <v>61</v>
      </c>
      <c r="F739" s="6" t="s">
        <v>27</v>
      </c>
      <c r="G739" s="7">
        <v>46204</v>
      </c>
      <c r="H739" s="6">
        <v>5</v>
      </c>
      <c r="I739" s="7">
        <v>46212</v>
      </c>
      <c r="J739" s="7">
        <f t="shared" si="34"/>
        <v>46209</v>
      </c>
      <c r="K739" s="8">
        <v>130</v>
      </c>
      <c r="L739" s="9">
        <f t="shared" si="33"/>
        <v>3</v>
      </c>
      <c r="M739" s="9" t="str" cm="1">
        <f t="array" ref="M739">_xlfn.IFS(L739&gt;=10,"HIGH",L739=0,"LOW",L739&lt;=9,"MEDIUM")</f>
        <v>MEDIUM</v>
      </c>
      <c r="N739" s="9" cm="1">
        <f t="array" ref="N739">_xlfn.IFS(M739="HIGH",K739*L739,M739="MEDIUM",K739*L739,M739="LOW","NA")</f>
        <v>390</v>
      </c>
      <c r="O739" s="18" t="str">
        <f t="shared" si="35"/>
        <v>cleared</v>
      </c>
    </row>
    <row r="740" spans="1:15" x14ac:dyDescent="0.25">
      <c r="A740" s="17">
        <v>736</v>
      </c>
      <c r="B740" s="6" t="s">
        <v>773</v>
      </c>
      <c r="C740" s="6" t="s">
        <v>37</v>
      </c>
      <c r="D740" s="6" t="s">
        <v>20</v>
      </c>
      <c r="E740" s="6" t="s">
        <v>18</v>
      </c>
      <c r="F740" s="6" t="s">
        <v>24</v>
      </c>
      <c r="G740" s="7">
        <v>46185</v>
      </c>
      <c r="H740" s="6">
        <v>4</v>
      </c>
      <c r="I740" s="6"/>
      <c r="J740" s="7">
        <f t="shared" si="34"/>
        <v>46189</v>
      </c>
      <c r="K740" s="8">
        <v>90</v>
      </c>
      <c r="L740" s="9">
        <f t="shared" si="33"/>
        <v>70</v>
      </c>
      <c r="M740" s="9" t="str" cm="1">
        <f t="array" ref="M740">_xlfn.IFS(L740&gt;=10,"HIGH",L740=0,"LOW",L740&lt;=9,"MEDIUM")</f>
        <v>HIGH</v>
      </c>
      <c r="N740" s="9" cm="1">
        <f t="array" ref="N740">_xlfn.IFS(M740="HIGH",K740*L740,M740="MEDIUM",K740*L740,M740="LOW","NA")</f>
        <v>6300</v>
      </c>
      <c r="O740" s="18" t="str">
        <f t="shared" si="35"/>
        <v>still in yard</v>
      </c>
    </row>
    <row r="741" spans="1:15" x14ac:dyDescent="0.25">
      <c r="A741" s="17">
        <v>737</v>
      </c>
      <c r="B741" s="6" t="s">
        <v>774</v>
      </c>
      <c r="C741" s="6" t="s">
        <v>16</v>
      </c>
      <c r="D741" s="6" t="s">
        <v>41</v>
      </c>
      <c r="E741" s="6" t="s">
        <v>46</v>
      </c>
      <c r="F741" s="6" t="s">
        <v>29</v>
      </c>
      <c r="G741" s="7">
        <v>46183</v>
      </c>
      <c r="H741" s="6">
        <v>4</v>
      </c>
      <c r="I741" s="7">
        <v>46184</v>
      </c>
      <c r="J741" s="7">
        <f t="shared" si="34"/>
        <v>46187</v>
      </c>
      <c r="K741" s="8">
        <v>150</v>
      </c>
      <c r="L741" s="9">
        <f t="shared" si="33"/>
        <v>0</v>
      </c>
      <c r="M741" s="9" t="str" cm="1">
        <f t="array" ref="M741">_xlfn.IFS(L741&gt;=10,"HIGH",L741=0,"LOW",L741&lt;=9,"MEDIUM")</f>
        <v>LOW</v>
      </c>
      <c r="N741" s="9" t="str" cm="1">
        <f t="array" ref="N741">_xlfn.IFS(M741="HIGH",K741*L741,M741="MEDIUM",K741*L741,M741="LOW","NA")</f>
        <v>NA</v>
      </c>
      <c r="O741" s="18" t="str">
        <f t="shared" si="35"/>
        <v>cleared</v>
      </c>
    </row>
    <row r="742" spans="1:15" x14ac:dyDescent="0.25">
      <c r="A742" s="17">
        <v>738</v>
      </c>
      <c r="B742" s="6" t="s">
        <v>775</v>
      </c>
      <c r="C742" s="6" t="s">
        <v>11</v>
      </c>
      <c r="D742" s="6" t="s">
        <v>12</v>
      </c>
      <c r="E742" s="6" t="s">
        <v>61</v>
      </c>
      <c r="F742" s="6" t="s">
        <v>27</v>
      </c>
      <c r="G742" s="7">
        <v>46169</v>
      </c>
      <c r="H742" s="6">
        <v>5</v>
      </c>
      <c r="I742" s="6"/>
      <c r="J742" s="7">
        <f t="shared" si="34"/>
        <v>46174</v>
      </c>
      <c r="K742" s="8">
        <v>60</v>
      </c>
      <c r="L742" s="9">
        <f t="shared" si="33"/>
        <v>85</v>
      </c>
      <c r="M742" s="9" t="str" cm="1">
        <f t="array" ref="M742">_xlfn.IFS(L742&gt;=10,"HIGH",L742=0,"LOW",L742&lt;=9,"MEDIUM")</f>
        <v>HIGH</v>
      </c>
      <c r="N742" s="9" cm="1">
        <f t="array" ref="N742">_xlfn.IFS(M742="HIGH",K742*L742,M742="MEDIUM",K742*L742,M742="LOW","NA")</f>
        <v>5100</v>
      </c>
      <c r="O742" s="18" t="str">
        <f t="shared" si="35"/>
        <v>still in yard</v>
      </c>
    </row>
    <row r="743" spans="1:15" x14ac:dyDescent="0.25">
      <c r="A743" s="17">
        <v>739</v>
      </c>
      <c r="B743" s="6" t="s">
        <v>776</v>
      </c>
      <c r="C743" s="6" t="s">
        <v>33</v>
      </c>
      <c r="D743" s="6" t="s">
        <v>41</v>
      </c>
      <c r="E743" s="6" t="s">
        <v>13</v>
      </c>
      <c r="F743" s="6" t="s">
        <v>29</v>
      </c>
      <c r="G743" s="7">
        <v>46234</v>
      </c>
      <c r="H743" s="6">
        <v>3</v>
      </c>
      <c r="I743" s="6"/>
      <c r="J743" s="7">
        <f t="shared" si="34"/>
        <v>46237</v>
      </c>
      <c r="K743" s="8">
        <v>120</v>
      </c>
      <c r="L743" s="9">
        <f t="shared" si="33"/>
        <v>22</v>
      </c>
      <c r="M743" s="9" t="str" cm="1">
        <f t="array" ref="M743">_xlfn.IFS(L743&gt;=10,"HIGH",L743=0,"LOW",L743&lt;=9,"MEDIUM")</f>
        <v>HIGH</v>
      </c>
      <c r="N743" s="9" cm="1">
        <f t="array" ref="N743">_xlfn.IFS(M743="HIGH",K743*L743,M743="MEDIUM",K743*L743,M743="LOW","NA")</f>
        <v>2640</v>
      </c>
      <c r="O743" s="18" t="str">
        <f t="shared" si="35"/>
        <v>still in yard</v>
      </c>
    </row>
    <row r="744" spans="1:15" x14ac:dyDescent="0.25">
      <c r="A744" s="17">
        <v>740</v>
      </c>
      <c r="B744" s="6" t="s">
        <v>777</v>
      </c>
      <c r="C744" s="6" t="s">
        <v>37</v>
      </c>
      <c r="D744" s="6" t="s">
        <v>34</v>
      </c>
      <c r="E744" s="6" t="s">
        <v>18</v>
      </c>
      <c r="F744" s="6" t="s">
        <v>29</v>
      </c>
      <c r="G744" s="7">
        <v>46209</v>
      </c>
      <c r="H744" s="6">
        <v>4</v>
      </c>
      <c r="I744" s="6"/>
      <c r="J744" s="7">
        <f t="shared" si="34"/>
        <v>46213</v>
      </c>
      <c r="K744" s="8">
        <v>120</v>
      </c>
      <c r="L744" s="9">
        <f t="shared" si="33"/>
        <v>46</v>
      </c>
      <c r="M744" s="9" t="str" cm="1">
        <f t="array" ref="M744">_xlfn.IFS(L744&gt;=10,"HIGH",L744=0,"LOW",L744&lt;=9,"MEDIUM")</f>
        <v>HIGH</v>
      </c>
      <c r="N744" s="9" cm="1">
        <f t="array" ref="N744">_xlfn.IFS(M744="HIGH",K744*L744,M744="MEDIUM",K744*L744,M744="LOW","NA")</f>
        <v>5520</v>
      </c>
      <c r="O744" s="18" t="str">
        <f t="shared" si="35"/>
        <v>still in yard</v>
      </c>
    </row>
    <row r="745" spans="1:15" x14ac:dyDescent="0.25">
      <c r="A745" s="17">
        <v>741</v>
      </c>
      <c r="B745" s="6" t="s">
        <v>778</v>
      </c>
      <c r="C745" s="6" t="s">
        <v>37</v>
      </c>
      <c r="D745" s="6" t="s">
        <v>12</v>
      </c>
      <c r="E745" s="6" t="s">
        <v>35</v>
      </c>
      <c r="F745" s="6" t="s">
        <v>27</v>
      </c>
      <c r="G745" s="7">
        <v>46202</v>
      </c>
      <c r="H745" s="6">
        <v>7</v>
      </c>
      <c r="I745" s="7">
        <v>46215</v>
      </c>
      <c r="J745" s="7">
        <f t="shared" si="34"/>
        <v>46209</v>
      </c>
      <c r="K745" s="8">
        <v>60</v>
      </c>
      <c r="L745" s="9">
        <f t="shared" si="33"/>
        <v>6</v>
      </c>
      <c r="M745" s="9" t="str" cm="1">
        <f t="array" ref="M745">_xlfn.IFS(L745&gt;=10,"HIGH",L745=0,"LOW",L745&lt;=9,"MEDIUM")</f>
        <v>MEDIUM</v>
      </c>
      <c r="N745" s="9" cm="1">
        <f t="array" ref="N745">_xlfn.IFS(M745="HIGH",K745*L745,M745="MEDIUM",K745*L745,M745="LOW","NA")</f>
        <v>360</v>
      </c>
      <c r="O745" s="18" t="str">
        <f t="shared" si="35"/>
        <v>cleared</v>
      </c>
    </row>
    <row r="746" spans="1:15" x14ac:dyDescent="0.25">
      <c r="A746" s="17">
        <v>742</v>
      </c>
      <c r="B746" s="6" t="s">
        <v>779</v>
      </c>
      <c r="C746" s="6" t="s">
        <v>16</v>
      </c>
      <c r="D746" s="6" t="s">
        <v>20</v>
      </c>
      <c r="E746" s="6" t="s">
        <v>35</v>
      </c>
      <c r="F746" s="6" t="s">
        <v>14</v>
      </c>
      <c r="G746" s="7">
        <v>46176</v>
      </c>
      <c r="H746" s="6">
        <v>7</v>
      </c>
      <c r="I746" s="6"/>
      <c r="J746" s="7">
        <f t="shared" si="34"/>
        <v>46183</v>
      </c>
      <c r="K746" s="8">
        <v>110</v>
      </c>
      <c r="L746" s="9">
        <f t="shared" si="33"/>
        <v>76</v>
      </c>
      <c r="M746" s="9" t="str" cm="1">
        <f t="array" ref="M746">_xlfn.IFS(L746&gt;=10,"HIGH",L746=0,"LOW",L746&lt;=9,"MEDIUM")</f>
        <v>HIGH</v>
      </c>
      <c r="N746" s="9" cm="1">
        <f t="array" ref="N746">_xlfn.IFS(M746="HIGH",K746*L746,M746="MEDIUM",K746*L746,M746="LOW","NA")</f>
        <v>8360</v>
      </c>
      <c r="O746" s="18" t="str">
        <f t="shared" si="35"/>
        <v>still in yard</v>
      </c>
    </row>
    <row r="747" spans="1:15" x14ac:dyDescent="0.25">
      <c r="A747" s="17">
        <v>743</v>
      </c>
      <c r="B747" s="6" t="s">
        <v>780</v>
      </c>
      <c r="C747" s="6" t="s">
        <v>37</v>
      </c>
      <c r="D747" s="6" t="s">
        <v>31</v>
      </c>
      <c r="E747" s="6" t="s">
        <v>21</v>
      </c>
      <c r="F747" s="6" t="s">
        <v>27</v>
      </c>
      <c r="G747" s="7">
        <v>46185</v>
      </c>
      <c r="H747" s="6">
        <v>5</v>
      </c>
      <c r="I747" s="7">
        <v>46186</v>
      </c>
      <c r="J747" s="7">
        <f t="shared" si="34"/>
        <v>46190</v>
      </c>
      <c r="K747" s="8">
        <v>60</v>
      </c>
      <c r="L747" s="9">
        <f t="shared" si="33"/>
        <v>0</v>
      </c>
      <c r="M747" s="9" t="str" cm="1">
        <f t="array" ref="M747">_xlfn.IFS(L747&gt;=10,"HIGH",L747=0,"LOW",L747&lt;=9,"MEDIUM")</f>
        <v>LOW</v>
      </c>
      <c r="N747" s="9" t="str" cm="1">
        <f t="array" ref="N747">_xlfn.IFS(M747="HIGH",K747*L747,M747="MEDIUM",K747*L747,M747="LOW","NA")</f>
        <v>NA</v>
      </c>
      <c r="O747" s="18" t="str">
        <f t="shared" si="35"/>
        <v>cleared</v>
      </c>
    </row>
    <row r="748" spans="1:15" x14ac:dyDescent="0.25">
      <c r="A748" s="17">
        <v>744</v>
      </c>
      <c r="B748" s="6" t="s">
        <v>781</v>
      </c>
      <c r="C748" s="6" t="s">
        <v>37</v>
      </c>
      <c r="D748" s="6" t="s">
        <v>31</v>
      </c>
      <c r="E748" s="6" t="s">
        <v>23</v>
      </c>
      <c r="F748" s="6" t="s">
        <v>24</v>
      </c>
      <c r="G748" s="7">
        <v>46188</v>
      </c>
      <c r="H748" s="6">
        <v>4</v>
      </c>
      <c r="I748" s="6"/>
      <c r="J748" s="7">
        <f t="shared" si="34"/>
        <v>46192</v>
      </c>
      <c r="K748" s="8">
        <v>130</v>
      </c>
      <c r="L748" s="9">
        <f t="shared" si="33"/>
        <v>67</v>
      </c>
      <c r="M748" s="9" t="str" cm="1">
        <f t="array" ref="M748">_xlfn.IFS(L748&gt;=10,"HIGH",L748=0,"LOW",L748&lt;=9,"MEDIUM")</f>
        <v>HIGH</v>
      </c>
      <c r="N748" s="9" cm="1">
        <f t="array" ref="N748">_xlfn.IFS(M748="HIGH",K748*L748,M748="MEDIUM",K748*L748,M748="LOW","NA")</f>
        <v>8710</v>
      </c>
      <c r="O748" s="18" t="str">
        <f t="shared" si="35"/>
        <v>still in yard</v>
      </c>
    </row>
    <row r="749" spans="1:15" x14ac:dyDescent="0.25">
      <c r="A749" s="17">
        <v>745</v>
      </c>
      <c r="B749" s="6" t="s">
        <v>782</v>
      </c>
      <c r="C749" s="6" t="s">
        <v>16</v>
      </c>
      <c r="D749" s="6" t="s">
        <v>20</v>
      </c>
      <c r="E749" s="6" t="s">
        <v>18</v>
      </c>
      <c r="F749" s="6" t="s">
        <v>27</v>
      </c>
      <c r="G749" s="7">
        <v>46248</v>
      </c>
      <c r="H749" s="6">
        <v>5</v>
      </c>
      <c r="I749" s="6"/>
      <c r="J749" s="7">
        <f t="shared" si="34"/>
        <v>46253</v>
      </c>
      <c r="K749" s="8">
        <v>60</v>
      </c>
      <c r="L749" s="9">
        <f t="shared" si="33"/>
        <v>6</v>
      </c>
      <c r="M749" s="9" t="str" cm="1">
        <f t="array" ref="M749">_xlfn.IFS(L749&gt;=10,"HIGH",L749=0,"LOW",L749&lt;=9,"MEDIUM")</f>
        <v>MEDIUM</v>
      </c>
      <c r="N749" s="9" cm="1">
        <f t="array" ref="N749">_xlfn.IFS(M749="HIGH",K749*L749,M749="MEDIUM",K749*L749,M749="LOW","NA")</f>
        <v>360</v>
      </c>
      <c r="O749" s="18" t="str">
        <f t="shared" si="35"/>
        <v>still in yard</v>
      </c>
    </row>
    <row r="750" spans="1:15" x14ac:dyDescent="0.25">
      <c r="A750" s="17">
        <v>746</v>
      </c>
      <c r="B750" s="6" t="s">
        <v>783</v>
      </c>
      <c r="C750" s="6" t="s">
        <v>11</v>
      </c>
      <c r="D750" s="6" t="s">
        <v>41</v>
      </c>
      <c r="E750" s="6" t="s">
        <v>23</v>
      </c>
      <c r="F750" s="6" t="s">
        <v>24</v>
      </c>
      <c r="G750" s="7">
        <v>46258</v>
      </c>
      <c r="H750" s="6">
        <v>5</v>
      </c>
      <c r="I750" s="7">
        <v>46259</v>
      </c>
      <c r="J750" s="7">
        <f t="shared" si="34"/>
        <v>46263</v>
      </c>
      <c r="K750" s="8">
        <v>75</v>
      </c>
      <c r="L750" s="9">
        <f t="shared" si="33"/>
        <v>0</v>
      </c>
      <c r="M750" s="9" t="str" cm="1">
        <f t="array" ref="M750">_xlfn.IFS(L750&gt;=10,"HIGH",L750=0,"LOW",L750&lt;=9,"MEDIUM")</f>
        <v>LOW</v>
      </c>
      <c r="N750" s="9" t="str" cm="1">
        <f t="array" ref="N750">_xlfn.IFS(M750="HIGH",K750*L750,M750="MEDIUM",K750*L750,M750="LOW","NA")</f>
        <v>NA</v>
      </c>
      <c r="O750" s="18" t="str">
        <f t="shared" si="35"/>
        <v>cleared</v>
      </c>
    </row>
    <row r="751" spans="1:15" x14ac:dyDescent="0.25">
      <c r="A751" s="17">
        <v>747</v>
      </c>
      <c r="B751" s="6" t="s">
        <v>784</v>
      </c>
      <c r="C751" s="6" t="s">
        <v>11</v>
      </c>
      <c r="D751" s="6" t="s">
        <v>20</v>
      </c>
      <c r="E751" s="6" t="s">
        <v>13</v>
      </c>
      <c r="F751" s="6" t="s">
        <v>14</v>
      </c>
      <c r="G751" s="7">
        <v>46230</v>
      </c>
      <c r="H751" s="6">
        <v>4</v>
      </c>
      <c r="I751" s="6"/>
      <c r="J751" s="7">
        <f t="shared" si="34"/>
        <v>46234</v>
      </c>
      <c r="K751" s="8">
        <v>60</v>
      </c>
      <c r="L751" s="9">
        <f t="shared" si="33"/>
        <v>25</v>
      </c>
      <c r="M751" s="9" t="str" cm="1">
        <f t="array" ref="M751">_xlfn.IFS(L751&gt;=10,"HIGH",L751=0,"LOW",L751&lt;=9,"MEDIUM")</f>
        <v>HIGH</v>
      </c>
      <c r="N751" s="9" cm="1">
        <f t="array" ref="N751">_xlfn.IFS(M751="HIGH",K751*L751,M751="MEDIUM",K751*L751,M751="LOW","NA")</f>
        <v>1500</v>
      </c>
      <c r="O751" s="18" t="str">
        <f t="shared" si="35"/>
        <v>still in yard</v>
      </c>
    </row>
    <row r="752" spans="1:15" x14ac:dyDescent="0.25">
      <c r="A752" s="17">
        <v>748</v>
      </c>
      <c r="B752" s="6" t="s">
        <v>785</v>
      </c>
      <c r="C752" s="6" t="s">
        <v>33</v>
      </c>
      <c r="D752" s="6" t="s">
        <v>41</v>
      </c>
      <c r="E752" s="6" t="s">
        <v>44</v>
      </c>
      <c r="F752" s="6" t="s">
        <v>27</v>
      </c>
      <c r="G752" s="7">
        <v>46232</v>
      </c>
      <c r="H752" s="6">
        <v>5</v>
      </c>
      <c r="I752" s="6"/>
      <c r="J752" s="7">
        <f t="shared" si="34"/>
        <v>46237</v>
      </c>
      <c r="K752" s="8">
        <v>110</v>
      </c>
      <c r="L752" s="9">
        <f t="shared" si="33"/>
        <v>22</v>
      </c>
      <c r="M752" s="9" t="str" cm="1">
        <f t="array" ref="M752">_xlfn.IFS(L752&gt;=10,"HIGH",L752=0,"LOW",L752&lt;=9,"MEDIUM")</f>
        <v>HIGH</v>
      </c>
      <c r="N752" s="9" cm="1">
        <f t="array" ref="N752">_xlfn.IFS(M752="HIGH",K752*L752,M752="MEDIUM",K752*L752,M752="LOW","NA")</f>
        <v>2420</v>
      </c>
      <c r="O752" s="18" t="str">
        <f t="shared" si="35"/>
        <v>still in yard</v>
      </c>
    </row>
    <row r="753" spans="1:15" x14ac:dyDescent="0.25">
      <c r="A753" s="17">
        <v>749</v>
      </c>
      <c r="B753" s="6" t="s">
        <v>786</v>
      </c>
      <c r="C753" s="6" t="s">
        <v>33</v>
      </c>
      <c r="D753" s="6" t="s">
        <v>17</v>
      </c>
      <c r="E753" s="6" t="s">
        <v>13</v>
      </c>
      <c r="F753" s="6" t="s">
        <v>27</v>
      </c>
      <c r="G753" s="7">
        <v>46219</v>
      </c>
      <c r="H753" s="6">
        <v>6</v>
      </c>
      <c r="I753" s="6"/>
      <c r="J753" s="7">
        <f t="shared" si="34"/>
        <v>46225</v>
      </c>
      <c r="K753" s="8">
        <v>130</v>
      </c>
      <c r="L753" s="9">
        <f t="shared" si="33"/>
        <v>34</v>
      </c>
      <c r="M753" s="9" t="str" cm="1">
        <f t="array" ref="M753">_xlfn.IFS(L753&gt;=10,"HIGH",L753=0,"LOW",L753&lt;=9,"MEDIUM")</f>
        <v>HIGH</v>
      </c>
      <c r="N753" s="9" cm="1">
        <f t="array" ref="N753">_xlfn.IFS(M753="HIGH",K753*L753,M753="MEDIUM",K753*L753,M753="LOW","NA")</f>
        <v>4420</v>
      </c>
      <c r="O753" s="18" t="str">
        <f t="shared" si="35"/>
        <v>still in yard</v>
      </c>
    </row>
    <row r="754" spans="1:15" x14ac:dyDescent="0.25">
      <c r="A754" s="17">
        <v>750</v>
      </c>
      <c r="B754" s="6" t="s">
        <v>787</v>
      </c>
      <c r="C754" s="6" t="s">
        <v>33</v>
      </c>
      <c r="D754" s="6" t="s">
        <v>49</v>
      </c>
      <c r="E754" s="6" t="s">
        <v>21</v>
      </c>
      <c r="F754" s="6" t="s">
        <v>29</v>
      </c>
      <c r="G754" s="7">
        <v>46223</v>
      </c>
      <c r="H754" s="6">
        <v>3</v>
      </c>
      <c r="I754" s="7">
        <v>46232</v>
      </c>
      <c r="J754" s="7">
        <f t="shared" si="34"/>
        <v>46226</v>
      </c>
      <c r="K754" s="8">
        <v>120</v>
      </c>
      <c r="L754" s="9">
        <f t="shared" si="33"/>
        <v>6</v>
      </c>
      <c r="M754" s="9" t="str" cm="1">
        <f t="array" ref="M754">_xlfn.IFS(L754&gt;=10,"HIGH",L754=0,"LOW",L754&lt;=9,"MEDIUM")</f>
        <v>MEDIUM</v>
      </c>
      <c r="N754" s="9" cm="1">
        <f t="array" ref="N754">_xlfn.IFS(M754="HIGH",K754*L754,M754="MEDIUM",K754*L754,M754="LOW","NA")</f>
        <v>720</v>
      </c>
      <c r="O754" s="18" t="str">
        <f t="shared" si="35"/>
        <v>cleared</v>
      </c>
    </row>
    <row r="755" spans="1:15" x14ac:dyDescent="0.25">
      <c r="A755" s="17">
        <v>751</v>
      </c>
      <c r="B755" s="6" t="s">
        <v>788</v>
      </c>
      <c r="C755" s="6" t="s">
        <v>16</v>
      </c>
      <c r="D755" s="6" t="s">
        <v>17</v>
      </c>
      <c r="E755" s="6" t="s">
        <v>18</v>
      </c>
      <c r="F755" s="6" t="s">
        <v>29</v>
      </c>
      <c r="G755" s="7">
        <v>46185</v>
      </c>
      <c r="H755" s="6">
        <v>3</v>
      </c>
      <c r="I755" s="7">
        <v>46186</v>
      </c>
      <c r="J755" s="7">
        <f t="shared" si="34"/>
        <v>46188</v>
      </c>
      <c r="K755" s="8">
        <v>180</v>
      </c>
      <c r="L755" s="9">
        <f t="shared" si="33"/>
        <v>0</v>
      </c>
      <c r="M755" s="9" t="str" cm="1">
        <f t="array" ref="M755">_xlfn.IFS(L755&gt;=10,"HIGH",L755=0,"LOW",L755&lt;=9,"MEDIUM")</f>
        <v>LOW</v>
      </c>
      <c r="N755" s="9" t="str" cm="1">
        <f t="array" ref="N755">_xlfn.IFS(M755="HIGH",K755*L755,M755="MEDIUM",K755*L755,M755="LOW","NA")</f>
        <v>NA</v>
      </c>
      <c r="O755" s="18" t="str">
        <f t="shared" si="35"/>
        <v>cleared</v>
      </c>
    </row>
    <row r="756" spans="1:15" x14ac:dyDescent="0.25">
      <c r="A756" s="17">
        <v>752</v>
      </c>
      <c r="B756" s="6" t="s">
        <v>789</v>
      </c>
      <c r="C756" s="6" t="s">
        <v>16</v>
      </c>
      <c r="D756" s="6" t="s">
        <v>56</v>
      </c>
      <c r="E756" s="6" t="s">
        <v>39</v>
      </c>
      <c r="F756" s="6" t="s">
        <v>29</v>
      </c>
      <c r="G756" s="7">
        <v>46257</v>
      </c>
      <c r="H756" s="6">
        <v>3</v>
      </c>
      <c r="I756" s="6"/>
      <c r="J756" s="7">
        <f t="shared" si="34"/>
        <v>46260</v>
      </c>
      <c r="K756" s="8">
        <v>150</v>
      </c>
      <c r="L756" s="9">
        <f t="shared" si="33"/>
        <v>0</v>
      </c>
      <c r="M756" s="9" t="str" cm="1">
        <f t="array" ref="M756">_xlfn.IFS(L756&gt;=10,"HIGH",L756=0,"LOW",L756&lt;=9,"MEDIUM")</f>
        <v>LOW</v>
      </c>
      <c r="N756" s="9" t="str" cm="1">
        <f t="array" ref="N756">_xlfn.IFS(M756="HIGH",K756*L756,M756="MEDIUM",K756*L756,M756="LOW","NA")</f>
        <v>NA</v>
      </c>
      <c r="O756" s="18" t="str">
        <f t="shared" si="35"/>
        <v>still in yard</v>
      </c>
    </row>
    <row r="757" spans="1:15" x14ac:dyDescent="0.25">
      <c r="A757" s="17">
        <v>753</v>
      </c>
      <c r="B757" s="6" t="s">
        <v>790</v>
      </c>
      <c r="C757" s="6" t="s">
        <v>37</v>
      </c>
      <c r="D757" s="6" t="s">
        <v>20</v>
      </c>
      <c r="E757" s="6" t="s">
        <v>35</v>
      </c>
      <c r="F757" s="6" t="s">
        <v>27</v>
      </c>
      <c r="G757" s="7">
        <v>46220</v>
      </c>
      <c r="H757" s="6">
        <v>6</v>
      </c>
      <c r="I757" s="7">
        <v>46225</v>
      </c>
      <c r="J757" s="7">
        <f t="shared" si="34"/>
        <v>46226</v>
      </c>
      <c r="K757" s="8">
        <v>110</v>
      </c>
      <c r="L757" s="9">
        <f t="shared" si="33"/>
        <v>0</v>
      </c>
      <c r="M757" s="9" t="str" cm="1">
        <f t="array" ref="M757">_xlfn.IFS(L757&gt;=10,"HIGH",L757=0,"LOW",L757&lt;=9,"MEDIUM")</f>
        <v>LOW</v>
      </c>
      <c r="N757" s="9" t="str" cm="1">
        <f t="array" ref="N757">_xlfn.IFS(M757="HIGH",K757*L757,M757="MEDIUM",K757*L757,M757="LOW","NA")</f>
        <v>NA</v>
      </c>
      <c r="O757" s="18" t="str">
        <f t="shared" si="35"/>
        <v>cleared</v>
      </c>
    </row>
    <row r="758" spans="1:15" x14ac:dyDescent="0.25">
      <c r="A758" s="17">
        <v>754</v>
      </c>
      <c r="B758" s="6" t="s">
        <v>791</v>
      </c>
      <c r="C758" s="6" t="s">
        <v>16</v>
      </c>
      <c r="D758" s="6" t="s">
        <v>31</v>
      </c>
      <c r="E758" s="6" t="s">
        <v>44</v>
      </c>
      <c r="F758" s="6" t="s">
        <v>29</v>
      </c>
      <c r="G758" s="7">
        <v>46202</v>
      </c>
      <c r="H758" s="6">
        <v>4</v>
      </c>
      <c r="I758" s="7">
        <v>46203</v>
      </c>
      <c r="J758" s="7">
        <f t="shared" si="34"/>
        <v>46206</v>
      </c>
      <c r="K758" s="8">
        <v>180</v>
      </c>
      <c r="L758" s="9">
        <f t="shared" si="33"/>
        <v>0</v>
      </c>
      <c r="M758" s="9" t="str" cm="1">
        <f t="array" ref="M758">_xlfn.IFS(L758&gt;=10,"HIGH",L758=0,"LOW",L758&lt;=9,"MEDIUM")</f>
        <v>LOW</v>
      </c>
      <c r="N758" s="9" t="str" cm="1">
        <f t="array" ref="N758">_xlfn.IFS(M758="HIGH",K758*L758,M758="MEDIUM",K758*L758,M758="LOW","NA")</f>
        <v>NA</v>
      </c>
      <c r="O758" s="18" t="str">
        <f t="shared" si="35"/>
        <v>cleared</v>
      </c>
    </row>
    <row r="759" spans="1:15" x14ac:dyDescent="0.25">
      <c r="A759" s="17">
        <v>755</v>
      </c>
      <c r="B759" s="6" t="s">
        <v>792</v>
      </c>
      <c r="C759" s="6" t="s">
        <v>37</v>
      </c>
      <c r="D759" s="6" t="s">
        <v>34</v>
      </c>
      <c r="E759" s="6" t="s">
        <v>42</v>
      </c>
      <c r="F759" s="6" t="s">
        <v>27</v>
      </c>
      <c r="G759" s="7">
        <v>46252</v>
      </c>
      <c r="H759" s="6">
        <v>4</v>
      </c>
      <c r="I759" s="6"/>
      <c r="J759" s="7">
        <f t="shared" si="34"/>
        <v>46256</v>
      </c>
      <c r="K759" s="8">
        <v>90</v>
      </c>
      <c r="L759" s="9">
        <f t="shared" si="33"/>
        <v>3</v>
      </c>
      <c r="M759" s="9" t="str" cm="1">
        <f t="array" ref="M759">_xlfn.IFS(L759&gt;=10,"HIGH",L759=0,"LOW",L759&lt;=9,"MEDIUM")</f>
        <v>MEDIUM</v>
      </c>
      <c r="N759" s="9" cm="1">
        <f t="array" ref="N759">_xlfn.IFS(M759="HIGH",K759*L759,M759="MEDIUM",K759*L759,M759="LOW","NA")</f>
        <v>270</v>
      </c>
      <c r="O759" s="18" t="str">
        <f t="shared" si="35"/>
        <v>still in yard</v>
      </c>
    </row>
    <row r="760" spans="1:15" x14ac:dyDescent="0.25">
      <c r="A760" s="17">
        <v>756</v>
      </c>
      <c r="B760" s="6" t="s">
        <v>793</v>
      </c>
      <c r="C760" s="6" t="s">
        <v>11</v>
      </c>
      <c r="D760" s="6" t="s">
        <v>17</v>
      </c>
      <c r="E760" s="6" t="s">
        <v>23</v>
      </c>
      <c r="F760" s="6" t="s">
        <v>14</v>
      </c>
      <c r="G760" s="7">
        <v>46247</v>
      </c>
      <c r="H760" s="6">
        <v>4</v>
      </c>
      <c r="I760" s="7">
        <v>46248</v>
      </c>
      <c r="J760" s="7">
        <f t="shared" si="34"/>
        <v>46251</v>
      </c>
      <c r="K760" s="8">
        <v>90</v>
      </c>
      <c r="L760" s="9">
        <f t="shared" si="33"/>
        <v>0</v>
      </c>
      <c r="M760" s="9" t="str" cm="1">
        <f t="array" ref="M760">_xlfn.IFS(L760&gt;=10,"HIGH",L760=0,"LOW",L760&lt;=9,"MEDIUM")</f>
        <v>LOW</v>
      </c>
      <c r="N760" s="9" t="str" cm="1">
        <f t="array" ref="N760">_xlfn.IFS(M760="HIGH",K760*L760,M760="MEDIUM",K760*L760,M760="LOW","NA")</f>
        <v>NA</v>
      </c>
      <c r="O760" s="18" t="str">
        <f t="shared" si="35"/>
        <v>cleared</v>
      </c>
    </row>
    <row r="761" spans="1:15" x14ac:dyDescent="0.25">
      <c r="A761" s="17">
        <v>757</v>
      </c>
      <c r="B761" s="6" t="s">
        <v>794</v>
      </c>
      <c r="C761" s="6" t="s">
        <v>37</v>
      </c>
      <c r="D761" s="6" t="s">
        <v>26</v>
      </c>
      <c r="E761" s="6" t="s">
        <v>13</v>
      </c>
      <c r="F761" s="6" t="s">
        <v>29</v>
      </c>
      <c r="G761" s="7">
        <v>46243</v>
      </c>
      <c r="H761" s="6">
        <v>3</v>
      </c>
      <c r="I761" s="7">
        <v>46252</v>
      </c>
      <c r="J761" s="7">
        <f t="shared" si="34"/>
        <v>46246</v>
      </c>
      <c r="K761" s="8">
        <v>150</v>
      </c>
      <c r="L761" s="9">
        <f t="shared" si="33"/>
        <v>6</v>
      </c>
      <c r="M761" s="9" t="str" cm="1">
        <f t="array" ref="M761">_xlfn.IFS(L761&gt;=10,"HIGH",L761=0,"LOW",L761&lt;=9,"MEDIUM")</f>
        <v>MEDIUM</v>
      </c>
      <c r="N761" s="9" cm="1">
        <f t="array" ref="N761">_xlfn.IFS(M761="HIGH",K761*L761,M761="MEDIUM",K761*L761,M761="LOW","NA")</f>
        <v>900</v>
      </c>
      <c r="O761" s="18" t="str">
        <f t="shared" si="35"/>
        <v>cleared</v>
      </c>
    </row>
    <row r="762" spans="1:15" x14ac:dyDescent="0.25">
      <c r="A762" s="17">
        <v>758</v>
      </c>
      <c r="B762" s="6" t="s">
        <v>795</v>
      </c>
      <c r="C762" s="6" t="s">
        <v>33</v>
      </c>
      <c r="D762" s="6" t="s">
        <v>41</v>
      </c>
      <c r="E762" s="6" t="s">
        <v>13</v>
      </c>
      <c r="F762" s="6" t="s">
        <v>14</v>
      </c>
      <c r="G762" s="7">
        <v>46203</v>
      </c>
      <c r="H762" s="6">
        <v>5</v>
      </c>
      <c r="I762" s="7">
        <v>46209</v>
      </c>
      <c r="J762" s="7">
        <f t="shared" si="34"/>
        <v>46208</v>
      </c>
      <c r="K762" s="8">
        <v>110</v>
      </c>
      <c r="L762" s="9">
        <f t="shared" si="33"/>
        <v>1</v>
      </c>
      <c r="M762" s="9" t="str" cm="1">
        <f t="array" ref="M762">_xlfn.IFS(L762&gt;=10,"HIGH",L762=0,"LOW",L762&lt;=9,"MEDIUM")</f>
        <v>MEDIUM</v>
      </c>
      <c r="N762" s="9" cm="1">
        <f t="array" ref="N762">_xlfn.IFS(M762="HIGH",K762*L762,M762="MEDIUM",K762*L762,M762="LOW","NA")</f>
        <v>110</v>
      </c>
      <c r="O762" s="18" t="str">
        <f t="shared" si="35"/>
        <v>cleared</v>
      </c>
    </row>
    <row r="763" spans="1:15" x14ac:dyDescent="0.25">
      <c r="A763" s="17">
        <v>759</v>
      </c>
      <c r="B763" s="6" t="s">
        <v>796</v>
      </c>
      <c r="C763" s="6" t="s">
        <v>33</v>
      </c>
      <c r="D763" s="6" t="s">
        <v>17</v>
      </c>
      <c r="E763" s="6" t="s">
        <v>61</v>
      </c>
      <c r="F763" s="6" t="s">
        <v>24</v>
      </c>
      <c r="G763" s="7">
        <v>46244</v>
      </c>
      <c r="H763" s="6">
        <v>7</v>
      </c>
      <c r="I763" s="6"/>
      <c r="J763" s="7">
        <f t="shared" si="34"/>
        <v>46251</v>
      </c>
      <c r="K763" s="8">
        <v>110</v>
      </c>
      <c r="L763" s="9">
        <f t="shared" si="33"/>
        <v>8</v>
      </c>
      <c r="M763" s="9" t="str" cm="1">
        <f t="array" ref="M763">_xlfn.IFS(L763&gt;=10,"HIGH",L763=0,"LOW",L763&lt;=9,"MEDIUM")</f>
        <v>MEDIUM</v>
      </c>
      <c r="N763" s="9" cm="1">
        <f t="array" ref="N763">_xlfn.IFS(M763="HIGH",K763*L763,M763="MEDIUM",K763*L763,M763="LOW","NA")</f>
        <v>880</v>
      </c>
      <c r="O763" s="18" t="str">
        <f t="shared" si="35"/>
        <v>still in yard</v>
      </c>
    </row>
    <row r="764" spans="1:15" x14ac:dyDescent="0.25">
      <c r="A764" s="17">
        <v>760</v>
      </c>
      <c r="B764" s="6" t="s">
        <v>797</v>
      </c>
      <c r="C764" s="6" t="s">
        <v>11</v>
      </c>
      <c r="D764" s="6" t="s">
        <v>20</v>
      </c>
      <c r="E764" s="6" t="s">
        <v>23</v>
      </c>
      <c r="F764" s="6" t="s">
        <v>29</v>
      </c>
      <c r="G764" s="7">
        <v>46209</v>
      </c>
      <c r="H764" s="6">
        <v>4</v>
      </c>
      <c r="I764" s="6"/>
      <c r="J764" s="7">
        <f t="shared" si="34"/>
        <v>46213</v>
      </c>
      <c r="K764" s="8">
        <v>120</v>
      </c>
      <c r="L764" s="9">
        <f t="shared" si="33"/>
        <v>46</v>
      </c>
      <c r="M764" s="9" t="str" cm="1">
        <f t="array" ref="M764">_xlfn.IFS(L764&gt;=10,"HIGH",L764=0,"LOW",L764&lt;=9,"MEDIUM")</f>
        <v>HIGH</v>
      </c>
      <c r="N764" s="9" cm="1">
        <f t="array" ref="N764">_xlfn.IFS(M764="HIGH",K764*L764,M764="MEDIUM",K764*L764,M764="LOW","NA")</f>
        <v>5520</v>
      </c>
      <c r="O764" s="18" t="str">
        <f t="shared" si="35"/>
        <v>still in yard</v>
      </c>
    </row>
    <row r="765" spans="1:15" x14ac:dyDescent="0.25">
      <c r="A765" s="17">
        <v>761</v>
      </c>
      <c r="B765" s="6" t="s">
        <v>798</v>
      </c>
      <c r="C765" s="6" t="s">
        <v>37</v>
      </c>
      <c r="D765" s="6" t="s">
        <v>49</v>
      </c>
      <c r="E765" s="6" t="s">
        <v>23</v>
      </c>
      <c r="F765" s="6" t="s">
        <v>24</v>
      </c>
      <c r="G765" s="7">
        <v>46228</v>
      </c>
      <c r="H765" s="6">
        <v>4</v>
      </c>
      <c r="I765" s="7">
        <v>46236</v>
      </c>
      <c r="J765" s="7">
        <f t="shared" si="34"/>
        <v>46232</v>
      </c>
      <c r="K765" s="8">
        <v>110</v>
      </c>
      <c r="L765" s="9">
        <f t="shared" si="33"/>
        <v>4</v>
      </c>
      <c r="M765" s="9" t="str" cm="1">
        <f t="array" ref="M765">_xlfn.IFS(L765&gt;=10,"HIGH",L765=0,"LOW",L765&lt;=9,"MEDIUM")</f>
        <v>MEDIUM</v>
      </c>
      <c r="N765" s="9" cm="1">
        <f t="array" ref="N765">_xlfn.IFS(M765="HIGH",K765*L765,M765="MEDIUM",K765*L765,M765="LOW","NA")</f>
        <v>440</v>
      </c>
      <c r="O765" s="18" t="str">
        <f t="shared" si="35"/>
        <v>cleared</v>
      </c>
    </row>
    <row r="766" spans="1:15" x14ac:dyDescent="0.25">
      <c r="A766" s="17">
        <v>762</v>
      </c>
      <c r="B766" s="6" t="s">
        <v>799</v>
      </c>
      <c r="C766" s="6" t="s">
        <v>16</v>
      </c>
      <c r="D766" s="6" t="s">
        <v>54</v>
      </c>
      <c r="E766" s="6" t="s">
        <v>21</v>
      </c>
      <c r="F766" s="6" t="s">
        <v>29</v>
      </c>
      <c r="G766" s="7">
        <v>46174</v>
      </c>
      <c r="H766" s="6">
        <v>4</v>
      </c>
      <c r="I766" s="7">
        <v>46175</v>
      </c>
      <c r="J766" s="7">
        <f t="shared" si="34"/>
        <v>46178</v>
      </c>
      <c r="K766" s="8">
        <v>120</v>
      </c>
      <c r="L766" s="9">
        <f t="shared" si="33"/>
        <v>0</v>
      </c>
      <c r="M766" s="9" t="str" cm="1">
        <f t="array" ref="M766">_xlfn.IFS(L766&gt;=10,"HIGH",L766=0,"LOW",L766&lt;=9,"MEDIUM")</f>
        <v>LOW</v>
      </c>
      <c r="N766" s="9" t="str" cm="1">
        <f t="array" ref="N766">_xlfn.IFS(M766="HIGH",K766*L766,M766="MEDIUM",K766*L766,M766="LOW","NA")</f>
        <v>NA</v>
      </c>
      <c r="O766" s="18" t="str">
        <f t="shared" si="35"/>
        <v>cleared</v>
      </c>
    </row>
    <row r="767" spans="1:15" x14ac:dyDescent="0.25">
      <c r="A767" s="17">
        <v>763</v>
      </c>
      <c r="B767" s="6" t="s">
        <v>800</v>
      </c>
      <c r="C767" s="6" t="s">
        <v>16</v>
      </c>
      <c r="D767" s="6" t="s">
        <v>49</v>
      </c>
      <c r="E767" s="6" t="s">
        <v>46</v>
      </c>
      <c r="F767" s="6" t="s">
        <v>14</v>
      </c>
      <c r="G767" s="7">
        <v>46210</v>
      </c>
      <c r="H767" s="6">
        <v>5</v>
      </c>
      <c r="I767" s="6"/>
      <c r="J767" s="7">
        <f t="shared" si="34"/>
        <v>46215</v>
      </c>
      <c r="K767" s="8">
        <v>110</v>
      </c>
      <c r="L767" s="9">
        <f t="shared" si="33"/>
        <v>44</v>
      </c>
      <c r="M767" s="9" t="str" cm="1">
        <f t="array" ref="M767">_xlfn.IFS(L767&gt;=10,"HIGH",L767=0,"LOW",L767&lt;=9,"MEDIUM")</f>
        <v>HIGH</v>
      </c>
      <c r="N767" s="9" cm="1">
        <f t="array" ref="N767">_xlfn.IFS(M767="HIGH",K767*L767,M767="MEDIUM",K767*L767,M767="LOW","NA")</f>
        <v>4840</v>
      </c>
      <c r="O767" s="18" t="str">
        <f t="shared" si="35"/>
        <v>still in yard</v>
      </c>
    </row>
    <row r="768" spans="1:15" x14ac:dyDescent="0.25">
      <c r="A768" s="17">
        <v>764</v>
      </c>
      <c r="B768" s="6" t="s">
        <v>801</v>
      </c>
      <c r="C768" s="6" t="s">
        <v>16</v>
      </c>
      <c r="D768" s="6" t="s">
        <v>54</v>
      </c>
      <c r="E768" s="6" t="s">
        <v>44</v>
      </c>
      <c r="F768" s="6" t="s">
        <v>27</v>
      </c>
      <c r="G768" s="7">
        <v>46194</v>
      </c>
      <c r="H768" s="6">
        <v>5</v>
      </c>
      <c r="I768" s="7">
        <v>46201</v>
      </c>
      <c r="J768" s="7">
        <f t="shared" si="34"/>
        <v>46199</v>
      </c>
      <c r="K768" s="8">
        <v>60</v>
      </c>
      <c r="L768" s="9">
        <f t="shared" si="33"/>
        <v>2</v>
      </c>
      <c r="M768" s="9" t="str" cm="1">
        <f t="array" ref="M768">_xlfn.IFS(L768&gt;=10,"HIGH",L768=0,"LOW",L768&lt;=9,"MEDIUM")</f>
        <v>MEDIUM</v>
      </c>
      <c r="N768" s="9" cm="1">
        <f t="array" ref="N768">_xlfn.IFS(M768="HIGH",K768*L768,M768="MEDIUM",K768*L768,M768="LOW","NA")</f>
        <v>120</v>
      </c>
      <c r="O768" s="18" t="str">
        <f t="shared" si="35"/>
        <v>cleared</v>
      </c>
    </row>
    <row r="769" spans="1:15" x14ac:dyDescent="0.25">
      <c r="A769" s="17">
        <v>765</v>
      </c>
      <c r="B769" s="6" t="s">
        <v>802</v>
      </c>
      <c r="C769" s="6" t="s">
        <v>37</v>
      </c>
      <c r="D769" s="6" t="s">
        <v>26</v>
      </c>
      <c r="E769" s="6" t="s">
        <v>61</v>
      </c>
      <c r="F769" s="6" t="s">
        <v>14</v>
      </c>
      <c r="G769" s="7">
        <v>46241</v>
      </c>
      <c r="H769" s="6">
        <v>5</v>
      </c>
      <c r="I769" s="7">
        <v>46243</v>
      </c>
      <c r="J769" s="7">
        <f t="shared" si="34"/>
        <v>46246</v>
      </c>
      <c r="K769" s="8">
        <v>75</v>
      </c>
      <c r="L769" s="9">
        <f t="shared" si="33"/>
        <v>0</v>
      </c>
      <c r="M769" s="9" t="str" cm="1">
        <f t="array" ref="M769">_xlfn.IFS(L769&gt;=10,"HIGH",L769=0,"LOW",L769&lt;=9,"MEDIUM")</f>
        <v>LOW</v>
      </c>
      <c r="N769" s="9" t="str" cm="1">
        <f t="array" ref="N769">_xlfn.IFS(M769="HIGH",K769*L769,M769="MEDIUM",K769*L769,M769="LOW","NA")</f>
        <v>NA</v>
      </c>
      <c r="O769" s="18" t="str">
        <f t="shared" si="35"/>
        <v>cleared</v>
      </c>
    </row>
    <row r="770" spans="1:15" x14ac:dyDescent="0.25">
      <c r="A770" s="17">
        <v>766</v>
      </c>
      <c r="B770" s="6" t="s">
        <v>803</v>
      </c>
      <c r="C770" s="6" t="s">
        <v>11</v>
      </c>
      <c r="D770" s="6" t="s">
        <v>54</v>
      </c>
      <c r="E770" s="6" t="s">
        <v>21</v>
      </c>
      <c r="F770" s="6" t="s">
        <v>14</v>
      </c>
      <c r="G770" s="7">
        <v>46189</v>
      </c>
      <c r="H770" s="6">
        <v>6</v>
      </c>
      <c r="I770" s="7">
        <v>46196</v>
      </c>
      <c r="J770" s="7">
        <f t="shared" si="34"/>
        <v>46195</v>
      </c>
      <c r="K770" s="8">
        <v>60</v>
      </c>
      <c r="L770" s="9">
        <f t="shared" si="33"/>
        <v>1</v>
      </c>
      <c r="M770" s="9" t="str" cm="1">
        <f t="array" ref="M770">_xlfn.IFS(L770&gt;=10,"HIGH",L770=0,"LOW",L770&lt;=9,"MEDIUM")</f>
        <v>MEDIUM</v>
      </c>
      <c r="N770" s="9" cm="1">
        <f t="array" ref="N770">_xlfn.IFS(M770="HIGH",K770*L770,M770="MEDIUM",K770*L770,M770="LOW","NA")</f>
        <v>60</v>
      </c>
      <c r="O770" s="18" t="str">
        <f t="shared" si="35"/>
        <v>cleared</v>
      </c>
    </row>
    <row r="771" spans="1:15" x14ac:dyDescent="0.25">
      <c r="A771" s="17">
        <v>767</v>
      </c>
      <c r="B771" s="6" t="s">
        <v>804</v>
      </c>
      <c r="C771" s="6" t="s">
        <v>16</v>
      </c>
      <c r="D771" s="6" t="s">
        <v>56</v>
      </c>
      <c r="E771" s="6" t="s">
        <v>13</v>
      </c>
      <c r="F771" s="6" t="s">
        <v>14</v>
      </c>
      <c r="G771" s="7">
        <v>46185</v>
      </c>
      <c r="H771" s="6">
        <v>5</v>
      </c>
      <c r="I771" s="7">
        <v>46189</v>
      </c>
      <c r="J771" s="7">
        <f t="shared" si="34"/>
        <v>46190</v>
      </c>
      <c r="K771" s="8">
        <v>110</v>
      </c>
      <c r="L771" s="9">
        <f t="shared" si="33"/>
        <v>0</v>
      </c>
      <c r="M771" s="9" t="str" cm="1">
        <f t="array" ref="M771">_xlfn.IFS(L771&gt;=10,"HIGH",L771=0,"LOW",L771&lt;=9,"MEDIUM")</f>
        <v>LOW</v>
      </c>
      <c r="N771" s="9" t="str" cm="1">
        <f t="array" ref="N771">_xlfn.IFS(M771="HIGH",K771*L771,M771="MEDIUM",K771*L771,M771="LOW","NA")</f>
        <v>NA</v>
      </c>
      <c r="O771" s="18" t="str">
        <f t="shared" si="35"/>
        <v>cleared</v>
      </c>
    </row>
    <row r="772" spans="1:15" x14ac:dyDescent="0.25">
      <c r="A772" s="17">
        <v>768</v>
      </c>
      <c r="B772" s="6" t="s">
        <v>805</v>
      </c>
      <c r="C772" s="6" t="s">
        <v>11</v>
      </c>
      <c r="D772" s="6" t="s">
        <v>12</v>
      </c>
      <c r="E772" s="6" t="s">
        <v>21</v>
      </c>
      <c r="F772" s="6" t="s">
        <v>29</v>
      </c>
      <c r="G772" s="7">
        <v>46256</v>
      </c>
      <c r="H772" s="6">
        <v>4</v>
      </c>
      <c r="I772" s="7">
        <v>46257</v>
      </c>
      <c r="J772" s="7">
        <f t="shared" si="34"/>
        <v>46260</v>
      </c>
      <c r="K772" s="8">
        <v>150</v>
      </c>
      <c r="L772" s="9">
        <f t="shared" si="33"/>
        <v>0</v>
      </c>
      <c r="M772" s="9" t="str" cm="1">
        <f t="array" ref="M772">_xlfn.IFS(L772&gt;=10,"HIGH",L772=0,"LOW",L772&lt;=9,"MEDIUM")</f>
        <v>LOW</v>
      </c>
      <c r="N772" s="9" t="str" cm="1">
        <f t="array" ref="N772">_xlfn.IFS(M772="HIGH",K772*L772,M772="MEDIUM",K772*L772,M772="LOW","NA")</f>
        <v>NA</v>
      </c>
      <c r="O772" s="18" t="str">
        <f t="shared" si="35"/>
        <v>cleared</v>
      </c>
    </row>
    <row r="773" spans="1:15" x14ac:dyDescent="0.25">
      <c r="A773" s="17">
        <v>769</v>
      </c>
      <c r="B773" s="6" t="s">
        <v>806</v>
      </c>
      <c r="C773" s="6" t="s">
        <v>11</v>
      </c>
      <c r="D773" s="6" t="s">
        <v>17</v>
      </c>
      <c r="E773" s="6" t="s">
        <v>46</v>
      </c>
      <c r="F773" s="6" t="s">
        <v>14</v>
      </c>
      <c r="G773" s="7">
        <v>46246</v>
      </c>
      <c r="H773" s="6">
        <v>7</v>
      </c>
      <c r="I773" s="7">
        <v>46253</v>
      </c>
      <c r="J773" s="7">
        <f t="shared" si="34"/>
        <v>46253</v>
      </c>
      <c r="K773" s="8">
        <v>130</v>
      </c>
      <c r="L773" s="9">
        <f t="shared" ref="L773:L836" si="36">MAX(0, IF(I773="", $C$2-J773, I773-J773))</f>
        <v>0</v>
      </c>
      <c r="M773" s="9" t="str" cm="1">
        <f t="array" ref="M773">_xlfn.IFS(L773&gt;=10,"HIGH",L773=0,"LOW",L773&lt;=9,"MEDIUM")</f>
        <v>LOW</v>
      </c>
      <c r="N773" s="9" t="str" cm="1">
        <f t="array" ref="N773">_xlfn.IFS(M773="HIGH",K773*L773,M773="MEDIUM",K773*L773,M773="LOW","NA")</f>
        <v>NA</v>
      </c>
      <c r="O773" s="18" t="str">
        <f t="shared" si="35"/>
        <v>cleared</v>
      </c>
    </row>
    <row r="774" spans="1:15" x14ac:dyDescent="0.25">
      <c r="A774" s="17">
        <v>770</v>
      </c>
      <c r="B774" s="6" t="s">
        <v>807</v>
      </c>
      <c r="C774" s="6" t="s">
        <v>11</v>
      </c>
      <c r="D774" s="6" t="s">
        <v>31</v>
      </c>
      <c r="E774" s="6" t="s">
        <v>39</v>
      </c>
      <c r="F774" s="6" t="s">
        <v>27</v>
      </c>
      <c r="G774" s="7">
        <v>46206</v>
      </c>
      <c r="H774" s="6">
        <v>7</v>
      </c>
      <c r="I774" s="6"/>
      <c r="J774" s="7">
        <f t="shared" ref="J774:J837" si="37">G774+H774</f>
        <v>46213</v>
      </c>
      <c r="K774" s="8">
        <v>130</v>
      </c>
      <c r="L774" s="9">
        <f t="shared" si="36"/>
        <v>46</v>
      </c>
      <c r="M774" s="9" t="str" cm="1">
        <f t="array" ref="M774">_xlfn.IFS(L774&gt;=10,"HIGH",L774=0,"LOW",L774&lt;=9,"MEDIUM")</f>
        <v>HIGH</v>
      </c>
      <c r="N774" s="9" cm="1">
        <f t="array" ref="N774">_xlfn.IFS(M774="HIGH",K774*L774,M774="MEDIUM",K774*L774,M774="LOW","NA")</f>
        <v>5980</v>
      </c>
      <c r="O774" s="18" t="str">
        <f t="shared" ref="O774:O837" si="38">IF(I774="","still in yard","cleared")</f>
        <v>still in yard</v>
      </c>
    </row>
    <row r="775" spans="1:15" x14ac:dyDescent="0.25">
      <c r="A775" s="17">
        <v>771</v>
      </c>
      <c r="B775" s="6" t="s">
        <v>808</v>
      </c>
      <c r="C775" s="6" t="s">
        <v>37</v>
      </c>
      <c r="D775" s="6" t="s">
        <v>49</v>
      </c>
      <c r="E775" s="6" t="s">
        <v>35</v>
      </c>
      <c r="F775" s="6" t="s">
        <v>24</v>
      </c>
      <c r="G775" s="7">
        <v>46180</v>
      </c>
      <c r="H775" s="6">
        <v>5</v>
      </c>
      <c r="I775" s="6"/>
      <c r="J775" s="7">
        <f t="shared" si="37"/>
        <v>46185</v>
      </c>
      <c r="K775" s="8">
        <v>130</v>
      </c>
      <c r="L775" s="9">
        <f t="shared" si="36"/>
        <v>74</v>
      </c>
      <c r="M775" s="9" t="str" cm="1">
        <f t="array" ref="M775">_xlfn.IFS(L775&gt;=10,"HIGH",L775=0,"LOW",L775&lt;=9,"MEDIUM")</f>
        <v>HIGH</v>
      </c>
      <c r="N775" s="9" cm="1">
        <f t="array" ref="N775">_xlfn.IFS(M775="HIGH",K775*L775,M775="MEDIUM",K775*L775,M775="LOW","NA")</f>
        <v>9620</v>
      </c>
      <c r="O775" s="18" t="str">
        <f t="shared" si="38"/>
        <v>still in yard</v>
      </c>
    </row>
    <row r="776" spans="1:15" x14ac:dyDescent="0.25">
      <c r="A776" s="17">
        <v>772</v>
      </c>
      <c r="B776" s="6" t="s">
        <v>809</v>
      </c>
      <c r="C776" s="6" t="s">
        <v>37</v>
      </c>
      <c r="D776" s="6" t="s">
        <v>17</v>
      </c>
      <c r="E776" s="6" t="s">
        <v>44</v>
      </c>
      <c r="F776" s="6" t="s">
        <v>14</v>
      </c>
      <c r="G776" s="7">
        <v>46226</v>
      </c>
      <c r="H776" s="6">
        <v>5</v>
      </c>
      <c r="I776" s="7">
        <v>46232</v>
      </c>
      <c r="J776" s="7">
        <f t="shared" si="37"/>
        <v>46231</v>
      </c>
      <c r="K776" s="8">
        <v>130</v>
      </c>
      <c r="L776" s="9">
        <f t="shared" si="36"/>
        <v>1</v>
      </c>
      <c r="M776" s="9" t="str" cm="1">
        <f t="array" ref="M776">_xlfn.IFS(L776&gt;=10,"HIGH",L776=0,"LOW",L776&lt;=9,"MEDIUM")</f>
        <v>MEDIUM</v>
      </c>
      <c r="N776" s="9" cm="1">
        <f t="array" ref="N776">_xlfn.IFS(M776="HIGH",K776*L776,M776="MEDIUM",K776*L776,M776="LOW","NA")</f>
        <v>130</v>
      </c>
      <c r="O776" s="18" t="str">
        <f t="shared" si="38"/>
        <v>cleared</v>
      </c>
    </row>
    <row r="777" spans="1:15" x14ac:dyDescent="0.25">
      <c r="A777" s="17">
        <v>773</v>
      </c>
      <c r="B777" s="6" t="s">
        <v>810</v>
      </c>
      <c r="C777" s="6" t="s">
        <v>37</v>
      </c>
      <c r="D777" s="6" t="s">
        <v>49</v>
      </c>
      <c r="E777" s="6" t="s">
        <v>35</v>
      </c>
      <c r="F777" s="6" t="s">
        <v>27</v>
      </c>
      <c r="G777" s="7">
        <v>46175</v>
      </c>
      <c r="H777" s="6">
        <v>4</v>
      </c>
      <c r="I777" s="7">
        <v>46179</v>
      </c>
      <c r="J777" s="7">
        <f t="shared" si="37"/>
        <v>46179</v>
      </c>
      <c r="K777" s="8">
        <v>130</v>
      </c>
      <c r="L777" s="9">
        <f t="shared" si="36"/>
        <v>0</v>
      </c>
      <c r="M777" s="9" t="str" cm="1">
        <f t="array" ref="M777">_xlfn.IFS(L777&gt;=10,"HIGH",L777=0,"LOW",L777&lt;=9,"MEDIUM")</f>
        <v>LOW</v>
      </c>
      <c r="N777" s="9" t="str" cm="1">
        <f t="array" ref="N777">_xlfn.IFS(M777="HIGH",K777*L777,M777="MEDIUM",K777*L777,M777="LOW","NA")</f>
        <v>NA</v>
      </c>
      <c r="O777" s="18" t="str">
        <f t="shared" si="38"/>
        <v>cleared</v>
      </c>
    </row>
    <row r="778" spans="1:15" x14ac:dyDescent="0.25">
      <c r="A778" s="17">
        <v>774</v>
      </c>
      <c r="B778" s="6" t="s">
        <v>811</v>
      </c>
      <c r="C778" s="6" t="s">
        <v>33</v>
      </c>
      <c r="D778" s="6" t="s">
        <v>54</v>
      </c>
      <c r="E778" s="6" t="s">
        <v>18</v>
      </c>
      <c r="F778" s="6" t="s">
        <v>29</v>
      </c>
      <c r="G778" s="7">
        <v>46208</v>
      </c>
      <c r="H778" s="6">
        <v>4</v>
      </c>
      <c r="I778" s="7">
        <v>46209</v>
      </c>
      <c r="J778" s="7">
        <f t="shared" si="37"/>
        <v>46212</v>
      </c>
      <c r="K778" s="8">
        <v>150</v>
      </c>
      <c r="L778" s="9">
        <f t="shared" si="36"/>
        <v>0</v>
      </c>
      <c r="M778" s="9" t="str" cm="1">
        <f t="array" ref="M778">_xlfn.IFS(L778&gt;=10,"HIGH",L778=0,"LOW",L778&lt;=9,"MEDIUM")</f>
        <v>LOW</v>
      </c>
      <c r="N778" s="9" t="str" cm="1">
        <f t="array" ref="N778">_xlfn.IFS(M778="HIGH",K778*L778,M778="MEDIUM",K778*L778,M778="LOW","NA")</f>
        <v>NA</v>
      </c>
      <c r="O778" s="18" t="str">
        <f t="shared" si="38"/>
        <v>cleared</v>
      </c>
    </row>
    <row r="779" spans="1:15" x14ac:dyDescent="0.25">
      <c r="A779" s="17">
        <v>775</v>
      </c>
      <c r="B779" s="6" t="s">
        <v>812</v>
      </c>
      <c r="C779" s="6" t="s">
        <v>11</v>
      </c>
      <c r="D779" s="6" t="s">
        <v>49</v>
      </c>
      <c r="E779" s="6" t="s">
        <v>21</v>
      </c>
      <c r="F779" s="6" t="s">
        <v>29</v>
      </c>
      <c r="G779" s="7">
        <v>46193</v>
      </c>
      <c r="H779" s="6">
        <v>4</v>
      </c>
      <c r="I779" s="6"/>
      <c r="J779" s="7">
        <f t="shared" si="37"/>
        <v>46197</v>
      </c>
      <c r="K779" s="8">
        <v>120</v>
      </c>
      <c r="L779" s="9">
        <f t="shared" si="36"/>
        <v>62</v>
      </c>
      <c r="M779" s="9" t="str" cm="1">
        <f t="array" ref="M779">_xlfn.IFS(L779&gt;=10,"HIGH",L779=0,"LOW",L779&lt;=9,"MEDIUM")</f>
        <v>HIGH</v>
      </c>
      <c r="N779" s="9" cm="1">
        <f t="array" ref="N779">_xlfn.IFS(M779="HIGH",K779*L779,M779="MEDIUM",K779*L779,M779="LOW","NA")</f>
        <v>7440</v>
      </c>
      <c r="O779" s="18" t="str">
        <f t="shared" si="38"/>
        <v>still in yard</v>
      </c>
    </row>
    <row r="780" spans="1:15" x14ac:dyDescent="0.25">
      <c r="A780" s="17">
        <v>776</v>
      </c>
      <c r="B780" s="6" t="s">
        <v>813</v>
      </c>
      <c r="C780" s="6" t="s">
        <v>11</v>
      </c>
      <c r="D780" s="6" t="s">
        <v>17</v>
      </c>
      <c r="E780" s="6" t="s">
        <v>35</v>
      </c>
      <c r="F780" s="6" t="s">
        <v>14</v>
      </c>
      <c r="G780" s="7">
        <v>46248</v>
      </c>
      <c r="H780" s="6">
        <v>5</v>
      </c>
      <c r="I780" s="7">
        <v>46257</v>
      </c>
      <c r="J780" s="7">
        <f t="shared" si="37"/>
        <v>46253</v>
      </c>
      <c r="K780" s="8">
        <v>75</v>
      </c>
      <c r="L780" s="9">
        <f t="shared" si="36"/>
        <v>4</v>
      </c>
      <c r="M780" s="9" t="str" cm="1">
        <f t="array" ref="M780">_xlfn.IFS(L780&gt;=10,"HIGH",L780=0,"LOW",L780&lt;=9,"MEDIUM")</f>
        <v>MEDIUM</v>
      </c>
      <c r="N780" s="9" cm="1">
        <f t="array" ref="N780">_xlfn.IFS(M780="HIGH",K780*L780,M780="MEDIUM",K780*L780,M780="LOW","NA")</f>
        <v>300</v>
      </c>
      <c r="O780" s="18" t="str">
        <f t="shared" si="38"/>
        <v>cleared</v>
      </c>
    </row>
    <row r="781" spans="1:15" x14ac:dyDescent="0.25">
      <c r="A781" s="17">
        <v>777</v>
      </c>
      <c r="B781" s="6" t="s">
        <v>814</v>
      </c>
      <c r="C781" s="6" t="s">
        <v>11</v>
      </c>
      <c r="D781" s="6" t="s">
        <v>31</v>
      </c>
      <c r="E781" s="6" t="s">
        <v>35</v>
      </c>
      <c r="F781" s="6" t="s">
        <v>29</v>
      </c>
      <c r="G781" s="7">
        <v>46216</v>
      </c>
      <c r="H781" s="6">
        <v>4</v>
      </c>
      <c r="I781" s="7">
        <v>46222</v>
      </c>
      <c r="J781" s="7">
        <f t="shared" si="37"/>
        <v>46220</v>
      </c>
      <c r="K781" s="8">
        <v>120</v>
      </c>
      <c r="L781" s="9">
        <f t="shared" si="36"/>
        <v>2</v>
      </c>
      <c r="M781" s="9" t="str" cm="1">
        <f t="array" ref="M781">_xlfn.IFS(L781&gt;=10,"HIGH",L781=0,"LOW",L781&lt;=9,"MEDIUM")</f>
        <v>MEDIUM</v>
      </c>
      <c r="N781" s="9" cm="1">
        <f t="array" ref="N781">_xlfn.IFS(M781="HIGH",K781*L781,M781="MEDIUM",K781*L781,M781="LOW","NA")</f>
        <v>240</v>
      </c>
      <c r="O781" s="18" t="str">
        <f t="shared" si="38"/>
        <v>cleared</v>
      </c>
    </row>
    <row r="782" spans="1:15" x14ac:dyDescent="0.25">
      <c r="A782" s="17">
        <v>778</v>
      </c>
      <c r="B782" s="6" t="s">
        <v>815</v>
      </c>
      <c r="C782" s="6" t="s">
        <v>37</v>
      </c>
      <c r="D782" s="6" t="s">
        <v>12</v>
      </c>
      <c r="E782" s="6" t="s">
        <v>42</v>
      </c>
      <c r="F782" s="6" t="s">
        <v>27</v>
      </c>
      <c r="G782" s="7">
        <v>46186</v>
      </c>
      <c r="H782" s="6">
        <v>7</v>
      </c>
      <c r="I782" s="6"/>
      <c r="J782" s="7">
        <f t="shared" si="37"/>
        <v>46193</v>
      </c>
      <c r="K782" s="8">
        <v>90</v>
      </c>
      <c r="L782" s="9">
        <f t="shared" si="36"/>
        <v>66</v>
      </c>
      <c r="M782" s="9" t="str" cm="1">
        <f t="array" ref="M782">_xlfn.IFS(L782&gt;=10,"HIGH",L782=0,"LOW",L782&lt;=9,"MEDIUM")</f>
        <v>HIGH</v>
      </c>
      <c r="N782" s="9" cm="1">
        <f t="array" ref="N782">_xlfn.IFS(M782="HIGH",K782*L782,M782="MEDIUM",K782*L782,M782="LOW","NA")</f>
        <v>5940</v>
      </c>
      <c r="O782" s="18" t="str">
        <f t="shared" si="38"/>
        <v>still in yard</v>
      </c>
    </row>
    <row r="783" spans="1:15" x14ac:dyDescent="0.25">
      <c r="A783" s="17">
        <v>779</v>
      </c>
      <c r="B783" s="6" t="s">
        <v>816</v>
      </c>
      <c r="C783" s="6" t="s">
        <v>16</v>
      </c>
      <c r="D783" s="6" t="s">
        <v>17</v>
      </c>
      <c r="E783" s="6" t="s">
        <v>23</v>
      </c>
      <c r="F783" s="6" t="s">
        <v>27</v>
      </c>
      <c r="G783" s="7">
        <v>46188</v>
      </c>
      <c r="H783" s="6">
        <v>5</v>
      </c>
      <c r="I783" s="7">
        <v>46197</v>
      </c>
      <c r="J783" s="7">
        <f t="shared" si="37"/>
        <v>46193</v>
      </c>
      <c r="K783" s="8">
        <v>90</v>
      </c>
      <c r="L783" s="9">
        <f t="shared" si="36"/>
        <v>4</v>
      </c>
      <c r="M783" s="9" t="str" cm="1">
        <f t="array" ref="M783">_xlfn.IFS(L783&gt;=10,"HIGH",L783=0,"LOW",L783&lt;=9,"MEDIUM")</f>
        <v>MEDIUM</v>
      </c>
      <c r="N783" s="9" cm="1">
        <f t="array" ref="N783">_xlfn.IFS(M783="HIGH",K783*L783,M783="MEDIUM",K783*L783,M783="LOW","NA")</f>
        <v>360</v>
      </c>
      <c r="O783" s="18" t="str">
        <f t="shared" si="38"/>
        <v>cleared</v>
      </c>
    </row>
    <row r="784" spans="1:15" x14ac:dyDescent="0.25">
      <c r="A784" s="17">
        <v>780</v>
      </c>
      <c r="B784" s="6" t="s">
        <v>817</v>
      </c>
      <c r="C784" s="6" t="s">
        <v>11</v>
      </c>
      <c r="D784" s="6" t="s">
        <v>56</v>
      </c>
      <c r="E784" s="6" t="s">
        <v>46</v>
      </c>
      <c r="F784" s="6" t="s">
        <v>27</v>
      </c>
      <c r="G784" s="7">
        <v>46208</v>
      </c>
      <c r="H784" s="6">
        <v>4</v>
      </c>
      <c r="I784" s="7">
        <v>46209</v>
      </c>
      <c r="J784" s="7">
        <f t="shared" si="37"/>
        <v>46212</v>
      </c>
      <c r="K784" s="8">
        <v>75</v>
      </c>
      <c r="L784" s="9">
        <f t="shared" si="36"/>
        <v>0</v>
      </c>
      <c r="M784" s="9" t="str" cm="1">
        <f t="array" ref="M784">_xlfn.IFS(L784&gt;=10,"HIGH",L784=0,"LOW",L784&lt;=9,"MEDIUM")</f>
        <v>LOW</v>
      </c>
      <c r="N784" s="9" t="str" cm="1">
        <f t="array" ref="N784">_xlfn.IFS(M784="HIGH",K784*L784,M784="MEDIUM",K784*L784,M784="LOW","NA")</f>
        <v>NA</v>
      </c>
      <c r="O784" s="18" t="str">
        <f t="shared" si="38"/>
        <v>cleared</v>
      </c>
    </row>
    <row r="785" spans="1:15" x14ac:dyDescent="0.25">
      <c r="A785" s="17">
        <v>781</v>
      </c>
      <c r="B785" s="6" t="s">
        <v>818</v>
      </c>
      <c r="C785" s="6" t="s">
        <v>33</v>
      </c>
      <c r="D785" s="6" t="s">
        <v>41</v>
      </c>
      <c r="E785" s="6" t="s">
        <v>44</v>
      </c>
      <c r="F785" s="6" t="s">
        <v>29</v>
      </c>
      <c r="G785" s="7">
        <v>46178</v>
      </c>
      <c r="H785" s="6">
        <v>4</v>
      </c>
      <c r="I785" s="7">
        <v>46190</v>
      </c>
      <c r="J785" s="7">
        <f t="shared" si="37"/>
        <v>46182</v>
      </c>
      <c r="K785" s="8">
        <v>150</v>
      </c>
      <c r="L785" s="9">
        <f t="shared" si="36"/>
        <v>8</v>
      </c>
      <c r="M785" s="9" t="str" cm="1">
        <f t="array" ref="M785">_xlfn.IFS(L785&gt;=10,"HIGH",L785=0,"LOW",L785&lt;=9,"MEDIUM")</f>
        <v>MEDIUM</v>
      </c>
      <c r="N785" s="9" cm="1">
        <f t="array" ref="N785">_xlfn.IFS(M785="HIGH",K785*L785,M785="MEDIUM",K785*L785,M785="LOW","NA")</f>
        <v>1200</v>
      </c>
      <c r="O785" s="18" t="str">
        <f t="shared" si="38"/>
        <v>cleared</v>
      </c>
    </row>
    <row r="786" spans="1:15" x14ac:dyDescent="0.25">
      <c r="A786" s="17">
        <v>782</v>
      </c>
      <c r="B786" s="6" t="s">
        <v>819</v>
      </c>
      <c r="C786" s="6" t="s">
        <v>11</v>
      </c>
      <c r="D786" s="6" t="s">
        <v>20</v>
      </c>
      <c r="E786" s="6" t="s">
        <v>44</v>
      </c>
      <c r="F786" s="6" t="s">
        <v>14</v>
      </c>
      <c r="G786" s="7">
        <v>46199</v>
      </c>
      <c r="H786" s="6">
        <v>6</v>
      </c>
      <c r="I786" s="7">
        <v>46210</v>
      </c>
      <c r="J786" s="7">
        <f t="shared" si="37"/>
        <v>46205</v>
      </c>
      <c r="K786" s="8">
        <v>130</v>
      </c>
      <c r="L786" s="9">
        <f t="shared" si="36"/>
        <v>5</v>
      </c>
      <c r="M786" s="9" t="str" cm="1">
        <f t="array" ref="M786">_xlfn.IFS(L786&gt;=10,"HIGH",L786=0,"LOW",L786&lt;=9,"MEDIUM")</f>
        <v>MEDIUM</v>
      </c>
      <c r="N786" s="9" cm="1">
        <f t="array" ref="N786">_xlfn.IFS(M786="HIGH",K786*L786,M786="MEDIUM",K786*L786,M786="LOW","NA")</f>
        <v>650</v>
      </c>
      <c r="O786" s="18" t="str">
        <f t="shared" si="38"/>
        <v>cleared</v>
      </c>
    </row>
    <row r="787" spans="1:15" x14ac:dyDescent="0.25">
      <c r="A787" s="17">
        <v>783</v>
      </c>
      <c r="B787" s="6" t="s">
        <v>820</v>
      </c>
      <c r="C787" s="6" t="s">
        <v>16</v>
      </c>
      <c r="D787" s="6" t="s">
        <v>20</v>
      </c>
      <c r="E787" s="6" t="s">
        <v>35</v>
      </c>
      <c r="F787" s="6" t="s">
        <v>24</v>
      </c>
      <c r="G787" s="7">
        <v>46231</v>
      </c>
      <c r="H787" s="6">
        <v>4</v>
      </c>
      <c r="I787" s="7">
        <v>46243</v>
      </c>
      <c r="J787" s="7">
        <f t="shared" si="37"/>
        <v>46235</v>
      </c>
      <c r="K787" s="8">
        <v>60</v>
      </c>
      <c r="L787" s="9">
        <f t="shared" si="36"/>
        <v>8</v>
      </c>
      <c r="M787" s="9" t="str" cm="1">
        <f t="array" ref="M787">_xlfn.IFS(L787&gt;=10,"HIGH",L787=0,"LOW",L787&lt;=9,"MEDIUM")</f>
        <v>MEDIUM</v>
      </c>
      <c r="N787" s="9" cm="1">
        <f t="array" ref="N787">_xlfn.IFS(M787="HIGH",K787*L787,M787="MEDIUM",K787*L787,M787="LOW","NA")</f>
        <v>480</v>
      </c>
      <c r="O787" s="18" t="str">
        <f t="shared" si="38"/>
        <v>cleared</v>
      </c>
    </row>
    <row r="788" spans="1:15" x14ac:dyDescent="0.25">
      <c r="A788" s="17">
        <v>784</v>
      </c>
      <c r="B788" s="6" t="s">
        <v>821</v>
      </c>
      <c r="C788" s="6" t="s">
        <v>16</v>
      </c>
      <c r="D788" s="6" t="s">
        <v>26</v>
      </c>
      <c r="E788" s="6" t="s">
        <v>35</v>
      </c>
      <c r="F788" s="6" t="s">
        <v>27</v>
      </c>
      <c r="G788" s="7">
        <v>46207</v>
      </c>
      <c r="H788" s="6">
        <v>5</v>
      </c>
      <c r="I788" s="7">
        <v>46211</v>
      </c>
      <c r="J788" s="7">
        <f t="shared" si="37"/>
        <v>46212</v>
      </c>
      <c r="K788" s="8">
        <v>110</v>
      </c>
      <c r="L788" s="9">
        <f t="shared" si="36"/>
        <v>0</v>
      </c>
      <c r="M788" s="9" t="str" cm="1">
        <f t="array" ref="M788">_xlfn.IFS(L788&gt;=10,"HIGH",L788=0,"LOW",L788&lt;=9,"MEDIUM")</f>
        <v>LOW</v>
      </c>
      <c r="N788" s="9" t="str" cm="1">
        <f t="array" ref="N788">_xlfn.IFS(M788="HIGH",K788*L788,M788="MEDIUM",K788*L788,M788="LOW","NA")</f>
        <v>NA</v>
      </c>
      <c r="O788" s="18" t="str">
        <f t="shared" si="38"/>
        <v>cleared</v>
      </c>
    </row>
    <row r="789" spans="1:15" x14ac:dyDescent="0.25">
      <c r="A789" s="17">
        <v>785</v>
      </c>
      <c r="B789" s="6" t="s">
        <v>822</v>
      </c>
      <c r="C789" s="6" t="s">
        <v>11</v>
      </c>
      <c r="D789" s="6" t="s">
        <v>34</v>
      </c>
      <c r="E789" s="6" t="s">
        <v>13</v>
      </c>
      <c r="F789" s="6" t="s">
        <v>27</v>
      </c>
      <c r="G789" s="7">
        <v>46234</v>
      </c>
      <c r="H789" s="6">
        <v>4</v>
      </c>
      <c r="I789" s="7">
        <v>46235</v>
      </c>
      <c r="J789" s="7">
        <f t="shared" si="37"/>
        <v>46238</v>
      </c>
      <c r="K789" s="8">
        <v>90</v>
      </c>
      <c r="L789" s="9">
        <f t="shared" si="36"/>
        <v>0</v>
      </c>
      <c r="M789" s="9" t="str" cm="1">
        <f t="array" ref="M789">_xlfn.IFS(L789&gt;=10,"HIGH",L789=0,"LOW",L789&lt;=9,"MEDIUM")</f>
        <v>LOW</v>
      </c>
      <c r="N789" s="9" t="str" cm="1">
        <f t="array" ref="N789">_xlfn.IFS(M789="HIGH",K789*L789,M789="MEDIUM",K789*L789,M789="LOW","NA")</f>
        <v>NA</v>
      </c>
      <c r="O789" s="18" t="str">
        <f t="shared" si="38"/>
        <v>cleared</v>
      </c>
    </row>
    <row r="790" spans="1:15" x14ac:dyDescent="0.25">
      <c r="A790" s="17">
        <v>786</v>
      </c>
      <c r="B790" s="6" t="s">
        <v>823</v>
      </c>
      <c r="C790" s="6" t="s">
        <v>33</v>
      </c>
      <c r="D790" s="6" t="s">
        <v>20</v>
      </c>
      <c r="E790" s="6" t="s">
        <v>46</v>
      </c>
      <c r="F790" s="6" t="s">
        <v>24</v>
      </c>
      <c r="G790" s="7">
        <v>46252</v>
      </c>
      <c r="H790" s="6">
        <v>7</v>
      </c>
      <c r="I790" s="7">
        <v>46255</v>
      </c>
      <c r="J790" s="7">
        <f t="shared" si="37"/>
        <v>46259</v>
      </c>
      <c r="K790" s="8">
        <v>60</v>
      </c>
      <c r="L790" s="9">
        <f t="shared" si="36"/>
        <v>0</v>
      </c>
      <c r="M790" s="9" t="str" cm="1">
        <f t="array" ref="M790">_xlfn.IFS(L790&gt;=10,"HIGH",L790=0,"LOW",L790&lt;=9,"MEDIUM")</f>
        <v>LOW</v>
      </c>
      <c r="N790" s="9" t="str" cm="1">
        <f t="array" ref="N790">_xlfn.IFS(M790="HIGH",K790*L790,M790="MEDIUM",K790*L790,M790="LOW","NA")</f>
        <v>NA</v>
      </c>
      <c r="O790" s="18" t="str">
        <f t="shared" si="38"/>
        <v>cleared</v>
      </c>
    </row>
    <row r="791" spans="1:15" x14ac:dyDescent="0.25">
      <c r="A791" s="17">
        <v>787</v>
      </c>
      <c r="B791" s="6" t="s">
        <v>824</v>
      </c>
      <c r="C791" s="6" t="s">
        <v>16</v>
      </c>
      <c r="D791" s="6" t="s">
        <v>34</v>
      </c>
      <c r="E791" s="6" t="s">
        <v>46</v>
      </c>
      <c r="F791" s="6" t="s">
        <v>24</v>
      </c>
      <c r="G791" s="7">
        <v>46174</v>
      </c>
      <c r="H791" s="6">
        <v>5</v>
      </c>
      <c r="I791" s="7">
        <v>46179</v>
      </c>
      <c r="J791" s="7">
        <f t="shared" si="37"/>
        <v>46179</v>
      </c>
      <c r="K791" s="8">
        <v>110</v>
      </c>
      <c r="L791" s="9">
        <f t="shared" si="36"/>
        <v>0</v>
      </c>
      <c r="M791" s="9" t="str" cm="1">
        <f t="array" ref="M791">_xlfn.IFS(L791&gt;=10,"HIGH",L791=0,"LOW",L791&lt;=9,"MEDIUM")</f>
        <v>LOW</v>
      </c>
      <c r="N791" s="9" t="str" cm="1">
        <f t="array" ref="N791">_xlfn.IFS(M791="HIGH",K791*L791,M791="MEDIUM",K791*L791,M791="LOW","NA")</f>
        <v>NA</v>
      </c>
      <c r="O791" s="18" t="str">
        <f t="shared" si="38"/>
        <v>cleared</v>
      </c>
    </row>
    <row r="792" spans="1:15" x14ac:dyDescent="0.25">
      <c r="A792" s="17">
        <v>788</v>
      </c>
      <c r="B792" s="6" t="s">
        <v>825</v>
      </c>
      <c r="C792" s="6" t="s">
        <v>33</v>
      </c>
      <c r="D792" s="6" t="s">
        <v>26</v>
      </c>
      <c r="E792" s="6" t="s">
        <v>39</v>
      </c>
      <c r="F792" s="6" t="s">
        <v>14</v>
      </c>
      <c r="G792" s="7">
        <v>46170</v>
      </c>
      <c r="H792" s="6">
        <v>7</v>
      </c>
      <c r="I792" s="6"/>
      <c r="J792" s="7">
        <f t="shared" si="37"/>
        <v>46177</v>
      </c>
      <c r="K792" s="8">
        <v>60</v>
      </c>
      <c r="L792" s="9">
        <f t="shared" si="36"/>
        <v>82</v>
      </c>
      <c r="M792" s="9" t="str" cm="1">
        <f t="array" ref="M792">_xlfn.IFS(L792&gt;=10,"HIGH",L792=0,"LOW",L792&lt;=9,"MEDIUM")</f>
        <v>HIGH</v>
      </c>
      <c r="N792" s="9" cm="1">
        <f t="array" ref="N792">_xlfn.IFS(M792="HIGH",K792*L792,M792="MEDIUM",K792*L792,M792="LOW","NA")</f>
        <v>4920</v>
      </c>
      <c r="O792" s="18" t="str">
        <f t="shared" si="38"/>
        <v>still in yard</v>
      </c>
    </row>
    <row r="793" spans="1:15" x14ac:dyDescent="0.25">
      <c r="A793" s="17">
        <v>789</v>
      </c>
      <c r="B793" s="6" t="s">
        <v>826</v>
      </c>
      <c r="C793" s="6" t="s">
        <v>37</v>
      </c>
      <c r="D793" s="6" t="s">
        <v>12</v>
      </c>
      <c r="E793" s="6" t="s">
        <v>18</v>
      </c>
      <c r="F793" s="6" t="s">
        <v>27</v>
      </c>
      <c r="G793" s="7">
        <v>46232</v>
      </c>
      <c r="H793" s="6">
        <v>6</v>
      </c>
      <c r="I793" s="7">
        <v>46233</v>
      </c>
      <c r="J793" s="7">
        <f t="shared" si="37"/>
        <v>46238</v>
      </c>
      <c r="K793" s="8">
        <v>75</v>
      </c>
      <c r="L793" s="9">
        <f t="shared" si="36"/>
        <v>0</v>
      </c>
      <c r="M793" s="9" t="str" cm="1">
        <f t="array" ref="M793">_xlfn.IFS(L793&gt;=10,"HIGH",L793=0,"LOW",L793&lt;=9,"MEDIUM")</f>
        <v>LOW</v>
      </c>
      <c r="N793" s="9" t="str" cm="1">
        <f t="array" ref="N793">_xlfn.IFS(M793="HIGH",K793*L793,M793="MEDIUM",K793*L793,M793="LOW","NA")</f>
        <v>NA</v>
      </c>
      <c r="O793" s="18" t="str">
        <f t="shared" si="38"/>
        <v>cleared</v>
      </c>
    </row>
    <row r="794" spans="1:15" x14ac:dyDescent="0.25">
      <c r="A794" s="17">
        <v>790</v>
      </c>
      <c r="B794" s="6" t="s">
        <v>827</v>
      </c>
      <c r="C794" s="6" t="s">
        <v>11</v>
      </c>
      <c r="D794" s="6" t="s">
        <v>41</v>
      </c>
      <c r="E794" s="6" t="s">
        <v>35</v>
      </c>
      <c r="F794" s="6" t="s">
        <v>14</v>
      </c>
      <c r="G794" s="7">
        <v>46178</v>
      </c>
      <c r="H794" s="6">
        <v>5</v>
      </c>
      <c r="I794" s="7">
        <v>46187</v>
      </c>
      <c r="J794" s="7">
        <f t="shared" si="37"/>
        <v>46183</v>
      </c>
      <c r="K794" s="8">
        <v>60</v>
      </c>
      <c r="L794" s="9">
        <f t="shared" si="36"/>
        <v>4</v>
      </c>
      <c r="M794" s="9" t="str" cm="1">
        <f t="array" ref="M794">_xlfn.IFS(L794&gt;=10,"HIGH",L794=0,"LOW",L794&lt;=9,"MEDIUM")</f>
        <v>MEDIUM</v>
      </c>
      <c r="N794" s="9" cm="1">
        <f t="array" ref="N794">_xlfn.IFS(M794="HIGH",K794*L794,M794="MEDIUM",K794*L794,M794="LOW","NA")</f>
        <v>240</v>
      </c>
      <c r="O794" s="18" t="str">
        <f t="shared" si="38"/>
        <v>cleared</v>
      </c>
    </row>
    <row r="795" spans="1:15" x14ac:dyDescent="0.25">
      <c r="A795" s="17">
        <v>791</v>
      </c>
      <c r="B795" s="6" t="s">
        <v>828</v>
      </c>
      <c r="C795" s="6" t="s">
        <v>33</v>
      </c>
      <c r="D795" s="6" t="s">
        <v>54</v>
      </c>
      <c r="E795" s="6" t="s">
        <v>44</v>
      </c>
      <c r="F795" s="6" t="s">
        <v>29</v>
      </c>
      <c r="G795" s="7">
        <v>46206</v>
      </c>
      <c r="H795" s="6">
        <v>4</v>
      </c>
      <c r="I795" s="7">
        <v>46211</v>
      </c>
      <c r="J795" s="7">
        <f t="shared" si="37"/>
        <v>46210</v>
      </c>
      <c r="K795" s="8">
        <v>150</v>
      </c>
      <c r="L795" s="9">
        <f t="shared" si="36"/>
        <v>1</v>
      </c>
      <c r="M795" s="9" t="str" cm="1">
        <f t="array" ref="M795">_xlfn.IFS(L795&gt;=10,"HIGH",L795=0,"LOW",L795&lt;=9,"MEDIUM")</f>
        <v>MEDIUM</v>
      </c>
      <c r="N795" s="9" cm="1">
        <f t="array" ref="N795">_xlfn.IFS(M795="HIGH",K795*L795,M795="MEDIUM",K795*L795,M795="LOW","NA")</f>
        <v>150</v>
      </c>
      <c r="O795" s="18" t="str">
        <f t="shared" si="38"/>
        <v>cleared</v>
      </c>
    </row>
    <row r="796" spans="1:15" x14ac:dyDescent="0.25">
      <c r="A796" s="17">
        <v>792</v>
      </c>
      <c r="B796" s="6" t="s">
        <v>829</v>
      </c>
      <c r="C796" s="6" t="s">
        <v>37</v>
      </c>
      <c r="D796" s="6" t="s">
        <v>12</v>
      </c>
      <c r="E796" s="6" t="s">
        <v>44</v>
      </c>
      <c r="F796" s="6" t="s">
        <v>29</v>
      </c>
      <c r="G796" s="7">
        <v>46228</v>
      </c>
      <c r="H796" s="6">
        <v>4</v>
      </c>
      <c r="I796" s="7">
        <v>46229</v>
      </c>
      <c r="J796" s="7">
        <f t="shared" si="37"/>
        <v>46232</v>
      </c>
      <c r="K796" s="8">
        <v>180</v>
      </c>
      <c r="L796" s="9">
        <f t="shared" si="36"/>
        <v>0</v>
      </c>
      <c r="M796" s="9" t="str" cm="1">
        <f t="array" ref="M796">_xlfn.IFS(L796&gt;=10,"HIGH",L796=0,"LOW",L796&lt;=9,"MEDIUM")</f>
        <v>LOW</v>
      </c>
      <c r="N796" s="9" t="str" cm="1">
        <f t="array" ref="N796">_xlfn.IFS(M796="HIGH",K796*L796,M796="MEDIUM",K796*L796,M796="LOW","NA")</f>
        <v>NA</v>
      </c>
      <c r="O796" s="18" t="str">
        <f t="shared" si="38"/>
        <v>cleared</v>
      </c>
    </row>
    <row r="797" spans="1:15" x14ac:dyDescent="0.25">
      <c r="A797" s="17">
        <v>793</v>
      </c>
      <c r="B797" s="6" t="s">
        <v>830</v>
      </c>
      <c r="C797" s="6" t="s">
        <v>16</v>
      </c>
      <c r="D797" s="6" t="s">
        <v>34</v>
      </c>
      <c r="E797" s="6" t="s">
        <v>44</v>
      </c>
      <c r="F797" s="6" t="s">
        <v>29</v>
      </c>
      <c r="G797" s="7">
        <v>46233</v>
      </c>
      <c r="H797" s="6">
        <v>3</v>
      </c>
      <c r="I797" s="7">
        <v>46236</v>
      </c>
      <c r="J797" s="7">
        <f t="shared" si="37"/>
        <v>46236</v>
      </c>
      <c r="K797" s="8">
        <v>120</v>
      </c>
      <c r="L797" s="9">
        <f t="shared" si="36"/>
        <v>0</v>
      </c>
      <c r="M797" s="9" t="str" cm="1">
        <f t="array" ref="M797">_xlfn.IFS(L797&gt;=10,"HIGH",L797=0,"LOW",L797&lt;=9,"MEDIUM")</f>
        <v>LOW</v>
      </c>
      <c r="N797" s="9" t="str" cm="1">
        <f t="array" ref="N797">_xlfn.IFS(M797="HIGH",K797*L797,M797="MEDIUM",K797*L797,M797="LOW","NA")</f>
        <v>NA</v>
      </c>
      <c r="O797" s="18" t="str">
        <f t="shared" si="38"/>
        <v>cleared</v>
      </c>
    </row>
    <row r="798" spans="1:15" x14ac:dyDescent="0.25">
      <c r="A798" s="17">
        <v>794</v>
      </c>
      <c r="B798" s="6" t="s">
        <v>831</v>
      </c>
      <c r="C798" s="6" t="s">
        <v>16</v>
      </c>
      <c r="D798" s="6" t="s">
        <v>56</v>
      </c>
      <c r="E798" s="6" t="s">
        <v>44</v>
      </c>
      <c r="F798" s="6" t="s">
        <v>29</v>
      </c>
      <c r="G798" s="7">
        <v>46196</v>
      </c>
      <c r="H798" s="6">
        <v>4</v>
      </c>
      <c r="I798" s="7">
        <v>46198</v>
      </c>
      <c r="J798" s="7">
        <f t="shared" si="37"/>
        <v>46200</v>
      </c>
      <c r="K798" s="8">
        <v>150</v>
      </c>
      <c r="L798" s="9">
        <f t="shared" si="36"/>
        <v>0</v>
      </c>
      <c r="M798" s="9" t="str" cm="1">
        <f t="array" ref="M798">_xlfn.IFS(L798&gt;=10,"HIGH",L798=0,"LOW",L798&lt;=9,"MEDIUM")</f>
        <v>LOW</v>
      </c>
      <c r="N798" s="9" t="str" cm="1">
        <f t="array" ref="N798">_xlfn.IFS(M798="HIGH",K798*L798,M798="MEDIUM",K798*L798,M798="LOW","NA")</f>
        <v>NA</v>
      </c>
      <c r="O798" s="18" t="str">
        <f t="shared" si="38"/>
        <v>cleared</v>
      </c>
    </row>
    <row r="799" spans="1:15" x14ac:dyDescent="0.25">
      <c r="A799" s="17">
        <v>795</v>
      </c>
      <c r="B799" s="6" t="s">
        <v>832</v>
      </c>
      <c r="C799" s="6" t="s">
        <v>11</v>
      </c>
      <c r="D799" s="6" t="s">
        <v>54</v>
      </c>
      <c r="E799" s="6" t="s">
        <v>13</v>
      </c>
      <c r="F799" s="6" t="s">
        <v>24</v>
      </c>
      <c r="G799" s="7">
        <v>46206</v>
      </c>
      <c r="H799" s="6">
        <v>7</v>
      </c>
      <c r="I799" s="7">
        <v>46214</v>
      </c>
      <c r="J799" s="7">
        <f t="shared" si="37"/>
        <v>46213</v>
      </c>
      <c r="K799" s="8">
        <v>110</v>
      </c>
      <c r="L799" s="9">
        <f t="shared" si="36"/>
        <v>1</v>
      </c>
      <c r="M799" s="9" t="str" cm="1">
        <f t="array" ref="M799">_xlfn.IFS(L799&gt;=10,"HIGH",L799=0,"LOW",L799&lt;=9,"MEDIUM")</f>
        <v>MEDIUM</v>
      </c>
      <c r="N799" s="9" cm="1">
        <f t="array" ref="N799">_xlfn.IFS(M799="HIGH",K799*L799,M799="MEDIUM",K799*L799,M799="LOW","NA")</f>
        <v>110</v>
      </c>
      <c r="O799" s="18" t="str">
        <f t="shared" si="38"/>
        <v>cleared</v>
      </c>
    </row>
    <row r="800" spans="1:15" x14ac:dyDescent="0.25">
      <c r="A800" s="17">
        <v>796</v>
      </c>
      <c r="B800" s="6" t="s">
        <v>833</v>
      </c>
      <c r="C800" s="6" t="s">
        <v>33</v>
      </c>
      <c r="D800" s="6" t="s">
        <v>56</v>
      </c>
      <c r="E800" s="6" t="s">
        <v>35</v>
      </c>
      <c r="F800" s="6" t="s">
        <v>14</v>
      </c>
      <c r="G800" s="7">
        <v>46207</v>
      </c>
      <c r="H800" s="6">
        <v>4</v>
      </c>
      <c r="I800" s="7">
        <v>46208</v>
      </c>
      <c r="J800" s="7">
        <f t="shared" si="37"/>
        <v>46211</v>
      </c>
      <c r="K800" s="8">
        <v>60</v>
      </c>
      <c r="L800" s="9">
        <f t="shared" si="36"/>
        <v>0</v>
      </c>
      <c r="M800" s="9" t="str" cm="1">
        <f t="array" ref="M800">_xlfn.IFS(L800&gt;=10,"HIGH",L800=0,"LOW",L800&lt;=9,"MEDIUM")</f>
        <v>LOW</v>
      </c>
      <c r="N800" s="9" t="str" cm="1">
        <f t="array" ref="N800">_xlfn.IFS(M800="HIGH",K800*L800,M800="MEDIUM",K800*L800,M800="LOW","NA")</f>
        <v>NA</v>
      </c>
      <c r="O800" s="18" t="str">
        <f t="shared" si="38"/>
        <v>cleared</v>
      </c>
    </row>
    <row r="801" spans="1:15" x14ac:dyDescent="0.25">
      <c r="A801" s="17">
        <v>797</v>
      </c>
      <c r="B801" s="6" t="s">
        <v>834</v>
      </c>
      <c r="C801" s="6" t="s">
        <v>16</v>
      </c>
      <c r="D801" s="6" t="s">
        <v>26</v>
      </c>
      <c r="E801" s="6" t="s">
        <v>35</v>
      </c>
      <c r="F801" s="6" t="s">
        <v>24</v>
      </c>
      <c r="G801" s="7">
        <v>46253</v>
      </c>
      <c r="H801" s="6">
        <v>7</v>
      </c>
      <c r="I801" s="7">
        <v>46259</v>
      </c>
      <c r="J801" s="7">
        <f t="shared" si="37"/>
        <v>46260</v>
      </c>
      <c r="K801" s="8">
        <v>130</v>
      </c>
      <c r="L801" s="9">
        <f t="shared" si="36"/>
        <v>0</v>
      </c>
      <c r="M801" s="9" t="str" cm="1">
        <f t="array" ref="M801">_xlfn.IFS(L801&gt;=10,"HIGH",L801=0,"LOW",L801&lt;=9,"MEDIUM")</f>
        <v>LOW</v>
      </c>
      <c r="N801" s="9" t="str" cm="1">
        <f t="array" ref="N801">_xlfn.IFS(M801="HIGH",K801*L801,M801="MEDIUM",K801*L801,M801="LOW","NA")</f>
        <v>NA</v>
      </c>
      <c r="O801" s="18" t="str">
        <f t="shared" si="38"/>
        <v>cleared</v>
      </c>
    </row>
    <row r="802" spans="1:15" x14ac:dyDescent="0.25">
      <c r="A802" s="17">
        <v>798</v>
      </c>
      <c r="B802" s="6" t="s">
        <v>835</v>
      </c>
      <c r="C802" s="6" t="s">
        <v>11</v>
      </c>
      <c r="D802" s="6" t="s">
        <v>54</v>
      </c>
      <c r="E802" s="6" t="s">
        <v>35</v>
      </c>
      <c r="F802" s="6" t="s">
        <v>27</v>
      </c>
      <c r="G802" s="7">
        <v>46214</v>
      </c>
      <c r="H802" s="6">
        <v>7</v>
      </c>
      <c r="I802" s="7">
        <v>46225</v>
      </c>
      <c r="J802" s="7">
        <f t="shared" si="37"/>
        <v>46221</v>
      </c>
      <c r="K802" s="8">
        <v>130</v>
      </c>
      <c r="L802" s="9">
        <f t="shared" si="36"/>
        <v>4</v>
      </c>
      <c r="M802" s="9" t="str" cm="1">
        <f t="array" ref="M802">_xlfn.IFS(L802&gt;=10,"HIGH",L802=0,"LOW",L802&lt;=9,"MEDIUM")</f>
        <v>MEDIUM</v>
      </c>
      <c r="N802" s="9" cm="1">
        <f t="array" ref="N802">_xlfn.IFS(M802="HIGH",K802*L802,M802="MEDIUM",K802*L802,M802="LOW","NA")</f>
        <v>520</v>
      </c>
      <c r="O802" s="18" t="str">
        <f t="shared" si="38"/>
        <v>cleared</v>
      </c>
    </row>
    <row r="803" spans="1:15" x14ac:dyDescent="0.25">
      <c r="A803" s="17">
        <v>799</v>
      </c>
      <c r="B803" s="6" t="s">
        <v>836</v>
      </c>
      <c r="C803" s="6" t="s">
        <v>16</v>
      </c>
      <c r="D803" s="6" t="s">
        <v>34</v>
      </c>
      <c r="E803" s="6" t="s">
        <v>46</v>
      </c>
      <c r="F803" s="6" t="s">
        <v>27</v>
      </c>
      <c r="G803" s="7">
        <v>46186</v>
      </c>
      <c r="H803" s="6">
        <v>6</v>
      </c>
      <c r="I803" s="7">
        <v>46195</v>
      </c>
      <c r="J803" s="7">
        <f t="shared" si="37"/>
        <v>46192</v>
      </c>
      <c r="K803" s="8">
        <v>130</v>
      </c>
      <c r="L803" s="9">
        <f t="shared" si="36"/>
        <v>3</v>
      </c>
      <c r="M803" s="9" t="str" cm="1">
        <f t="array" ref="M803">_xlfn.IFS(L803&gt;=10,"HIGH",L803=0,"LOW",L803&lt;=9,"MEDIUM")</f>
        <v>MEDIUM</v>
      </c>
      <c r="N803" s="9" cm="1">
        <f t="array" ref="N803">_xlfn.IFS(M803="HIGH",K803*L803,M803="MEDIUM",K803*L803,M803="LOW","NA")</f>
        <v>390</v>
      </c>
      <c r="O803" s="18" t="str">
        <f t="shared" si="38"/>
        <v>cleared</v>
      </c>
    </row>
    <row r="804" spans="1:15" x14ac:dyDescent="0.25">
      <c r="A804" s="17">
        <v>800</v>
      </c>
      <c r="B804" s="6" t="s">
        <v>837</v>
      </c>
      <c r="C804" s="6" t="s">
        <v>16</v>
      </c>
      <c r="D804" s="6" t="s">
        <v>49</v>
      </c>
      <c r="E804" s="6" t="s">
        <v>35</v>
      </c>
      <c r="F804" s="6" t="s">
        <v>27</v>
      </c>
      <c r="G804" s="7">
        <v>46179</v>
      </c>
      <c r="H804" s="6">
        <v>6</v>
      </c>
      <c r="I804" s="7">
        <v>46185</v>
      </c>
      <c r="J804" s="7">
        <f t="shared" si="37"/>
        <v>46185</v>
      </c>
      <c r="K804" s="8">
        <v>90</v>
      </c>
      <c r="L804" s="9">
        <f t="shared" si="36"/>
        <v>0</v>
      </c>
      <c r="M804" s="9" t="str" cm="1">
        <f t="array" ref="M804">_xlfn.IFS(L804&gt;=10,"HIGH",L804=0,"LOW",L804&lt;=9,"MEDIUM")</f>
        <v>LOW</v>
      </c>
      <c r="N804" s="9" t="str" cm="1">
        <f t="array" ref="N804">_xlfn.IFS(M804="HIGH",K804*L804,M804="MEDIUM",K804*L804,M804="LOW","NA")</f>
        <v>NA</v>
      </c>
      <c r="O804" s="18" t="str">
        <f t="shared" si="38"/>
        <v>cleared</v>
      </c>
    </row>
    <row r="805" spans="1:15" x14ac:dyDescent="0.25">
      <c r="A805" s="17">
        <v>801</v>
      </c>
      <c r="B805" s="6" t="s">
        <v>838</v>
      </c>
      <c r="C805" s="6" t="s">
        <v>16</v>
      </c>
      <c r="D805" s="6" t="s">
        <v>12</v>
      </c>
      <c r="E805" s="6" t="s">
        <v>39</v>
      </c>
      <c r="F805" s="6" t="s">
        <v>14</v>
      </c>
      <c r="G805" s="7">
        <v>46227</v>
      </c>
      <c r="H805" s="6">
        <v>4</v>
      </c>
      <c r="I805" s="7">
        <v>46230</v>
      </c>
      <c r="J805" s="7">
        <f t="shared" si="37"/>
        <v>46231</v>
      </c>
      <c r="K805" s="8">
        <v>75</v>
      </c>
      <c r="L805" s="9">
        <f t="shared" si="36"/>
        <v>0</v>
      </c>
      <c r="M805" s="9" t="str" cm="1">
        <f t="array" ref="M805">_xlfn.IFS(L805&gt;=10,"HIGH",L805=0,"LOW",L805&lt;=9,"MEDIUM")</f>
        <v>LOW</v>
      </c>
      <c r="N805" s="9" t="str" cm="1">
        <f t="array" ref="N805">_xlfn.IFS(M805="HIGH",K805*L805,M805="MEDIUM",K805*L805,M805="LOW","NA")</f>
        <v>NA</v>
      </c>
      <c r="O805" s="18" t="str">
        <f t="shared" si="38"/>
        <v>cleared</v>
      </c>
    </row>
    <row r="806" spans="1:15" x14ac:dyDescent="0.25">
      <c r="A806" s="17">
        <v>802</v>
      </c>
      <c r="B806" s="6" t="s">
        <v>839</v>
      </c>
      <c r="C806" s="6" t="s">
        <v>11</v>
      </c>
      <c r="D806" s="6" t="s">
        <v>20</v>
      </c>
      <c r="E806" s="6" t="s">
        <v>13</v>
      </c>
      <c r="F806" s="6" t="s">
        <v>27</v>
      </c>
      <c r="G806" s="7">
        <v>46191</v>
      </c>
      <c r="H806" s="6">
        <v>7</v>
      </c>
      <c r="I806" s="7">
        <v>46196</v>
      </c>
      <c r="J806" s="7">
        <f t="shared" si="37"/>
        <v>46198</v>
      </c>
      <c r="K806" s="8">
        <v>60</v>
      </c>
      <c r="L806" s="9">
        <f t="shared" si="36"/>
        <v>0</v>
      </c>
      <c r="M806" s="9" t="str" cm="1">
        <f t="array" ref="M806">_xlfn.IFS(L806&gt;=10,"HIGH",L806=0,"LOW",L806&lt;=9,"MEDIUM")</f>
        <v>LOW</v>
      </c>
      <c r="N806" s="9" t="str" cm="1">
        <f t="array" ref="N806">_xlfn.IFS(M806="HIGH",K806*L806,M806="MEDIUM",K806*L806,M806="LOW","NA")</f>
        <v>NA</v>
      </c>
      <c r="O806" s="18" t="str">
        <f t="shared" si="38"/>
        <v>cleared</v>
      </c>
    </row>
    <row r="807" spans="1:15" x14ac:dyDescent="0.25">
      <c r="A807" s="17">
        <v>803</v>
      </c>
      <c r="B807" s="6" t="s">
        <v>840</v>
      </c>
      <c r="C807" s="6" t="s">
        <v>37</v>
      </c>
      <c r="D807" s="6" t="s">
        <v>41</v>
      </c>
      <c r="E807" s="6" t="s">
        <v>61</v>
      </c>
      <c r="F807" s="6" t="s">
        <v>29</v>
      </c>
      <c r="G807" s="7">
        <v>46214</v>
      </c>
      <c r="H807" s="6">
        <v>3</v>
      </c>
      <c r="I807" s="7">
        <v>46215</v>
      </c>
      <c r="J807" s="7">
        <f t="shared" si="37"/>
        <v>46217</v>
      </c>
      <c r="K807" s="8">
        <v>120</v>
      </c>
      <c r="L807" s="9">
        <f t="shared" si="36"/>
        <v>0</v>
      </c>
      <c r="M807" s="9" t="str" cm="1">
        <f t="array" ref="M807">_xlfn.IFS(L807&gt;=10,"HIGH",L807=0,"LOW",L807&lt;=9,"MEDIUM")</f>
        <v>LOW</v>
      </c>
      <c r="N807" s="9" t="str" cm="1">
        <f t="array" ref="N807">_xlfn.IFS(M807="HIGH",K807*L807,M807="MEDIUM",K807*L807,M807="LOW","NA")</f>
        <v>NA</v>
      </c>
      <c r="O807" s="18" t="str">
        <f t="shared" si="38"/>
        <v>cleared</v>
      </c>
    </row>
    <row r="808" spans="1:15" x14ac:dyDescent="0.25">
      <c r="A808" s="17">
        <v>804</v>
      </c>
      <c r="B808" s="6" t="s">
        <v>841</v>
      </c>
      <c r="C808" s="6" t="s">
        <v>11</v>
      </c>
      <c r="D808" s="6" t="s">
        <v>34</v>
      </c>
      <c r="E808" s="6" t="s">
        <v>44</v>
      </c>
      <c r="F808" s="6" t="s">
        <v>24</v>
      </c>
      <c r="G808" s="7">
        <v>46195</v>
      </c>
      <c r="H808" s="6">
        <v>4</v>
      </c>
      <c r="I808" s="7">
        <v>46202</v>
      </c>
      <c r="J808" s="7">
        <f t="shared" si="37"/>
        <v>46199</v>
      </c>
      <c r="K808" s="8">
        <v>110</v>
      </c>
      <c r="L808" s="9">
        <f t="shared" si="36"/>
        <v>3</v>
      </c>
      <c r="M808" s="9" t="str" cm="1">
        <f t="array" ref="M808">_xlfn.IFS(L808&gt;=10,"HIGH",L808=0,"LOW",L808&lt;=9,"MEDIUM")</f>
        <v>MEDIUM</v>
      </c>
      <c r="N808" s="9" cm="1">
        <f t="array" ref="N808">_xlfn.IFS(M808="HIGH",K808*L808,M808="MEDIUM",K808*L808,M808="LOW","NA")</f>
        <v>330</v>
      </c>
      <c r="O808" s="18" t="str">
        <f t="shared" si="38"/>
        <v>cleared</v>
      </c>
    </row>
    <row r="809" spans="1:15" x14ac:dyDescent="0.25">
      <c r="A809" s="17">
        <v>805</v>
      </c>
      <c r="B809" s="6" t="s">
        <v>842</v>
      </c>
      <c r="C809" s="6" t="s">
        <v>16</v>
      </c>
      <c r="D809" s="6" t="s">
        <v>34</v>
      </c>
      <c r="E809" s="6" t="s">
        <v>39</v>
      </c>
      <c r="F809" s="6" t="s">
        <v>14</v>
      </c>
      <c r="G809" s="7">
        <v>46239</v>
      </c>
      <c r="H809" s="6">
        <v>6</v>
      </c>
      <c r="I809" s="6"/>
      <c r="J809" s="7">
        <f t="shared" si="37"/>
        <v>46245</v>
      </c>
      <c r="K809" s="8">
        <v>90</v>
      </c>
      <c r="L809" s="9">
        <f t="shared" si="36"/>
        <v>14</v>
      </c>
      <c r="M809" s="9" t="str" cm="1">
        <f t="array" ref="M809">_xlfn.IFS(L809&gt;=10,"HIGH",L809=0,"LOW",L809&lt;=9,"MEDIUM")</f>
        <v>HIGH</v>
      </c>
      <c r="N809" s="9" cm="1">
        <f t="array" ref="N809">_xlfn.IFS(M809="HIGH",K809*L809,M809="MEDIUM",K809*L809,M809="LOW","NA")</f>
        <v>1260</v>
      </c>
      <c r="O809" s="18" t="str">
        <f t="shared" si="38"/>
        <v>still in yard</v>
      </c>
    </row>
    <row r="810" spans="1:15" x14ac:dyDescent="0.25">
      <c r="A810" s="17">
        <v>806</v>
      </c>
      <c r="B810" s="6" t="s">
        <v>843</v>
      </c>
      <c r="C810" s="6" t="s">
        <v>16</v>
      </c>
      <c r="D810" s="6" t="s">
        <v>26</v>
      </c>
      <c r="E810" s="6" t="s">
        <v>42</v>
      </c>
      <c r="F810" s="6" t="s">
        <v>29</v>
      </c>
      <c r="G810" s="7">
        <v>46194</v>
      </c>
      <c r="H810" s="6">
        <v>3</v>
      </c>
      <c r="I810" s="7">
        <v>46203</v>
      </c>
      <c r="J810" s="7">
        <f t="shared" si="37"/>
        <v>46197</v>
      </c>
      <c r="K810" s="8">
        <v>120</v>
      </c>
      <c r="L810" s="9">
        <f t="shared" si="36"/>
        <v>6</v>
      </c>
      <c r="M810" s="9" t="str" cm="1">
        <f t="array" ref="M810">_xlfn.IFS(L810&gt;=10,"HIGH",L810=0,"LOW",L810&lt;=9,"MEDIUM")</f>
        <v>MEDIUM</v>
      </c>
      <c r="N810" s="9" cm="1">
        <f t="array" ref="N810">_xlfn.IFS(M810="HIGH",K810*L810,M810="MEDIUM",K810*L810,M810="LOW","NA")</f>
        <v>720</v>
      </c>
      <c r="O810" s="18" t="str">
        <f t="shared" si="38"/>
        <v>cleared</v>
      </c>
    </row>
    <row r="811" spans="1:15" x14ac:dyDescent="0.25">
      <c r="A811" s="17">
        <v>807</v>
      </c>
      <c r="B811" s="6" t="s">
        <v>844</v>
      </c>
      <c r="C811" s="6" t="s">
        <v>37</v>
      </c>
      <c r="D811" s="6" t="s">
        <v>12</v>
      </c>
      <c r="E811" s="6" t="s">
        <v>46</v>
      </c>
      <c r="F811" s="6" t="s">
        <v>27</v>
      </c>
      <c r="G811" s="7">
        <v>46258</v>
      </c>
      <c r="H811" s="6">
        <v>4</v>
      </c>
      <c r="I811" s="7">
        <v>46259</v>
      </c>
      <c r="J811" s="7">
        <f t="shared" si="37"/>
        <v>46262</v>
      </c>
      <c r="K811" s="8">
        <v>75</v>
      </c>
      <c r="L811" s="9">
        <f t="shared" si="36"/>
        <v>0</v>
      </c>
      <c r="M811" s="9" t="str" cm="1">
        <f t="array" ref="M811">_xlfn.IFS(L811&gt;=10,"HIGH",L811=0,"LOW",L811&lt;=9,"MEDIUM")</f>
        <v>LOW</v>
      </c>
      <c r="N811" s="9" t="str" cm="1">
        <f t="array" ref="N811">_xlfn.IFS(M811="HIGH",K811*L811,M811="MEDIUM",K811*L811,M811="LOW","NA")</f>
        <v>NA</v>
      </c>
      <c r="O811" s="18" t="str">
        <f t="shared" si="38"/>
        <v>cleared</v>
      </c>
    </row>
    <row r="812" spans="1:15" x14ac:dyDescent="0.25">
      <c r="A812" s="17">
        <v>808</v>
      </c>
      <c r="B812" s="6" t="s">
        <v>845</v>
      </c>
      <c r="C812" s="6" t="s">
        <v>33</v>
      </c>
      <c r="D812" s="6" t="s">
        <v>17</v>
      </c>
      <c r="E812" s="6" t="s">
        <v>39</v>
      </c>
      <c r="F812" s="6" t="s">
        <v>27</v>
      </c>
      <c r="G812" s="7">
        <v>46235</v>
      </c>
      <c r="H812" s="6">
        <v>5</v>
      </c>
      <c r="I812" s="7">
        <v>46238</v>
      </c>
      <c r="J812" s="7">
        <f t="shared" si="37"/>
        <v>46240</v>
      </c>
      <c r="K812" s="8">
        <v>110</v>
      </c>
      <c r="L812" s="9">
        <f t="shared" si="36"/>
        <v>0</v>
      </c>
      <c r="M812" s="9" t="str" cm="1">
        <f t="array" ref="M812">_xlfn.IFS(L812&gt;=10,"HIGH",L812=0,"LOW",L812&lt;=9,"MEDIUM")</f>
        <v>LOW</v>
      </c>
      <c r="N812" s="9" t="str" cm="1">
        <f t="array" ref="N812">_xlfn.IFS(M812="HIGH",K812*L812,M812="MEDIUM",K812*L812,M812="LOW","NA")</f>
        <v>NA</v>
      </c>
      <c r="O812" s="18" t="str">
        <f t="shared" si="38"/>
        <v>cleared</v>
      </c>
    </row>
    <row r="813" spans="1:15" x14ac:dyDescent="0.25">
      <c r="A813" s="17">
        <v>809</v>
      </c>
      <c r="B813" s="6" t="s">
        <v>846</v>
      </c>
      <c r="C813" s="6" t="s">
        <v>37</v>
      </c>
      <c r="D813" s="6" t="s">
        <v>26</v>
      </c>
      <c r="E813" s="6" t="s">
        <v>35</v>
      </c>
      <c r="F813" s="6" t="s">
        <v>24</v>
      </c>
      <c r="G813" s="7">
        <v>46226</v>
      </c>
      <c r="H813" s="6">
        <v>7</v>
      </c>
      <c r="I813" s="7">
        <v>46238</v>
      </c>
      <c r="J813" s="7">
        <f t="shared" si="37"/>
        <v>46233</v>
      </c>
      <c r="K813" s="8">
        <v>75</v>
      </c>
      <c r="L813" s="9">
        <f t="shared" si="36"/>
        <v>5</v>
      </c>
      <c r="M813" s="9" t="str" cm="1">
        <f t="array" ref="M813">_xlfn.IFS(L813&gt;=10,"HIGH",L813=0,"LOW",L813&lt;=9,"MEDIUM")</f>
        <v>MEDIUM</v>
      </c>
      <c r="N813" s="9" cm="1">
        <f t="array" ref="N813">_xlfn.IFS(M813="HIGH",K813*L813,M813="MEDIUM",K813*L813,M813="LOW","NA")</f>
        <v>375</v>
      </c>
      <c r="O813" s="18" t="str">
        <f t="shared" si="38"/>
        <v>cleared</v>
      </c>
    </row>
    <row r="814" spans="1:15" x14ac:dyDescent="0.25">
      <c r="A814" s="17">
        <v>810</v>
      </c>
      <c r="B814" s="6" t="s">
        <v>847</v>
      </c>
      <c r="C814" s="6" t="s">
        <v>37</v>
      </c>
      <c r="D814" s="6" t="s">
        <v>54</v>
      </c>
      <c r="E814" s="6" t="s">
        <v>42</v>
      </c>
      <c r="F814" s="6" t="s">
        <v>27</v>
      </c>
      <c r="G814" s="7">
        <v>46219</v>
      </c>
      <c r="H814" s="6">
        <v>4</v>
      </c>
      <c r="I814" s="7">
        <v>46228</v>
      </c>
      <c r="J814" s="7">
        <f t="shared" si="37"/>
        <v>46223</v>
      </c>
      <c r="K814" s="8">
        <v>60</v>
      </c>
      <c r="L814" s="9">
        <f t="shared" si="36"/>
        <v>5</v>
      </c>
      <c r="M814" s="9" t="str" cm="1">
        <f t="array" ref="M814">_xlfn.IFS(L814&gt;=10,"HIGH",L814=0,"LOW",L814&lt;=9,"MEDIUM")</f>
        <v>MEDIUM</v>
      </c>
      <c r="N814" s="9" cm="1">
        <f t="array" ref="N814">_xlfn.IFS(M814="HIGH",K814*L814,M814="MEDIUM",K814*L814,M814="LOW","NA")</f>
        <v>300</v>
      </c>
      <c r="O814" s="18" t="str">
        <f t="shared" si="38"/>
        <v>cleared</v>
      </c>
    </row>
    <row r="815" spans="1:15" x14ac:dyDescent="0.25">
      <c r="A815" s="17">
        <v>811</v>
      </c>
      <c r="B815" s="6" t="s">
        <v>848</v>
      </c>
      <c r="C815" s="6" t="s">
        <v>11</v>
      </c>
      <c r="D815" s="6" t="s">
        <v>41</v>
      </c>
      <c r="E815" s="6" t="s">
        <v>61</v>
      </c>
      <c r="F815" s="6" t="s">
        <v>27</v>
      </c>
      <c r="G815" s="7">
        <v>46202</v>
      </c>
      <c r="H815" s="6">
        <v>4</v>
      </c>
      <c r="I815" s="6"/>
      <c r="J815" s="7">
        <f t="shared" si="37"/>
        <v>46206</v>
      </c>
      <c r="K815" s="8">
        <v>110</v>
      </c>
      <c r="L815" s="9">
        <f t="shared" si="36"/>
        <v>53</v>
      </c>
      <c r="M815" s="9" t="str" cm="1">
        <f t="array" ref="M815">_xlfn.IFS(L815&gt;=10,"HIGH",L815=0,"LOW",L815&lt;=9,"MEDIUM")</f>
        <v>HIGH</v>
      </c>
      <c r="N815" s="9" cm="1">
        <f t="array" ref="N815">_xlfn.IFS(M815="HIGH",K815*L815,M815="MEDIUM",K815*L815,M815="LOW","NA")</f>
        <v>5830</v>
      </c>
      <c r="O815" s="18" t="str">
        <f t="shared" si="38"/>
        <v>still in yard</v>
      </c>
    </row>
    <row r="816" spans="1:15" x14ac:dyDescent="0.25">
      <c r="A816" s="17">
        <v>812</v>
      </c>
      <c r="B816" s="6" t="s">
        <v>849</v>
      </c>
      <c r="C816" s="6" t="s">
        <v>37</v>
      </c>
      <c r="D816" s="6" t="s">
        <v>12</v>
      </c>
      <c r="E816" s="6" t="s">
        <v>18</v>
      </c>
      <c r="F816" s="6" t="s">
        <v>14</v>
      </c>
      <c r="G816" s="7">
        <v>46258</v>
      </c>
      <c r="H816" s="6">
        <v>4</v>
      </c>
      <c r="I816" s="7">
        <v>46259</v>
      </c>
      <c r="J816" s="7">
        <f t="shared" si="37"/>
        <v>46262</v>
      </c>
      <c r="K816" s="8">
        <v>110</v>
      </c>
      <c r="L816" s="9">
        <f t="shared" si="36"/>
        <v>0</v>
      </c>
      <c r="M816" s="9" t="str" cm="1">
        <f t="array" ref="M816">_xlfn.IFS(L816&gt;=10,"HIGH",L816=0,"LOW",L816&lt;=9,"MEDIUM")</f>
        <v>LOW</v>
      </c>
      <c r="N816" s="9" t="str" cm="1">
        <f t="array" ref="N816">_xlfn.IFS(M816="HIGH",K816*L816,M816="MEDIUM",K816*L816,M816="LOW","NA")</f>
        <v>NA</v>
      </c>
      <c r="O816" s="18" t="str">
        <f t="shared" si="38"/>
        <v>cleared</v>
      </c>
    </row>
    <row r="817" spans="1:15" x14ac:dyDescent="0.25">
      <c r="A817" s="17">
        <v>813</v>
      </c>
      <c r="B817" s="6" t="s">
        <v>850</v>
      </c>
      <c r="C817" s="6" t="s">
        <v>16</v>
      </c>
      <c r="D817" s="6" t="s">
        <v>49</v>
      </c>
      <c r="E817" s="6" t="s">
        <v>35</v>
      </c>
      <c r="F817" s="6" t="s">
        <v>14</v>
      </c>
      <c r="G817" s="7">
        <v>46255</v>
      </c>
      <c r="H817" s="6">
        <v>6</v>
      </c>
      <c r="I817" s="7">
        <v>46259</v>
      </c>
      <c r="J817" s="7">
        <f t="shared" si="37"/>
        <v>46261</v>
      </c>
      <c r="K817" s="8">
        <v>75</v>
      </c>
      <c r="L817" s="9">
        <f t="shared" si="36"/>
        <v>0</v>
      </c>
      <c r="M817" s="9" t="str" cm="1">
        <f t="array" ref="M817">_xlfn.IFS(L817&gt;=10,"HIGH",L817=0,"LOW",L817&lt;=9,"MEDIUM")</f>
        <v>LOW</v>
      </c>
      <c r="N817" s="9" t="str" cm="1">
        <f t="array" ref="N817">_xlfn.IFS(M817="HIGH",K817*L817,M817="MEDIUM",K817*L817,M817="LOW","NA")</f>
        <v>NA</v>
      </c>
      <c r="O817" s="18" t="str">
        <f t="shared" si="38"/>
        <v>cleared</v>
      </c>
    </row>
    <row r="818" spans="1:15" x14ac:dyDescent="0.25">
      <c r="A818" s="17">
        <v>814</v>
      </c>
      <c r="B818" s="6" t="s">
        <v>851</v>
      </c>
      <c r="C818" s="6" t="s">
        <v>33</v>
      </c>
      <c r="D818" s="6" t="s">
        <v>34</v>
      </c>
      <c r="E818" s="6" t="s">
        <v>35</v>
      </c>
      <c r="F818" s="6" t="s">
        <v>24</v>
      </c>
      <c r="G818" s="7">
        <v>46169</v>
      </c>
      <c r="H818" s="6">
        <v>5</v>
      </c>
      <c r="I818" s="7">
        <v>46177</v>
      </c>
      <c r="J818" s="7">
        <f t="shared" si="37"/>
        <v>46174</v>
      </c>
      <c r="K818" s="8">
        <v>90</v>
      </c>
      <c r="L818" s="9">
        <f t="shared" si="36"/>
        <v>3</v>
      </c>
      <c r="M818" s="9" t="str" cm="1">
        <f t="array" ref="M818">_xlfn.IFS(L818&gt;=10,"HIGH",L818=0,"LOW",L818&lt;=9,"MEDIUM")</f>
        <v>MEDIUM</v>
      </c>
      <c r="N818" s="9" cm="1">
        <f t="array" ref="N818">_xlfn.IFS(M818="HIGH",K818*L818,M818="MEDIUM",K818*L818,M818="LOW","NA")</f>
        <v>270</v>
      </c>
      <c r="O818" s="18" t="str">
        <f t="shared" si="38"/>
        <v>cleared</v>
      </c>
    </row>
    <row r="819" spans="1:15" x14ac:dyDescent="0.25">
      <c r="A819" s="17">
        <v>815</v>
      </c>
      <c r="B819" s="6" t="s">
        <v>852</v>
      </c>
      <c r="C819" s="6" t="s">
        <v>16</v>
      </c>
      <c r="D819" s="6" t="s">
        <v>20</v>
      </c>
      <c r="E819" s="6" t="s">
        <v>13</v>
      </c>
      <c r="F819" s="6" t="s">
        <v>24</v>
      </c>
      <c r="G819" s="7">
        <v>46202</v>
      </c>
      <c r="H819" s="6">
        <v>5</v>
      </c>
      <c r="I819" s="6"/>
      <c r="J819" s="7">
        <f t="shared" si="37"/>
        <v>46207</v>
      </c>
      <c r="K819" s="8">
        <v>110</v>
      </c>
      <c r="L819" s="9">
        <f t="shared" si="36"/>
        <v>52</v>
      </c>
      <c r="M819" s="9" t="str" cm="1">
        <f t="array" ref="M819">_xlfn.IFS(L819&gt;=10,"HIGH",L819=0,"LOW",L819&lt;=9,"MEDIUM")</f>
        <v>HIGH</v>
      </c>
      <c r="N819" s="9" cm="1">
        <f t="array" ref="N819">_xlfn.IFS(M819="HIGH",K819*L819,M819="MEDIUM",K819*L819,M819="LOW","NA")</f>
        <v>5720</v>
      </c>
      <c r="O819" s="18" t="str">
        <f t="shared" si="38"/>
        <v>still in yard</v>
      </c>
    </row>
    <row r="820" spans="1:15" x14ac:dyDescent="0.25">
      <c r="A820" s="17">
        <v>816</v>
      </c>
      <c r="B820" s="6" t="s">
        <v>853</v>
      </c>
      <c r="C820" s="6" t="s">
        <v>11</v>
      </c>
      <c r="D820" s="6" t="s">
        <v>49</v>
      </c>
      <c r="E820" s="6" t="s">
        <v>21</v>
      </c>
      <c r="F820" s="6" t="s">
        <v>14</v>
      </c>
      <c r="G820" s="7">
        <v>46243</v>
      </c>
      <c r="H820" s="6">
        <v>6</v>
      </c>
      <c r="I820" s="6"/>
      <c r="J820" s="7">
        <f t="shared" si="37"/>
        <v>46249</v>
      </c>
      <c r="K820" s="8">
        <v>110</v>
      </c>
      <c r="L820" s="9">
        <f t="shared" si="36"/>
        <v>10</v>
      </c>
      <c r="M820" s="9" t="str" cm="1">
        <f t="array" ref="M820">_xlfn.IFS(L820&gt;=10,"HIGH",L820=0,"LOW",L820&lt;=9,"MEDIUM")</f>
        <v>HIGH</v>
      </c>
      <c r="N820" s="9" cm="1">
        <f t="array" ref="N820">_xlfn.IFS(M820="HIGH",K820*L820,M820="MEDIUM",K820*L820,M820="LOW","NA")</f>
        <v>1100</v>
      </c>
      <c r="O820" s="18" t="str">
        <f t="shared" si="38"/>
        <v>still in yard</v>
      </c>
    </row>
    <row r="821" spans="1:15" x14ac:dyDescent="0.25">
      <c r="A821" s="17">
        <v>817</v>
      </c>
      <c r="B821" s="6" t="s">
        <v>854</v>
      </c>
      <c r="C821" s="6" t="s">
        <v>33</v>
      </c>
      <c r="D821" s="6" t="s">
        <v>31</v>
      </c>
      <c r="E821" s="6" t="s">
        <v>35</v>
      </c>
      <c r="F821" s="6" t="s">
        <v>24</v>
      </c>
      <c r="G821" s="7">
        <v>46208</v>
      </c>
      <c r="H821" s="6">
        <v>4</v>
      </c>
      <c r="I821" s="6"/>
      <c r="J821" s="7">
        <f t="shared" si="37"/>
        <v>46212</v>
      </c>
      <c r="K821" s="8">
        <v>75</v>
      </c>
      <c r="L821" s="9">
        <f t="shared" si="36"/>
        <v>47</v>
      </c>
      <c r="M821" s="9" t="str" cm="1">
        <f t="array" ref="M821">_xlfn.IFS(L821&gt;=10,"HIGH",L821=0,"LOW",L821&lt;=9,"MEDIUM")</f>
        <v>HIGH</v>
      </c>
      <c r="N821" s="9" cm="1">
        <f t="array" ref="N821">_xlfn.IFS(M821="HIGH",K821*L821,M821="MEDIUM",K821*L821,M821="LOW","NA")</f>
        <v>3525</v>
      </c>
      <c r="O821" s="18" t="str">
        <f t="shared" si="38"/>
        <v>still in yard</v>
      </c>
    </row>
    <row r="822" spans="1:15" x14ac:dyDescent="0.25">
      <c r="A822" s="17">
        <v>818</v>
      </c>
      <c r="B822" s="6" t="s">
        <v>855</v>
      </c>
      <c r="C822" s="6" t="s">
        <v>33</v>
      </c>
      <c r="D822" s="6" t="s">
        <v>20</v>
      </c>
      <c r="E822" s="6" t="s">
        <v>44</v>
      </c>
      <c r="F822" s="6" t="s">
        <v>29</v>
      </c>
      <c r="G822" s="7">
        <v>46210</v>
      </c>
      <c r="H822" s="6">
        <v>4</v>
      </c>
      <c r="I822" s="7">
        <v>46215</v>
      </c>
      <c r="J822" s="7">
        <f t="shared" si="37"/>
        <v>46214</v>
      </c>
      <c r="K822" s="8">
        <v>120</v>
      </c>
      <c r="L822" s="9">
        <f t="shared" si="36"/>
        <v>1</v>
      </c>
      <c r="M822" s="9" t="str" cm="1">
        <f t="array" ref="M822">_xlfn.IFS(L822&gt;=10,"HIGH",L822=0,"LOW",L822&lt;=9,"MEDIUM")</f>
        <v>MEDIUM</v>
      </c>
      <c r="N822" s="9" cm="1">
        <f t="array" ref="N822">_xlfn.IFS(M822="HIGH",K822*L822,M822="MEDIUM",K822*L822,M822="LOW","NA")</f>
        <v>120</v>
      </c>
      <c r="O822" s="18" t="str">
        <f t="shared" si="38"/>
        <v>cleared</v>
      </c>
    </row>
    <row r="823" spans="1:15" x14ac:dyDescent="0.25">
      <c r="A823" s="17">
        <v>819</v>
      </c>
      <c r="B823" s="6" t="s">
        <v>856</v>
      </c>
      <c r="C823" s="6" t="s">
        <v>16</v>
      </c>
      <c r="D823" s="6" t="s">
        <v>49</v>
      </c>
      <c r="E823" s="6" t="s">
        <v>23</v>
      </c>
      <c r="F823" s="6" t="s">
        <v>24</v>
      </c>
      <c r="G823" s="7">
        <v>46206</v>
      </c>
      <c r="H823" s="6">
        <v>7</v>
      </c>
      <c r="I823" s="6"/>
      <c r="J823" s="7">
        <f t="shared" si="37"/>
        <v>46213</v>
      </c>
      <c r="K823" s="8">
        <v>90</v>
      </c>
      <c r="L823" s="9">
        <f t="shared" si="36"/>
        <v>46</v>
      </c>
      <c r="M823" s="9" t="str" cm="1">
        <f t="array" ref="M823">_xlfn.IFS(L823&gt;=10,"HIGH",L823=0,"LOW",L823&lt;=9,"MEDIUM")</f>
        <v>HIGH</v>
      </c>
      <c r="N823" s="9" cm="1">
        <f t="array" ref="N823">_xlfn.IFS(M823="HIGH",K823*L823,M823="MEDIUM",K823*L823,M823="LOW","NA")</f>
        <v>4140</v>
      </c>
      <c r="O823" s="18" t="str">
        <f t="shared" si="38"/>
        <v>still in yard</v>
      </c>
    </row>
    <row r="824" spans="1:15" x14ac:dyDescent="0.25">
      <c r="A824" s="17">
        <v>820</v>
      </c>
      <c r="B824" s="6" t="s">
        <v>857</v>
      </c>
      <c r="C824" s="6" t="s">
        <v>33</v>
      </c>
      <c r="D824" s="6" t="s">
        <v>41</v>
      </c>
      <c r="E824" s="6" t="s">
        <v>46</v>
      </c>
      <c r="F824" s="6" t="s">
        <v>29</v>
      </c>
      <c r="G824" s="7">
        <v>46180</v>
      </c>
      <c r="H824" s="6">
        <v>4</v>
      </c>
      <c r="I824" s="6"/>
      <c r="J824" s="7">
        <f t="shared" si="37"/>
        <v>46184</v>
      </c>
      <c r="K824" s="8">
        <v>150</v>
      </c>
      <c r="L824" s="9">
        <f t="shared" si="36"/>
        <v>75</v>
      </c>
      <c r="M824" s="9" t="str" cm="1">
        <f t="array" ref="M824">_xlfn.IFS(L824&gt;=10,"HIGH",L824=0,"LOW",L824&lt;=9,"MEDIUM")</f>
        <v>HIGH</v>
      </c>
      <c r="N824" s="9" cm="1">
        <f t="array" ref="N824">_xlfn.IFS(M824="HIGH",K824*L824,M824="MEDIUM",K824*L824,M824="LOW","NA")</f>
        <v>11250</v>
      </c>
      <c r="O824" s="18" t="str">
        <f t="shared" si="38"/>
        <v>still in yard</v>
      </c>
    </row>
    <row r="825" spans="1:15" x14ac:dyDescent="0.25">
      <c r="A825" s="17">
        <v>821</v>
      </c>
      <c r="B825" s="6" t="s">
        <v>858</v>
      </c>
      <c r="C825" s="6" t="s">
        <v>16</v>
      </c>
      <c r="D825" s="6" t="s">
        <v>49</v>
      </c>
      <c r="E825" s="6" t="s">
        <v>44</v>
      </c>
      <c r="F825" s="6" t="s">
        <v>24</v>
      </c>
      <c r="G825" s="7">
        <v>46190</v>
      </c>
      <c r="H825" s="6">
        <v>6</v>
      </c>
      <c r="I825" s="7">
        <v>46197</v>
      </c>
      <c r="J825" s="7">
        <f t="shared" si="37"/>
        <v>46196</v>
      </c>
      <c r="K825" s="8">
        <v>60</v>
      </c>
      <c r="L825" s="9">
        <f t="shared" si="36"/>
        <v>1</v>
      </c>
      <c r="M825" s="9" t="str" cm="1">
        <f t="array" ref="M825">_xlfn.IFS(L825&gt;=10,"HIGH",L825=0,"LOW",L825&lt;=9,"MEDIUM")</f>
        <v>MEDIUM</v>
      </c>
      <c r="N825" s="9" cm="1">
        <f t="array" ref="N825">_xlfn.IFS(M825="HIGH",K825*L825,M825="MEDIUM",K825*L825,M825="LOW","NA")</f>
        <v>60</v>
      </c>
      <c r="O825" s="18" t="str">
        <f t="shared" si="38"/>
        <v>cleared</v>
      </c>
    </row>
    <row r="826" spans="1:15" x14ac:dyDescent="0.25">
      <c r="A826" s="17">
        <v>822</v>
      </c>
      <c r="B826" s="6" t="s">
        <v>859</v>
      </c>
      <c r="C826" s="6" t="s">
        <v>33</v>
      </c>
      <c r="D826" s="6" t="s">
        <v>49</v>
      </c>
      <c r="E826" s="6" t="s">
        <v>18</v>
      </c>
      <c r="F826" s="6" t="s">
        <v>14</v>
      </c>
      <c r="G826" s="7">
        <v>46247</v>
      </c>
      <c r="H826" s="6">
        <v>5</v>
      </c>
      <c r="I826" s="7">
        <v>46249</v>
      </c>
      <c r="J826" s="7">
        <f t="shared" si="37"/>
        <v>46252</v>
      </c>
      <c r="K826" s="8">
        <v>75</v>
      </c>
      <c r="L826" s="9">
        <f t="shared" si="36"/>
        <v>0</v>
      </c>
      <c r="M826" s="9" t="str" cm="1">
        <f t="array" ref="M826">_xlfn.IFS(L826&gt;=10,"HIGH",L826=0,"LOW",L826&lt;=9,"MEDIUM")</f>
        <v>LOW</v>
      </c>
      <c r="N826" s="9" t="str" cm="1">
        <f t="array" ref="N826">_xlfn.IFS(M826="HIGH",K826*L826,M826="MEDIUM",K826*L826,M826="LOW","NA")</f>
        <v>NA</v>
      </c>
      <c r="O826" s="18" t="str">
        <f t="shared" si="38"/>
        <v>cleared</v>
      </c>
    </row>
    <row r="827" spans="1:15" x14ac:dyDescent="0.25">
      <c r="A827" s="17">
        <v>823</v>
      </c>
      <c r="B827" s="6" t="s">
        <v>860</v>
      </c>
      <c r="C827" s="6" t="s">
        <v>33</v>
      </c>
      <c r="D827" s="6" t="s">
        <v>34</v>
      </c>
      <c r="E827" s="6" t="s">
        <v>21</v>
      </c>
      <c r="F827" s="6" t="s">
        <v>29</v>
      </c>
      <c r="G827" s="7">
        <v>46177</v>
      </c>
      <c r="H827" s="6">
        <v>4</v>
      </c>
      <c r="I827" s="7">
        <v>46182</v>
      </c>
      <c r="J827" s="7">
        <f t="shared" si="37"/>
        <v>46181</v>
      </c>
      <c r="K827" s="8">
        <v>180</v>
      </c>
      <c r="L827" s="9">
        <f t="shared" si="36"/>
        <v>1</v>
      </c>
      <c r="M827" s="9" t="str" cm="1">
        <f t="array" ref="M827">_xlfn.IFS(L827&gt;=10,"HIGH",L827=0,"LOW",L827&lt;=9,"MEDIUM")</f>
        <v>MEDIUM</v>
      </c>
      <c r="N827" s="9" cm="1">
        <f t="array" ref="N827">_xlfn.IFS(M827="HIGH",K827*L827,M827="MEDIUM",K827*L827,M827="LOW","NA")</f>
        <v>180</v>
      </c>
      <c r="O827" s="18" t="str">
        <f t="shared" si="38"/>
        <v>cleared</v>
      </c>
    </row>
    <row r="828" spans="1:15" x14ac:dyDescent="0.25">
      <c r="A828" s="17">
        <v>824</v>
      </c>
      <c r="B828" s="6" t="s">
        <v>861</v>
      </c>
      <c r="C828" s="6" t="s">
        <v>16</v>
      </c>
      <c r="D828" s="6" t="s">
        <v>26</v>
      </c>
      <c r="E828" s="6" t="s">
        <v>35</v>
      </c>
      <c r="F828" s="6" t="s">
        <v>29</v>
      </c>
      <c r="G828" s="7">
        <v>46174</v>
      </c>
      <c r="H828" s="6">
        <v>4</v>
      </c>
      <c r="I828" s="7">
        <v>46178</v>
      </c>
      <c r="J828" s="7">
        <f t="shared" si="37"/>
        <v>46178</v>
      </c>
      <c r="K828" s="8">
        <v>180</v>
      </c>
      <c r="L828" s="9">
        <f t="shared" si="36"/>
        <v>0</v>
      </c>
      <c r="M828" s="9" t="str" cm="1">
        <f t="array" ref="M828">_xlfn.IFS(L828&gt;=10,"HIGH",L828=0,"LOW",L828&lt;=9,"MEDIUM")</f>
        <v>LOW</v>
      </c>
      <c r="N828" s="9" t="str" cm="1">
        <f t="array" ref="N828">_xlfn.IFS(M828="HIGH",K828*L828,M828="MEDIUM",K828*L828,M828="LOW","NA")</f>
        <v>NA</v>
      </c>
      <c r="O828" s="18" t="str">
        <f t="shared" si="38"/>
        <v>cleared</v>
      </c>
    </row>
    <row r="829" spans="1:15" x14ac:dyDescent="0.25">
      <c r="A829" s="17">
        <v>825</v>
      </c>
      <c r="B829" s="6" t="s">
        <v>862</v>
      </c>
      <c r="C829" s="6" t="s">
        <v>37</v>
      </c>
      <c r="D829" s="6" t="s">
        <v>20</v>
      </c>
      <c r="E829" s="6" t="s">
        <v>21</v>
      </c>
      <c r="F829" s="6" t="s">
        <v>29</v>
      </c>
      <c r="G829" s="7">
        <v>46216</v>
      </c>
      <c r="H829" s="6">
        <v>4</v>
      </c>
      <c r="I829" s="7">
        <v>46226</v>
      </c>
      <c r="J829" s="7">
        <f t="shared" si="37"/>
        <v>46220</v>
      </c>
      <c r="K829" s="8">
        <v>120</v>
      </c>
      <c r="L829" s="9">
        <f t="shared" si="36"/>
        <v>6</v>
      </c>
      <c r="M829" s="9" t="str" cm="1">
        <f t="array" ref="M829">_xlfn.IFS(L829&gt;=10,"HIGH",L829=0,"LOW",L829&lt;=9,"MEDIUM")</f>
        <v>MEDIUM</v>
      </c>
      <c r="N829" s="9" cm="1">
        <f t="array" ref="N829">_xlfn.IFS(M829="HIGH",K829*L829,M829="MEDIUM",K829*L829,M829="LOW","NA")</f>
        <v>720</v>
      </c>
      <c r="O829" s="18" t="str">
        <f t="shared" si="38"/>
        <v>cleared</v>
      </c>
    </row>
    <row r="830" spans="1:15" x14ac:dyDescent="0.25">
      <c r="A830" s="17">
        <v>826</v>
      </c>
      <c r="B830" s="6" t="s">
        <v>863</v>
      </c>
      <c r="C830" s="6" t="s">
        <v>33</v>
      </c>
      <c r="D830" s="6" t="s">
        <v>26</v>
      </c>
      <c r="E830" s="6" t="s">
        <v>61</v>
      </c>
      <c r="F830" s="6" t="s">
        <v>27</v>
      </c>
      <c r="G830" s="7">
        <v>46174</v>
      </c>
      <c r="H830" s="6">
        <v>4</v>
      </c>
      <c r="I830" s="7">
        <v>46177</v>
      </c>
      <c r="J830" s="7">
        <f t="shared" si="37"/>
        <v>46178</v>
      </c>
      <c r="K830" s="8">
        <v>60</v>
      </c>
      <c r="L830" s="9">
        <f t="shared" si="36"/>
        <v>0</v>
      </c>
      <c r="M830" s="9" t="str" cm="1">
        <f t="array" ref="M830">_xlfn.IFS(L830&gt;=10,"HIGH",L830=0,"LOW",L830&lt;=9,"MEDIUM")</f>
        <v>LOW</v>
      </c>
      <c r="N830" s="9" t="str" cm="1">
        <f t="array" ref="N830">_xlfn.IFS(M830="HIGH",K830*L830,M830="MEDIUM",K830*L830,M830="LOW","NA")</f>
        <v>NA</v>
      </c>
      <c r="O830" s="18" t="str">
        <f t="shared" si="38"/>
        <v>cleared</v>
      </c>
    </row>
    <row r="831" spans="1:15" x14ac:dyDescent="0.25">
      <c r="A831" s="17">
        <v>827</v>
      </c>
      <c r="B831" s="6" t="s">
        <v>864</v>
      </c>
      <c r="C831" s="6" t="s">
        <v>11</v>
      </c>
      <c r="D831" s="6" t="s">
        <v>31</v>
      </c>
      <c r="E831" s="6" t="s">
        <v>42</v>
      </c>
      <c r="F831" s="6" t="s">
        <v>27</v>
      </c>
      <c r="G831" s="7">
        <v>46228</v>
      </c>
      <c r="H831" s="6">
        <v>6</v>
      </c>
      <c r="I831" s="7">
        <v>46229</v>
      </c>
      <c r="J831" s="7">
        <f t="shared" si="37"/>
        <v>46234</v>
      </c>
      <c r="K831" s="8">
        <v>130</v>
      </c>
      <c r="L831" s="9">
        <f t="shared" si="36"/>
        <v>0</v>
      </c>
      <c r="M831" s="9" t="str" cm="1">
        <f t="array" ref="M831">_xlfn.IFS(L831&gt;=10,"HIGH",L831=0,"LOW",L831&lt;=9,"MEDIUM")</f>
        <v>LOW</v>
      </c>
      <c r="N831" s="9" t="str" cm="1">
        <f t="array" ref="N831">_xlfn.IFS(M831="HIGH",K831*L831,M831="MEDIUM",K831*L831,M831="LOW","NA")</f>
        <v>NA</v>
      </c>
      <c r="O831" s="18" t="str">
        <f t="shared" si="38"/>
        <v>cleared</v>
      </c>
    </row>
    <row r="832" spans="1:15" x14ac:dyDescent="0.25">
      <c r="A832" s="17">
        <v>828</v>
      </c>
      <c r="B832" s="6" t="s">
        <v>865</v>
      </c>
      <c r="C832" s="6" t="s">
        <v>16</v>
      </c>
      <c r="D832" s="6" t="s">
        <v>54</v>
      </c>
      <c r="E832" s="6" t="s">
        <v>42</v>
      </c>
      <c r="F832" s="6" t="s">
        <v>27</v>
      </c>
      <c r="G832" s="7">
        <v>46173</v>
      </c>
      <c r="H832" s="6">
        <v>5</v>
      </c>
      <c r="I832" s="7">
        <v>46179</v>
      </c>
      <c r="J832" s="7">
        <f t="shared" si="37"/>
        <v>46178</v>
      </c>
      <c r="K832" s="8">
        <v>110</v>
      </c>
      <c r="L832" s="9">
        <f t="shared" si="36"/>
        <v>1</v>
      </c>
      <c r="M832" s="9" t="str" cm="1">
        <f t="array" ref="M832">_xlfn.IFS(L832&gt;=10,"HIGH",L832=0,"LOW",L832&lt;=9,"MEDIUM")</f>
        <v>MEDIUM</v>
      </c>
      <c r="N832" s="9" cm="1">
        <f t="array" ref="N832">_xlfn.IFS(M832="HIGH",K832*L832,M832="MEDIUM",K832*L832,M832="LOW","NA")</f>
        <v>110</v>
      </c>
      <c r="O832" s="18" t="str">
        <f t="shared" si="38"/>
        <v>cleared</v>
      </c>
    </row>
    <row r="833" spans="1:15" x14ac:dyDescent="0.25">
      <c r="A833" s="17">
        <v>829</v>
      </c>
      <c r="B833" s="6" t="s">
        <v>866</v>
      </c>
      <c r="C833" s="6" t="s">
        <v>37</v>
      </c>
      <c r="D833" s="6" t="s">
        <v>17</v>
      </c>
      <c r="E833" s="6" t="s">
        <v>46</v>
      </c>
      <c r="F833" s="6" t="s">
        <v>24</v>
      </c>
      <c r="G833" s="7">
        <v>46250</v>
      </c>
      <c r="H833" s="6">
        <v>5</v>
      </c>
      <c r="I833" s="7">
        <v>46253</v>
      </c>
      <c r="J833" s="7">
        <f t="shared" si="37"/>
        <v>46255</v>
      </c>
      <c r="K833" s="8">
        <v>60</v>
      </c>
      <c r="L833" s="9">
        <f t="shared" si="36"/>
        <v>0</v>
      </c>
      <c r="M833" s="9" t="str" cm="1">
        <f t="array" ref="M833">_xlfn.IFS(L833&gt;=10,"HIGH",L833=0,"LOW",L833&lt;=9,"MEDIUM")</f>
        <v>LOW</v>
      </c>
      <c r="N833" s="9" t="str" cm="1">
        <f t="array" ref="N833">_xlfn.IFS(M833="HIGH",K833*L833,M833="MEDIUM",K833*L833,M833="LOW","NA")</f>
        <v>NA</v>
      </c>
      <c r="O833" s="18" t="str">
        <f t="shared" si="38"/>
        <v>cleared</v>
      </c>
    </row>
    <row r="834" spans="1:15" x14ac:dyDescent="0.25">
      <c r="A834" s="17">
        <v>830</v>
      </c>
      <c r="B834" s="6" t="s">
        <v>867</v>
      </c>
      <c r="C834" s="6" t="s">
        <v>16</v>
      </c>
      <c r="D834" s="6" t="s">
        <v>41</v>
      </c>
      <c r="E834" s="6" t="s">
        <v>39</v>
      </c>
      <c r="F834" s="6" t="s">
        <v>14</v>
      </c>
      <c r="G834" s="7">
        <v>46207</v>
      </c>
      <c r="H834" s="6">
        <v>5</v>
      </c>
      <c r="I834" s="7">
        <v>46209</v>
      </c>
      <c r="J834" s="7">
        <f t="shared" si="37"/>
        <v>46212</v>
      </c>
      <c r="K834" s="8">
        <v>75</v>
      </c>
      <c r="L834" s="9">
        <f t="shared" si="36"/>
        <v>0</v>
      </c>
      <c r="M834" s="9" t="str" cm="1">
        <f t="array" ref="M834">_xlfn.IFS(L834&gt;=10,"HIGH",L834=0,"LOW",L834&lt;=9,"MEDIUM")</f>
        <v>LOW</v>
      </c>
      <c r="N834" s="9" t="str" cm="1">
        <f t="array" ref="N834">_xlfn.IFS(M834="HIGH",K834*L834,M834="MEDIUM",K834*L834,M834="LOW","NA")</f>
        <v>NA</v>
      </c>
      <c r="O834" s="18" t="str">
        <f t="shared" si="38"/>
        <v>cleared</v>
      </c>
    </row>
    <row r="835" spans="1:15" x14ac:dyDescent="0.25">
      <c r="A835" s="17">
        <v>831</v>
      </c>
      <c r="B835" s="6" t="s">
        <v>868</v>
      </c>
      <c r="C835" s="6" t="s">
        <v>11</v>
      </c>
      <c r="D835" s="6" t="s">
        <v>12</v>
      </c>
      <c r="E835" s="6" t="s">
        <v>35</v>
      </c>
      <c r="F835" s="6" t="s">
        <v>27</v>
      </c>
      <c r="G835" s="7">
        <v>46238</v>
      </c>
      <c r="H835" s="6">
        <v>6</v>
      </c>
      <c r="I835" s="7">
        <v>46249</v>
      </c>
      <c r="J835" s="7">
        <f t="shared" si="37"/>
        <v>46244</v>
      </c>
      <c r="K835" s="8">
        <v>75</v>
      </c>
      <c r="L835" s="9">
        <f t="shared" si="36"/>
        <v>5</v>
      </c>
      <c r="M835" s="9" t="str" cm="1">
        <f t="array" ref="M835">_xlfn.IFS(L835&gt;=10,"HIGH",L835=0,"LOW",L835&lt;=9,"MEDIUM")</f>
        <v>MEDIUM</v>
      </c>
      <c r="N835" s="9" cm="1">
        <f t="array" ref="N835">_xlfn.IFS(M835="HIGH",K835*L835,M835="MEDIUM",K835*L835,M835="LOW","NA")</f>
        <v>375</v>
      </c>
      <c r="O835" s="18" t="str">
        <f t="shared" si="38"/>
        <v>cleared</v>
      </c>
    </row>
    <row r="836" spans="1:15" x14ac:dyDescent="0.25">
      <c r="A836" s="17">
        <v>832</v>
      </c>
      <c r="B836" s="6" t="s">
        <v>869</v>
      </c>
      <c r="C836" s="6" t="s">
        <v>33</v>
      </c>
      <c r="D836" s="6" t="s">
        <v>17</v>
      </c>
      <c r="E836" s="6" t="s">
        <v>42</v>
      </c>
      <c r="F836" s="6" t="s">
        <v>27</v>
      </c>
      <c r="G836" s="7">
        <v>46220</v>
      </c>
      <c r="H836" s="6">
        <v>5</v>
      </c>
      <c r="I836" s="7">
        <v>46221</v>
      </c>
      <c r="J836" s="7">
        <f t="shared" si="37"/>
        <v>46225</v>
      </c>
      <c r="K836" s="8">
        <v>130</v>
      </c>
      <c r="L836" s="9">
        <f t="shared" si="36"/>
        <v>0</v>
      </c>
      <c r="M836" s="9" t="str" cm="1">
        <f t="array" ref="M836">_xlfn.IFS(L836&gt;=10,"HIGH",L836=0,"LOW",L836&lt;=9,"MEDIUM")</f>
        <v>LOW</v>
      </c>
      <c r="N836" s="9" t="str" cm="1">
        <f t="array" ref="N836">_xlfn.IFS(M836="HIGH",K836*L836,M836="MEDIUM",K836*L836,M836="LOW","NA")</f>
        <v>NA</v>
      </c>
      <c r="O836" s="18" t="str">
        <f t="shared" si="38"/>
        <v>cleared</v>
      </c>
    </row>
    <row r="837" spans="1:15" x14ac:dyDescent="0.25">
      <c r="A837" s="17">
        <v>833</v>
      </c>
      <c r="B837" s="6" t="s">
        <v>870</v>
      </c>
      <c r="C837" s="6" t="s">
        <v>37</v>
      </c>
      <c r="D837" s="6" t="s">
        <v>56</v>
      </c>
      <c r="E837" s="6" t="s">
        <v>61</v>
      </c>
      <c r="F837" s="6" t="s">
        <v>24</v>
      </c>
      <c r="G837" s="7">
        <v>46209</v>
      </c>
      <c r="H837" s="6">
        <v>5</v>
      </c>
      <c r="I837" s="7">
        <v>46213</v>
      </c>
      <c r="J837" s="7">
        <f t="shared" si="37"/>
        <v>46214</v>
      </c>
      <c r="K837" s="8">
        <v>110</v>
      </c>
      <c r="L837" s="9">
        <f t="shared" ref="L837:L900" si="39">MAX(0, IF(I837="", $C$2-J837, I837-J837))</f>
        <v>0</v>
      </c>
      <c r="M837" s="9" t="str" cm="1">
        <f t="array" ref="M837">_xlfn.IFS(L837&gt;=10,"HIGH",L837=0,"LOW",L837&lt;=9,"MEDIUM")</f>
        <v>LOW</v>
      </c>
      <c r="N837" s="9" t="str" cm="1">
        <f t="array" ref="N837">_xlfn.IFS(M837="HIGH",K837*L837,M837="MEDIUM",K837*L837,M837="LOW","NA")</f>
        <v>NA</v>
      </c>
      <c r="O837" s="18" t="str">
        <f t="shared" si="38"/>
        <v>cleared</v>
      </c>
    </row>
    <row r="838" spans="1:15" x14ac:dyDescent="0.25">
      <c r="A838" s="17">
        <v>834</v>
      </c>
      <c r="B838" s="6" t="s">
        <v>871</v>
      </c>
      <c r="C838" s="6" t="s">
        <v>11</v>
      </c>
      <c r="D838" s="6" t="s">
        <v>31</v>
      </c>
      <c r="E838" s="6" t="s">
        <v>35</v>
      </c>
      <c r="F838" s="6" t="s">
        <v>27</v>
      </c>
      <c r="G838" s="7">
        <v>46185</v>
      </c>
      <c r="H838" s="6">
        <v>5</v>
      </c>
      <c r="I838" s="6"/>
      <c r="J838" s="7">
        <f t="shared" ref="J838:J901" si="40">G838+H838</f>
        <v>46190</v>
      </c>
      <c r="K838" s="8">
        <v>90</v>
      </c>
      <c r="L838" s="9">
        <f t="shared" si="39"/>
        <v>69</v>
      </c>
      <c r="M838" s="9" t="str" cm="1">
        <f t="array" ref="M838">_xlfn.IFS(L838&gt;=10,"HIGH",L838=0,"LOW",L838&lt;=9,"MEDIUM")</f>
        <v>HIGH</v>
      </c>
      <c r="N838" s="9" cm="1">
        <f t="array" ref="N838">_xlfn.IFS(M838="HIGH",K838*L838,M838="MEDIUM",K838*L838,M838="LOW","NA")</f>
        <v>6210</v>
      </c>
      <c r="O838" s="18" t="str">
        <f t="shared" ref="O838:O901" si="41">IF(I838="","still in yard","cleared")</f>
        <v>still in yard</v>
      </c>
    </row>
    <row r="839" spans="1:15" x14ac:dyDescent="0.25">
      <c r="A839" s="17">
        <v>835</v>
      </c>
      <c r="B839" s="6" t="s">
        <v>872</v>
      </c>
      <c r="C839" s="6" t="s">
        <v>33</v>
      </c>
      <c r="D839" s="6" t="s">
        <v>26</v>
      </c>
      <c r="E839" s="6" t="s">
        <v>39</v>
      </c>
      <c r="F839" s="6" t="s">
        <v>29</v>
      </c>
      <c r="G839" s="7">
        <v>46248</v>
      </c>
      <c r="H839" s="6">
        <v>3</v>
      </c>
      <c r="I839" s="7">
        <v>46251</v>
      </c>
      <c r="J839" s="7">
        <f t="shared" si="40"/>
        <v>46251</v>
      </c>
      <c r="K839" s="8">
        <v>120</v>
      </c>
      <c r="L839" s="9">
        <f t="shared" si="39"/>
        <v>0</v>
      </c>
      <c r="M839" s="9" t="str" cm="1">
        <f t="array" ref="M839">_xlfn.IFS(L839&gt;=10,"HIGH",L839=0,"LOW",L839&lt;=9,"MEDIUM")</f>
        <v>LOW</v>
      </c>
      <c r="N839" s="9" t="str" cm="1">
        <f t="array" ref="N839">_xlfn.IFS(M839="HIGH",K839*L839,M839="MEDIUM",K839*L839,M839="LOW","NA")</f>
        <v>NA</v>
      </c>
      <c r="O839" s="18" t="str">
        <f t="shared" si="41"/>
        <v>cleared</v>
      </c>
    </row>
    <row r="840" spans="1:15" x14ac:dyDescent="0.25">
      <c r="A840" s="17">
        <v>836</v>
      </c>
      <c r="B840" s="6" t="s">
        <v>873</v>
      </c>
      <c r="C840" s="6" t="s">
        <v>33</v>
      </c>
      <c r="D840" s="6" t="s">
        <v>34</v>
      </c>
      <c r="E840" s="6" t="s">
        <v>35</v>
      </c>
      <c r="F840" s="6" t="s">
        <v>27</v>
      </c>
      <c r="G840" s="7">
        <v>46203</v>
      </c>
      <c r="H840" s="6">
        <v>7</v>
      </c>
      <c r="I840" s="7">
        <v>46212</v>
      </c>
      <c r="J840" s="7">
        <f t="shared" si="40"/>
        <v>46210</v>
      </c>
      <c r="K840" s="8">
        <v>110</v>
      </c>
      <c r="L840" s="9">
        <f t="shared" si="39"/>
        <v>2</v>
      </c>
      <c r="M840" s="9" t="str" cm="1">
        <f t="array" ref="M840">_xlfn.IFS(L840&gt;=10,"HIGH",L840=0,"LOW",L840&lt;=9,"MEDIUM")</f>
        <v>MEDIUM</v>
      </c>
      <c r="N840" s="9" cm="1">
        <f t="array" ref="N840">_xlfn.IFS(M840="HIGH",K840*L840,M840="MEDIUM",K840*L840,M840="LOW","NA")</f>
        <v>220</v>
      </c>
      <c r="O840" s="18" t="str">
        <f t="shared" si="41"/>
        <v>cleared</v>
      </c>
    </row>
    <row r="841" spans="1:15" x14ac:dyDescent="0.25">
      <c r="A841" s="17">
        <v>837</v>
      </c>
      <c r="B841" s="6" t="s">
        <v>874</v>
      </c>
      <c r="C841" s="6" t="s">
        <v>37</v>
      </c>
      <c r="D841" s="6" t="s">
        <v>34</v>
      </c>
      <c r="E841" s="6" t="s">
        <v>35</v>
      </c>
      <c r="F841" s="6" t="s">
        <v>14</v>
      </c>
      <c r="G841" s="7">
        <v>46170</v>
      </c>
      <c r="H841" s="6">
        <v>5</v>
      </c>
      <c r="I841" s="6"/>
      <c r="J841" s="7">
        <f t="shared" si="40"/>
        <v>46175</v>
      </c>
      <c r="K841" s="8">
        <v>75</v>
      </c>
      <c r="L841" s="9">
        <f t="shared" si="39"/>
        <v>84</v>
      </c>
      <c r="M841" s="9" t="str" cm="1">
        <f t="array" ref="M841">_xlfn.IFS(L841&gt;=10,"HIGH",L841=0,"LOW",L841&lt;=9,"MEDIUM")</f>
        <v>HIGH</v>
      </c>
      <c r="N841" s="9" cm="1">
        <f t="array" ref="N841">_xlfn.IFS(M841="HIGH",K841*L841,M841="MEDIUM",K841*L841,M841="LOW","NA")</f>
        <v>6300</v>
      </c>
      <c r="O841" s="18" t="str">
        <f t="shared" si="41"/>
        <v>still in yard</v>
      </c>
    </row>
    <row r="842" spans="1:15" x14ac:dyDescent="0.25">
      <c r="A842" s="17">
        <v>838</v>
      </c>
      <c r="B842" s="6" t="s">
        <v>875</v>
      </c>
      <c r="C842" s="6" t="s">
        <v>33</v>
      </c>
      <c r="D842" s="6" t="s">
        <v>26</v>
      </c>
      <c r="E842" s="6" t="s">
        <v>18</v>
      </c>
      <c r="F842" s="6" t="s">
        <v>24</v>
      </c>
      <c r="G842" s="7">
        <v>46190</v>
      </c>
      <c r="H842" s="6">
        <v>6</v>
      </c>
      <c r="I842" s="7">
        <v>46207</v>
      </c>
      <c r="J842" s="7">
        <f t="shared" si="40"/>
        <v>46196</v>
      </c>
      <c r="K842" s="8">
        <v>75</v>
      </c>
      <c r="L842" s="9">
        <f t="shared" si="39"/>
        <v>11</v>
      </c>
      <c r="M842" s="9" t="str" cm="1">
        <f t="array" ref="M842">_xlfn.IFS(L842&gt;=10,"HIGH",L842=0,"LOW",L842&lt;=9,"MEDIUM")</f>
        <v>HIGH</v>
      </c>
      <c r="N842" s="9" cm="1">
        <f t="array" ref="N842">_xlfn.IFS(M842="HIGH",K842*L842,M842="MEDIUM",K842*L842,M842="LOW","NA")</f>
        <v>825</v>
      </c>
      <c r="O842" s="18" t="str">
        <f t="shared" si="41"/>
        <v>cleared</v>
      </c>
    </row>
    <row r="843" spans="1:15" x14ac:dyDescent="0.25">
      <c r="A843" s="17">
        <v>839</v>
      </c>
      <c r="B843" s="6" t="s">
        <v>876</v>
      </c>
      <c r="C843" s="6" t="s">
        <v>11</v>
      </c>
      <c r="D843" s="6" t="s">
        <v>49</v>
      </c>
      <c r="E843" s="6" t="s">
        <v>39</v>
      </c>
      <c r="F843" s="6" t="s">
        <v>14</v>
      </c>
      <c r="G843" s="7">
        <v>46246</v>
      </c>
      <c r="H843" s="6">
        <v>5</v>
      </c>
      <c r="I843" s="7">
        <v>46250</v>
      </c>
      <c r="J843" s="7">
        <f t="shared" si="40"/>
        <v>46251</v>
      </c>
      <c r="K843" s="8">
        <v>75</v>
      </c>
      <c r="L843" s="9">
        <f t="shared" si="39"/>
        <v>0</v>
      </c>
      <c r="M843" s="9" t="str" cm="1">
        <f t="array" ref="M843">_xlfn.IFS(L843&gt;=10,"HIGH",L843=0,"LOW",L843&lt;=9,"MEDIUM")</f>
        <v>LOW</v>
      </c>
      <c r="N843" s="9" t="str" cm="1">
        <f t="array" ref="N843">_xlfn.IFS(M843="HIGH",K843*L843,M843="MEDIUM",K843*L843,M843="LOW","NA")</f>
        <v>NA</v>
      </c>
      <c r="O843" s="18" t="str">
        <f t="shared" si="41"/>
        <v>cleared</v>
      </c>
    </row>
    <row r="844" spans="1:15" x14ac:dyDescent="0.25">
      <c r="A844" s="17">
        <v>840</v>
      </c>
      <c r="B844" s="6" t="s">
        <v>877</v>
      </c>
      <c r="C844" s="6" t="s">
        <v>33</v>
      </c>
      <c r="D844" s="6" t="s">
        <v>31</v>
      </c>
      <c r="E844" s="6" t="s">
        <v>42</v>
      </c>
      <c r="F844" s="6" t="s">
        <v>24</v>
      </c>
      <c r="G844" s="7">
        <v>46183</v>
      </c>
      <c r="H844" s="6">
        <v>5</v>
      </c>
      <c r="I844" s="7">
        <v>46184</v>
      </c>
      <c r="J844" s="7">
        <f t="shared" si="40"/>
        <v>46188</v>
      </c>
      <c r="K844" s="8">
        <v>90</v>
      </c>
      <c r="L844" s="9">
        <f t="shared" si="39"/>
        <v>0</v>
      </c>
      <c r="M844" s="9" t="str" cm="1">
        <f t="array" ref="M844">_xlfn.IFS(L844&gt;=10,"HIGH",L844=0,"LOW",L844&lt;=9,"MEDIUM")</f>
        <v>LOW</v>
      </c>
      <c r="N844" s="9" t="str" cm="1">
        <f t="array" ref="N844">_xlfn.IFS(M844="HIGH",K844*L844,M844="MEDIUM",K844*L844,M844="LOW","NA")</f>
        <v>NA</v>
      </c>
      <c r="O844" s="18" t="str">
        <f t="shared" si="41"/>
        <v>cleared</v>
      </c>
    </row>
    <row r="845" spans="1:15" x14ac:dyDescent="0.25">
      <c r="A845" s="17">
        <v>841</v>
      </c>
      <c r="B845" s="6" t="s">
        <v>878</v>
      </c>
      <c r="C845" s="6" t="s">
        <v>11</v>
      </c>
      <c r="D845" s="6" t="s">
        <v>17</v>
      </c>
      <c r="E845" s="6" t="s">
        <v>13</v>
      </c>
      <c r="F845" s="6" t="s">
        <v>24</v>
      </c>
      <c r="G845" s="7">
        <v>46176</v>
      </c>
      <c r="H845" s="6">
        <v>6</v>
      </c>
      <c r="I845" s="7">
        <v>46180</v>
      </c>
      <c r="J845" s="7">
        <f t="shared" si="40"/>
        <v>46182</v>
      </c>
      <c r="K845" s="8">
        <v>130</v>
      </c>
      <c r="L845" s="9">
        <f t="shared" si="39"/>
        <v>0</v>
      </c>
      <c r="M845" s="9" t="str" cm="1">
        <f t="array" ref="M845">_xlfn.IFS(L845&gt;=10,"HIGH",L845=0,"LOW",L845&lt;=9,"MEDIUM")</f>
        <v>LOW</v>
      </c>
      <c r="N845" s="9" t="str" cm="1">
        <f t="array" ref="N845">_xlfn.IFS(M845="HIGH",K845*L845,M845="MEDIUM",K845*L845,M845="LOW","NA")</f>
        <v>NA</v>
      </c>
      <c r="O845" s="18" t="str">
        <f t="shared" si="41"/>
        <v>cleared</v>
      </c>
    </row>
    <row r="846" spans="1:15" x14ac:dyDescent="0.25">
      <c r="A846" s="17">
        <v>842</v>
      </c>
      <c r="B846" s="6" t="s">
        <v>879</v>
      </c>
      <c r="C846" s="6" t="s">
        <v>11</v>
      </c>
      <c r="D846" s="6" t="s">
        <v>31</v>
      </c>
      <c r="E846" s="6" t="s">
        <v>44</v>
      </c>
      <c r="F846" s="6" t="s">
        <v>27</v>
      </c>
      <c r="G846" s="7">
        <v>46216</v>
      </c>
      <c r="H846" s="6">
        <v>5</v>
      </c>
      <c r="I846" s="7">
        <v>46227</v>
      </c>
      <c r="J846" s="7">
        <f t="shared" si="40"/>
        <v>46221</v>
      </c>
      <c r="K846" s="8">
        <v>75</v>
      </c>
      <c r="L846" s="9">
        <f t="shared" si="39"/>
        <v>6</v>
      </c>
      <c r="M846" s="9" t="str" cm="1">
        <f t="array" ref="M846">_xlfn.IFS(L846&gt;=10,"HIGH",L846=0,"LOW",L846&lt;=9,"MEDIUM")</f>
        <v>MEDIUM</v>
      </c>
      <c r="N846" s="9" cm="1">
        <f t="array" ref="N846">_xlfn.IFS(M846="HIGH",K846*L846,M846="MEDIUM",K846*L846,M846="LOW","NA")</f>
        <v>450</v>
      </c>
      <c r="O846" s="18" t="str">
        <f t="shared" si="41"/>
        <v>cleared</v>
      </c>
    </row>
    <row r="847" spans="1:15" x14ac:dyDescent="0.25">
      <c r="A847" s="17">
        <v>843</v>
      </c>
      <c r="B847" s="6" t="s">
        <v>880</v>
      </c>
      <c r="C847" s="6" t="s">
        <v>33</v>
      </c>
      <c r="D847" s="6" t="s">
        <v>31</v>
      </c>
      <c r="E847" s="6" t="s">
        <v>39</v>
      </c>
      <c r="F847" s="6" t="s">
        <v>14</v>
      </c>
      <c r="G847" s="7">
        <v>46176</v>
      </c>
      <c r="H847" s="6">
        <v>5</v>
      </c>
      <c r="I847" s="6"/>
      <c r="J847" s="7">
        <f t="shared" si="40"/>
        <v>46181</v>
      </c>
      <c r="K847" s="8">
        <v>130</v>
      </c>
      <c r="L847" s="9">
        <f t="shared" si="39"/>
        <v>78</v>
      </c>
      <c r="M847" s="9" t="str" cm="1">
        <f t="array" ref="M847">_xlfn.IFS(L847&gt;=10,"HIGH",L847=0,"LOW",L847&lt;=9,"MEDIUM")</f>
        <v>HIGH</v>
      </c>
      <c r="N847" s="9" cm="1">
        <f t="array" ref="N847">_xlfn.IFS(M847="HIGH",K847*L847,M847="MEDIUM",K847*L847,M847="LOW","NA")</f>
        <v>10140</v>
      </c>
      <c r="O847" s="18" t="str">
        <f t="shared" si="41"/>
        <v>still in yard</v>
      </c>
    </row>
    <row r="848" spans="1:15" x14ac:dyDescent="0.25">
      <c r="A848" s="17">
        <v>844</v>
      </c>
      <c r="B848" s="6" t="s">
        <v>881</v>
      </c>
      <c r="C848" s="6" t="s">
        <v>11</v>
      </c>
      <c r="D848" s="6" t="s">
        <v>12</v>
      </c>
      <c r="E848" s="6" t="s">
        <v>18</v>
      </c>
      <c r="F848" s="6" t="s">
        <v>24</v>
      </c>
      <c r="G848" s="7">
        <v>46244</v>
      </c>
      <c r="H848" s="6">
        <v>5</v>
      </c>
      <c r="I848" s="7">
        <v>46245</v>
      </c>
      <c r="J848" s="7">
        <f t="shared" si="40"/>
        <v>46249</v>
      </c>
      <c r="K848" s="8">
        <v>60</v>
      </c>
      <c r="L848" s="9">
        <f t="shared" si="39"/>
        <v>0</v>
      </c>
      <c r="M848" s="9" t="str" cm="1">
        <f t="array" ref="M848">_xlfn.IFS(L848&gt;=10,"HIGH",L848=0,"LOW",L848&lt;=9,"MEDIUM")</f>
        <v>LOW</v>
      </c>
      <c r="N848" s="9" t="str" cm="1">
        <f t="array" ref="N848">_xlfn.IFS(M848="HIGH",K848*L848,M848="MEDIUM",K848*L848,M848="LOW","NA")</f>
        <v>NA</v>
      </c>
      <c r="O848" s="18" t="str">
        <f t="shared" si="41"/>
        <v>cleared</v>
      </c>
    </row>
    <row r="849" spans="1:15" x14ac:dyDescent="0.25">
      <c r="A849" s="17">
        <v>845</v>
      </c>
      <c r="B849" s="6" t="s">
        <v>882</v>
      </c>
      <c r="C849" s="6" t="s">
        <v>33</v>
      </c>
      <c r="D849" s="6" t="s">
        <v>41</v>
      </c>
      <c r="E849" s="6" t="s">
        <v>46</v>
      </c>
      <c r="F849" s="6" t="s">
        <v>24</v>
      </c>
      <c r="G849" s="7">
        <v>46191</v>
      </c>
      <c r="H849" s="6">
        <v>7</v>
      </c>
      <c r="I849" s="7">
        <v>46197</v>
      </c>
      <c r="J849" s="7">
        <f t="shared" si="40"/>
        <v>46198</v>
      </c>
      <c r="K849" s="8">
        <v>60</v>
      </c>
      <c r="L849" s="9">
        <f t="shared" si="39"/>
        <v>0</v>
      </c>
      <c r="M849" s="9" t="str" cm="1">
        <f t="array" ref="M849">_xlfn.IFS(L849&gt;=10,"HIGH",L849=0,"LOW",L849&lt;=9,"MEDIUM")</f>
        <v>LOW</v>
      </c>
      <c r="N849" s="9" t="str" cm="1">
        <f t="array" ref="N849">_xlfn.IFS(M849="HIGH",K849*L849,M849="MEDIUM",K849*L849,M849="LOW","NA")</f>
        <v>NA</v>
      </c>
      <c r="O849" s="18" t="str">
        <f t="shared" si="41"/>
        <v>cleared</v>
      </c>
    </row>
    <row r="850" spans="1:15" x14ac:dyDescent="0.25">
      <c r="A850" s="17">
        <v>846</v>
      </c>
      <c r="B850" s="6" t="s">
        <v>883</v>
      </c>
      <c r="C850" s="6" t="s">
        <v>11</v>
      </c>
      <c r="D850" s="6" t="s">
        <v>49</v>
      </c>
      <c r="E850" s="6" t="s">
        <v>21</v>
      </c>
      <c r="F850" s="6" t="s">
        <v>24</v>
      </c>
      <c r="G850" s="7">
        <v>46187</v>
      </c>
      <c r="H850" s="6">
        <v>5</v>
      </c>
      <c r="I850" s="7">
        <v>46190</v>
      </c>
      <c r="J850" s="7">
        <f t="shared" si="40"/>
        <v>46192</v>
      </c>
      <c r="K850" s="8">
        <v>90</v>
      </c>
      <c r="L850" s="9">
        <f t="shared" si="39"/>
        <v>0</v>
      </c>
      <c r="M850" s="9" t="str" cm="1">
        <f t="array" ref="M850">_xlfn.IFS(L850&gt;=10,"HIGH",L850=0,"LOW",L850&lt;=9,"MEDIUM")</f>
        <v>LOW</v>
      </c>
      <c r="N850" s="9" t="str" cm="1">
        <f t="array" ref="N850">_xlfn.IFS(M850="HIGH",K850*L850,M850="MEDIUM",K850*L850,M850="LOW","NA")</f>
        <v>NA</v>
      </c>
      <c r="O850" s="18" t="str">
        <f t="shared" si="41"/>
        <v>cleared</v>
      </c>
    </row>
    <row r="851" spans="1:15" x14ac:dyDescent="0.25">
      <c r="A851" s="17">
        <v>847</v>
      </c>
      <c r="B851" s="6" t="s">
        <v>884</v>
      </c>
      <c r="C851" s="6" t="s">
        <v>16</v>
      </c>
      <c r="D851" s="6" t="s">
        <v>20</v>
      </c>
      <c r="E851" s="6" t="s">
        <v>18</v>
      </c>
      <c r="F851" s="6" t="s">
        <v>27</v>
      </c>
      <c r="G851" s="7">
        <v>46254</v>
      </c>
      <c r="H851" s="6">
        <v>5</v>
      </c>
      <c r="I851" s="7">
        <v>46259</v>
      </c>
      <c r="J851" s="7">
        <f t="shared" si="40"/>
        <v>46259</v>
      </c>
      <c r="K851" s="8">
        <v>75</v>
      </c>
      <c r="L851" s="9">
        <f t="shared" si="39"/>
        <v>0</v>
      </c>
      <c r="M851" s="9" t="str" cm="1">
        <f t="array" ref="M851">_xlfn.IFS(L851&gt;=10,"HIGH",L851=0,"LOW",L851&lt;=9,"MEDIUM")</f>
        <v>LOW</v>
      </c>
      <c r="N851" s="9" t="str" cm="1">
        <f t="array" ref="N851">_xlfn.IFS(M851="HIGH",K851*L851,M851="MEDIUM",K851*L851,M851="LOW","NA")</f>
        <v>NA</v>
      </c>
      <c r="O851" s="18" t="str">
        <f t="shared" si="41"/>
        <v>cleared</v>
      </c>
    </row>
    <row r="852" spans="1:15" x14ac:dyDescent="0.25">
      <c r="A852" s="17">
        <v>848</v>
      </c>
      <c r="B852" s="6" t="s">
        <v>885</v>
      </c>
      <c r="C852" s="6" t="s">
        <v>37</v>
      </c>
      <c r="D852" s="6" t="s">
        <v>17</v>
      </c>
      <c r="E852" s="6" t="s">
        <v>35</v>
      </c>
      <c r="F852" s="6" t="s">
        <v>24</v>
      </c>
      <c r="G852" s="7">
        <v>46195</v>
      </c>
      <c r="H852" s="6">
        <v>5</v>
      </c>
      <c r="I852" s="7">
        <v>46201</v>
      </c>
      <c r="J852" s="7">
        <f t="shared" si="40"/>
        <v>46200</v>
      </c>
      <c r="K852" s="8">
        <v>110</v>
      </c>
      <c r="L852" s="9">
        <f t="shared" si="39"/>
        <v>1</v>
      </c>
      <c r="M852" s="9" t="str" cm="1">
        <f t="array" ref="M852">_xlfn.IFS(L852&gt;=10,"HIGH",L852=0,"LOW",L852&lt;=9,"MEDIUM")</f>
        <v>MEDIUM</v>
      </c>
      <c r="N852" s="9" cm="1">
        <f t="array" ref="N852">_xlfn.IFS(M852="HIGH",K852*L852,M852="MEDIUM",K852*L852,M852="LOW","NA")</f>
        <v>110</v>
      </c>
      <c r="O852" s="18" t="str">
        <f t="shared" si="41"/>
        <v>cleared</v>
      </c>
    </row>
    <row r="853" spans="1:15" x14ac:dyDescent="0.25">
      <c r="A853" s="17">
        <v>849</v>
      </c>
      <c r="B853" s="6" t="s">
        <v>886</v>
      </c>
      <c r="C853" s="6" t="s">
        <v>33</v>
      </c>
      <c r="D853" s="6" t="s">
        <v>20</v>
      </c>
      <c r="E853" s="6" t="s">
        <v>44</v>
      </c>
      <c r="F853" s="6" t="s">
        <v>24</v>
      </c>
      <c r="G853" s="7">
        <v>46253</v>
      </c>
      <c r="H853" s="6">
        <v>4</v>
      </c>
      <c r="I853" s="6"/>
      <c r="J853" s="7">
        <f t="shared" si="40"/>
        <v>46257</v>
      </c>
      <c r="K853" s="8">
        <v>60</v>
      </c>
      <c r="L853" s="9">
        <f t="shared" si="39"/>
        <v>2</v>
      </c>
      <c r="M853" s="9" t="str" cm="1">
        <f t="array" ref="M853">_xlfn.IFS(L853&gt;=10,"HIGH",L853=0,"LOW",L853&lt;=9,"MEDIUM")</f>
        <v>MEDIUM</v>
      </c>
      <c r="N853" s="9" cm="1">
        <f t="array" ref="N853">_xlfn.IFS(M853="HIGH",K853*L853,M853="MEDIUM",K853*L853,M853="LOW","NA")</f>
        <v>120</v>
      </c>
      <c r="O853" s="18" t="str">
        <f t="shared" si="41"/>
        <v>still in yard</v>
      </c>
    </row>
    <row r="854" spans="1:15" x14ac:dyDescent="0.25">
      <c r="A854" s="17">
        <v>850</v>
      </c>
      <c r="B854" s="6" t="s">
        <v>887</v>
      </c>
      <c r="C854" s="6" t="s">
        <v>33</v>
      </c>
      <c r="D854" s="6" t="s">
        <v>12</v>
      </c>
      <c r="E854" s="6" t="s">
        <v>61</v>
      </c>
      <c r="F854" s="6" t="s">
        <v>27</v>
      </c>
      <c r="G854" s="7">
        <v>46178</v>
      </c>
      <c r="H854" s="6">
        <v>4</v>
      </c>
      <c r="I854" s="7">
        <v>46187</v>
      </c>
      <c r="J854" s="7">
        <f t="shared" si="40"/>
        <v>46182</v>
      </c>
      <c r="K854" s="8">
        <v>75</v>
      </c>
      <c r="L854" s="9">
        <f t="shared" si="39"/>
        <v>5</v>
      </c>
      <c r="M854" s="9" t="str" cm="1">
        <f t="array" ref="M854">_xlfn.IFS(L854&gt;=10,"HIGH",L854=0,"LOW",L854&lt;=9,"MEDIUM")</f>
        <v>MEDIUM</v>
      </c>
      <c r="N854" s="9" cm="1">
        <f t="array" ref="N854">_xlfn.IFS(M854="HIGH",K854*L854,M854="MEDIUM",K854*L854,M854="LOW","NA")</f>
        <v>375</v>
      </c>
      <c r="O854" s="18" t="str">
        <f t="shared" si="41"/>
        <v>cleared</v>
      </c>
    </row>
    <row r="855" spans="1:15" x14ac:dyDescent="0.25">
      <c r="A855" s="17">
        <v>851</v>
      </c>
      <c r="B855" s="6" t="s">
        <v>888</v>
      </c>
      <c r="C855" s="6" t="s">
        <v>33</v>
      </c>
      <c r="D855" s="6" t="s">
        <v>12</v>
      </c>
      <c r="E855" s="6" t="s">
        <v>46</v>
      </c>
      <c r="F855" s="6" t="s">
        <v>27</v>
      </c>
      <c r="G855" s="7">
        <v>46184</v>
      </c>
      <c r="H855" s="6">
        <v>5</v>
      </c>
      <c r="I855" s="7">
        <v>46192</v>
      </c>
      <c r="J855" s="7">
        <f t="shared" si="40"/>
        <v>46189</v>
      </c>
      <c r="K855" s="8">
        <v>110</v>
      </c>
      <c r="L855" s="9">
        <f t="shared" si="39"/>
        <v>3</v>
      </c>
      <c r="M855" s="9" t="str" cm="1">
        <f t="array" ref="M855">_xlfn.IFS(L855&gt;=10,"HIGH",L855=0,"LOW",L855&lt;=9,"MEDIUM")</f>
        <v>MEDIUM</v>
      </c>
      <c r="N855" s="9" cm="1">
        <f t="array" ref="N855">_xlfn.IFS(M855="HIGH",K855*L855,M855="MEDIUM",K855*L855,M855="LOW","NA")</f>
        <v>330</v>
      </c>
      <c r="O855" s="18" t="str">
        <f t="shared" si="41"/>
        <v>cleared</v>
      </c>
    </row>
    <row r="856" spans="1:15" x14ac:dyDescent="0.25">
      <c r="A856" s="17">
        <v>852</v>
      </c>
      <c r="B856" s="6" t="s">
        <v>889</v>
      </c>
      <c r="C856" s="6" t="s">
        <v>37</v>
      </c>
      <c r="D856" s="6" t="s">
        <v>34</v>
      </c>
      <c r="E856" s="6" t="s">
        <v>44</v>
      </c>
      <c r="F856" s="6" t="s">
        <v>29</v>
      </c>
      <c r="G856" s="7">
        <v>46196</v>
      </c>
      <c r="H856" s="6">
        <v>3</v>
      </c>
      <c r="I856" s="6"/>
      <c r="J856" s="7">
        <f t="shared" si="40"/>
        <v>46199</v>
      </c>
      <c r="K856" s="8">
        <v>180</v>
      </c>
      <c r="L856" s="9">
        <f t="shared" si="39"/>
        <v>60</v>
      </c>
      <c r="M856" s="9" t="str" cm="1">
        <f t="array" ref="M856">_xlfn.IFS(L856&gt;=10,"HIGH",L856=0,"LOW",L856&lt;=9,"MEDIUM")</f>
        <v>HIGH</v>
      </c>
      <c r="N856" s="9" cm="1">
        <f t="array" ref="N856">_xlfn.IFS(M856="HIGH",K856*L856,M856="MEDIUM",K856*L856,M856="LOW","NA")</f>
        <v>10800</v>
      </c>
      <c r="O856" s="18" t="str">
        <f t="shared" si="41"/>
        <v>still in yard</v>
      </c>
    </row>
    <row r="857" spans="1:15" x14ac:dyDescent="0.25">
      <c r="A857" s="17">
        <v>853</v>
      </c>
      <c r="B857" s="6" t="s">
        <v>890</v>
      </c>
      <c r="C857" s="6" t="s">
        <v>16</v>
      </c>
      <c r="D857" s="6" t="s">
        <v>41</v>
      </c>
      <c r="E857" s="6" t="s">
        <v>18</v>
      </c>
      <c r="F857" s="6" t="s">
        <v>14</v>
      </c>
      <c r="G857" s="7">
        <v>46215</v>
      </c>
      <c r="H857" s="6">
        <v>5</v>
      </c>
      <c r="I857" s="6"/>
      <c r="J857" s="7">
        <f t="shared" si="40"/>
        <v>46220</v>
      </c>
      <c r="K857" s="8">
        <v>130</v>
      </c>
      <c r="L857" s="9">
        <f t="shared" si="39"/>
        <v>39</v>
      </c>
      <c r="M857" s="9" t="str" cm="1">
        <f t="array" ref="M857">_xlfn.IFS(L857&gt;=10,"HIGH",L857=0,"LOW",L857&lt;=9,"MEDIUM")</f>
        <v>HIGH</v>
      </c>
      <c r="N857" s="9" cm="1">
        <f t="array" ref="N857">_xlfn.IFS(M857="HIGH",K857*L857,M857="MEDIUM",K857*L857,M857="LOW","NA")</f>
        <v>5070</v>
      </c>
      <c r="O857" s="18" t="str">
        <f t="shared" si="41"/>
        <v>still in yard</v>
      </c>
    </row>
    <row r="858" spans="1:15" x14ac:dyDescent="0.25">
      <c r="A858" s="17">
        <v>854</v>
      </c>
      <c r="B858" s="6" t="s">
        <v>891</v>
      </c>
      <c r="C858" s="6" t="s">
        <v>11</v>
      </c>
      <c r="D858" s="6" t="s">
        <v>34</v>
      </c>
      <c r="E858" s="6" t="s">
        <v>42</v>
      </c>
      <c r="F858" s="6" t="s">
        <v>29</v>
      </c>
      <c r="G858" s="7">
        <v>46245</v>
      </c>
      <c r="H858" s="6">
        <v>4</v>
      </c>
      <c r="I858" s="6"/>
      <c r="J858" s="7">
        <f t="shared" si="40"/>
        <v>46249</v>
      </c>
      <c r="K858" s="8">
        <v>180</v>
      </c>
      <c r="L858" s="9">
        <f t="shared" si="39"/>
        <v>10</v>
      </c>
      <c r="M858" s="9" t="str" cm="1">
        <f t="array" ref="M858">_xlfn.IFS(L858&gt;=10,"HIGH",L858=0,"LOW",L858&lt;=9,"MEDIUM")</f>
        <v>HIGH</v>
      </c>
      <c r="N858" s="9" cm="1">
        <f t="array" ref="N858">_xlfn.IFS(M858="HIGH",K858*L858,M858="MEDIUM",K858*L858,M858="LOW","NA")</f>
        <v>1800</v>
      </c>
      <c r="O858" s="18" t="str">
        <f t="shared" si="41"/>
        <v>still in yard</v>
      </c>
    </row>
    <row r="859" spans="1:15" x14ac:dyDescent="0.25">
      <c r="A859" s="17">
        <v>855</v>
      </c>
      <c r="B859" s="6" t="s">
        <v>892</v>
      </c>
      <c r="C859" s="6" t="s">
        <v>33</v>
      </c>
      <c r="D859" s="6" t="s">
        <v>41</v>
      </c>
      <c r="E859" s="6" t="s">
        <v>35</v>
      </c>
      <c r="F859" s="6" t="s">
        <v>24</v>
      </c>
      <c r="G859" s="7">
        <v>46215</v>
      </c>
      <c r="H859" s="6">
        <v>5</v>
      </c>
      <c r="I859" s="7">
        <v>46218</v>
      </c>
      <c r="J859" s="7">
        <f t="shared" si="40"/>
        <v>46220</v>
      </c>
      <c r="K859" s="8">
        <v>60</v>
      </c>
      <c r="L859" s="9">
        <f t="shared" si="39"/>
        <v>0</v>
      </c>
      <c r="M859" s="9" t="str" cm="1">
        <f t="array" ref="M859">_xlfn.IFS(L859&gt;=10,"HIGH",L859=0,"LOW",L859&lt;=9,"MEDIUM")</f>
        <v>LOW</v>
      </c>
      <c r="N859" s="9" t="str" cm="1">
        <f t="array" ref="N859">_xlfn.IFS(M859="HIGH",K859*L859,M859="MEDIUM",K859*L859,M859="LOW","NA")</f>
        <v>NA</v>
      </c>
      <c r="O859" s="18" t="str">
        <f t="shared" si="41"/>
        <v>cleared</v>
      </c>
    </row>
    <row r="860" spans="1:15" x14ac:dyDescent="0.25">
      <c r="A860" s="17">
        <v>856</v>
      </c>
      <c r="B860" s="6" t="s">
        <v>893</v>
      </c>
      <c r="C860" s="6" t="s">
        <v>37</v>
      </c>
      <c r="D860" s="6" t="s">
        <v>41</v>
      </c>
      <c r="E860" s="6" t="s">
        <v>23</v>
      </c>
      <c r="F860" s="6" t="s">
        <v>14</v>
      </c>
      <c r="G860" s="7">
        <v>46232</v>
      </c>
      <c r="H860" s="6">
        <v>5</v>
      </c>
      <c r="I860" s="7">
        <v>46233</v>
      </c>
      <c r="J860" s="7">
        <f t="shared" si="40"/>
        <v>46237</v>
      </c>
      <c r="K860" s="8">
        <v>60</v>
      </c>
      <c r="L860" s="9">
        <f t="shared" si="39"/>
        <v>0</v>
      </c>
      <c r="M860" s="9" t="str" cm="1">
        <f t="array" ref="M860">_xlfn.IFS(L860&gt;=10,"HIGH",L860=0,"LOW",L860&lt;=9,"MEDIUM")</f>
        <v>LOW</v>
      </c>
      <c r="N860" s="9" t="str" cm="1">
        <f t="array" ref="N860">_xlfn.IFS(M860="HIGH",K860*L860,M860="MEDIUM",K860*L860,M860="LOW","NA")</f>
        <v>NA</v>
      </c>
      <c r="O860" s="18" t="str">
        <f t="shared" si="41"/>
        <v>cleared</v>
      </c>
    </row>
    <row r="861" spans="1:15" x14ac:dyDescent="0.25">
      <c r="A861" s="17">
        <v>857</v>
      </c>
      <c r="B861" s="6" t="s">
        <v>894</v>
      </c>
      <c r="C861" s="6" t="s">
        <v>16</v>
      </c>
      <c r="D861" s="6" t="s">
        <v>17</v>
      </c>
      <c r="E861" s="6" t="s">
        <v>44</v>
      </c>
      <c r="F861" s="6" t="s">
        <v>27</v>
      </c>
      <c r="G861" s="7">
        <v>46256</v>
      </c>
      <c r="H861" s="6">
        <v>7</v>
      </c>
      <c r="I861" s="7">
        <v>46259</v>
      </c>
      <c r="J861" s="7">
        <f t="shared" si="40"/>
        <v>46263</v>
      </c>
      <c r="K861" s="8">
        <v>110</v>
      </c>
      <c r="L861" s="9">
        <f t="shared" si="39"/>
        <v>0</v>
      </c>
      <c r="M861" s="9" t="str" cm="1">
        <f t="array" ref="M861">_xlfn.IFS(L861&gt;=10,"HIGH",L861=0,"LOW",L861&lt;=9,"MEDIUM")</f>
        <v>LOW</v>
      </c>
      <c r="N861" s="9" t="str" cm="1">
        <f t="array" ref="N861">_xlfn.IFS(M861="HIGH",K861*L861,M861="MEDIUM",K861*L861,M861="LOW","NA")</f>
        <v>NA</v>
      </c>
      <c r="O861" s="18" t="str">
        <f t="shared" si="41"/>
        <v>cleared</v>
      </c>
    </row>
    <row r="862" spans="1:15" x14ac:dyDescent="0.25">
      <c r="A862" s="17">
        <v>858</v>
      </c>
      <c r="B862" s="6" t="s">
        <v>895</v>
      </c>
      <c r="C862" s="6" t="s">
        <v>11</v>
      </c>
      <c r="D862" s="6" t="s">
        <v>31</v>
      </c>
      <c r="E862" s="6" t="s">
        <v>44</v>
      </c>
      <c r="F862" s="6" t="s">
        <v>29</v>
      </c>
      <c r="G862" s="7">
        <v>46186</v>
      </c>
      <c r="H862" s="6">
        <v>4</v>
      </c>
      <c r="I862" s="7">
        <v>46189</v>
      </c>
      <c r="J862" s="7">
        <f t="shared" si="40"/>
        <v>46190</v>
      </c>
      <c r="K862" s="8">
        <v>120</v>
      </c>
      <c r="L862" s="9">
        <f t="shared" si="39"/>
        <v>0</v>
      </c>
      <c r="M862" s="9" t="str" cm="1">
        <f t="array" ref="M862">_xlfn.IFS(L862&gt;=10,"HIGH",L862=0,"LOW",L862&lt;=9,"MEDIUM")</f>
        <v>LOW</v>
      </c>
      <c r="N862" s="9" t="str" cm="1">
        <f t="array" ref="N862">_xlfn.IFS(M862="HIGH",K862*L862,M862="MEDIUM",K862*L862,M862="LOW","NA")</f>
        <v>NA</v>
      </c>
      <c r="O862" s="18" t="str">
        <f t="shared" si="41"/>
        <v>cleared</v>
      </c>
    </row>
    <row r="863" spans="1:15" x14ac:dyDescent="0.25">
      <c r="A863" s="17">
        <v>859</v>
      </c>
      <c r="B863" s="6" t="s">
        <v>896</v>
      </c>
      <c r="C863" s="6" t="s">
        <v>37</v>
      </c>
      <c r="D863" s="6" t="s">
        <v>20</v>
      </c>
      <c r="E863" s="6" t="s">
        <v>23</v>
      </c>
      <c r="F863" s="6" t="s">
        <v>14</v>
      </c>
      <c r="G863" s="7">
        <v>46177</v>
      </c>
      <c r="H863" s="6">
        <v>7</v>
      </c>
      <c r="I863" s="6"/>
      <c r="J863" s="7">
        <f t="shared" si="40"/>
        <v>46184</v>
      </c>
      <c r="K863" s="8">
        <v>110</v>
      </c>
      <c r="L863" s="9">
        <f t="shared" si="39"/>
        <v>75</v>
      </c>
      <c r="M863" s="9" t="str" cm="1">
        <f t="array" ref="M863">_xlfn.IFS(L863&gt;=10,"HIGH",L863=0,"LOW",L863&lt;=9,"MEDIUM")</f>
        <v>HIGH</v>
      </c>
      <c r="N863" s="9" cm="1">
        <f t="array" ref="N863">_xlfn.IFS(M863="HIGH",K863*L863,M863="MEDIUM",K863*L863,M863="LOW","NA")</f>
        <v>8250</v>
      </c>
      <c r="O863" s="18" t="str">
        <f t="shared" si="41"/>
        <v>still in yard</v>
      </c>
    </row>
    <row r="864" spans="1:15" x14ac:dyDescent="0.25">
      <c r="A864" s="17">
        <v>860</v>
      </c>
      <c r="B864" s="6" t="s">
        <v>897</v>
      </c>
      <c r="C864" s="6" t="s">
        <v>33</v>
      </c>
      <c r="D864" s="6" t="s">
        <v>34</v>
      </c>
      <c r="E864" s="6" t="s">
        <v>44</v>
      </c>
      <c r="F864" s="6" t="s">
        <v>29</v>
      </c>
      <c r="G864" s="7">
        <v>46205</v>
      </c>
      <c r="H864" s="6">
        <v>4</v>
      </c>
      <c r="I864" s="6"/>
      <c r="J864" s="7">
        <f t="shared" si="40"/>
        <v>46209</v>
      </c>
      <c r="K864" s="8">
        <v>120</v>
      </c>
      <c r="L864" s="9">
        <f t="shared" si="39"/>
        <v>50</v>
      </c>
      <c r="M864" s="9" t="str" cm="1">
        <f t="array" ref="M864">_xlfn.IFS(L864&gt;=10,"HIGH",L864=0,"LOW",L864&lt;=9,"MEDIUM")</f>
        <v>HIGH</v>
      </c>
      <c r="N864" s="9" cm="1">
        <f t="array" ref="N864">_xlfn.IFS(M864="HIGH",K864*L864,M864="MEDIUM",K864*L864,M864="LOW","NA")</f>
        <v>6000</v>
      </c>
      <c r="O864" s="18" t="str">
        <f t="shared" si="41"/>
        <v>still in yard</v>
      </c>
    </row>
    <row r="865" spans="1:15" x14ac:dyDescent="0.25">
      <c r="A865" s="17">
        <v>861</v>
      </c>
      <c r="B865" s="6" t="s">
        <v>898</v>
      </c>
      <c r="C865" s="6" t="s">
        <v>33</v>
      </c>
      <c r="D865" s="6" t="s">
        <v>26</v>
      </c>
      <c r="E865" s="6" t="s">
        <v>44</v>
      </c>
      <c r="F865" s="6" t="s">
        <v>29</v>
      </c>
      <c r="G865" s="7">
        <v>46169</v>
      </c>
      <c r="H865" s="6">
        <v>3</v>
      </c>
      <c r="I865" s="7">
        <v>46176</v>
      </c>
      <c r="J865" s="7">
        <f t="shared" si="40"/>
        <v>46172</v>
      </c>
      <c r="K865" s="8">
        <v>150</v>
      </c>
      <c r="L865" s="9">
        <f t="shared" si="39"/>
        <v>4</v>
      </c>
      <c r="M865" s="9" t="str" cm="1">
        <f t="array" ref="M865">_xlfn.IFS(L865&gt;=10,"HIGH",L865=0,"LOW",L865&lt;=9,"MEDIUM")</f>
        <v>MEDIUM</v>
      </c>
      <c r="N865" s="9" cm="1">
        <f t="array" ref="N865">_xlfn.IFS(M865="HIGH",K865*L865,M865="MEDIUM",K865*L865,M865="LOW","NA")</f>
        <v>600</v>
      </c>
      <c r="O865" s="18" t="str">
        <f t="shared" si="41"/>
        <v>cleared</v>
      </c>
    </row>
    <row r="866" spans="1:15" x14ac:dyDescent="0.25">
      <c r="A866" s="17">
        <v>862</v>
      </c>
      <c r="B866" s="6" t="s">
        <v>899</v>
      </c>
      <c r="C866" s="6" t="s">
        <v>37</v>
      </c>
      <c r="D866" s="6" t="s">
        <v>12</v>
      </c>
      <c r="E866" s="6" t="s">
        <v>61</v>
      </c>
      <c r="F866" s="6" t="s">
        <v>29</v>
      </c>
      <c r="G866" s="7">
        <v>46242</v>
      </c>
      <c r="H866" s="6">
        <v>4</v>
      </c>
      <c r="I866" s="7">
        <v>46243</v>
      </c>
      <c r="J866" s="7">
        <f t="shared" si="40"/>
        <v>46246</v>
      </c>
      <c r="K866" s="8">
        <v>120</v>
      </c>
      <c r="L866" s="9">
        <f t="shared" si="39"/>
        <v>0</v>
      </c>
      <c r="M866" s="9" t="str" cm="1">
        <f t="array" ref="M866">_xlfn.IFS(L866&gt;=10,"HIGH",L866=0,"LOW",L866&lt;=9,"MEDIUM")</f>
        <v>LOW</v>
      </c>
      <c r="N866" s="9" t="str" cm="1">
        <f t="array" ref="N866">_xlfn.IFS(M866="HIGH",K866*L866,M866="MEDIUM",K866*L866,M866="LOW","NA")</f>
        <v>NA</v>
      </c>
      <c r="O866" s="18" t="str">
        <f t="shared" si="41"/>
        <v>cleared</v>
      </c>
    </row>
    <row r="867" spans="1:15" x14ac:dyDescent="0.25">
      <c r="A867" s="17">
        <v>863</v>
      </c>
      <c r="B867" s="6" t="s">
        <v>900</v>
      </c>
      <c r="C867" s="6" t="s">
        <v>16</v>
      </c>
      <c r="D867" s="6" t="s">
        <v>41</v>
      </c>
      <c r="E867" s="6" t="s">
        <v>39</v>
      </c>
      <c r="F867" s="6" t="s">
        <v>14</v>
      </c>
      <c r="G867" s="7">
        <v>46193</v>
      </c>
      <c r="H867" s="6">
        <v>7</v>
      </c>
      <c r="I867" s="7">
        <v>46201</v>
      </c>
      <c r="J867" s="7">
        <f t="shared" si="40"/>
        <v>46200</v>
      </c>
      <c r="K867" s="8">
        <v>130</v>
      </c>
      <c r="L867" s="9">
        <f t="shared" si="39"/>
        <v>1</v>
      </c>
      <c r="M867" s="9" t="str" cm="1">
        <f t="array" ref="M867">_xlfn.IFS(L867&gt;=10,"HIGH",L867=0,"LOW",L867&lt;=9,"MEDIUM")</f>
        <v>MEDIUM</v>
      </c>
      <c r="N867" s="9" cm="1">
        <f t="array" ref="N867">_xlfn.IFS(M867="HIGH",K867*L867,M867="MEDIUM",K867*L867,M867="LOW","NA")</f>
        <v>130</v>
      </c>
      <c r="O867" s="18" t="str">
        <f t="shared" si="41"/>
        <v>cleared</v>
      </c>
    </row>
    <row r="868" spans="1:15" x14ac:dyDescent="0.25">
      <c r="A868" s="17">
        <v>864</v>
      </c>
      <c r="B868" s="6" t="s">
        <v>901</v>
      </c>
      <c r="C868" s="6" t="s">
        <v>37</v>
      </c>
      <c r="D868" s="6" t="s">
        <v>12</v>
      </c>
      <c r="E868" s="6" t="s">
        <v>44</v>
      </c>
      <c r="F868" s="6" t="s">
        <v>14</v>
      </c>
      <c r="G868" s="7">
        <v>46216</v>
      </c>
      <c r="H868" s="6">
        <v>5</v>
      </c>
      <c r="I868" s="7">
        <v>46223</v>
      </c>
      <c r="J868" s="7">
        <f t="shared" si="40"/>
        <v>46221</v>
      </c>
      <c r="K868" s="8">
        <v>60</v>
      </c>
      <c r="L868" s="9">
        <f t="shared" si="39"/>
        <v>2</v>
      </c>
      <c r="M868" s="9" t="str" cm="1">
        <f t="array" ref="M868">_xlfn.IFS(L868&gt;=10,"HIGH",L868=0,"LOW",L868&lt;=9,"MEDIUM")</f>
        <v>MEDIUM</v>
      </c>
      <c r="N868" s="9" cm="1">
        <f t="array" ref="N868">_xlfn.IFS(M868="HIGH",K868*L868,M868="MEDIUM",K868*L868,M868="LOW","NA")</f>
        <v>120</v>
      </c>
      <c r="O868" s="18" t="str">
        <f t="shared" si="41"/>
        <v>cleared</v>
      </c>
    </row>
    <row r="869" spans="1:15" x14ac:dyDescent="0.25">
      <c r="A869" s="17">
        <v>865</v>
      </c>
      <c r="B869" s="6" t="s">
        <v>902</v>
      </c>
      <c r="C869" s="6" t="s">
        <v>16</v>
      </c>
      <c r="D869" s="6" t="s">
        <v>41</v>
      </c>
      <c r="E869" s="6" t="s">
        <v>35</v>
      </c>
      <c r="F869" s="6" t="s">
        <v>27</v>
      </c>
      <c r="G869" s="7">
        <v>46206</v>
      </c>
      <c r="H869" s="6">
        <v>5</v>
      </c>
      <c r="I869" s="7">
        <v>46213</v>
      </c>
      <c r="J869" s="7">
        <f t="shared" si="40"/>
        <v>46211</v>
      </c>
      <c r="K869" s="8">
        <v>75</v>
      </c>
      <c r="L869" s="9">
        <f t="shared" si="39"/>
        <v>2</v>
      </c>
      <c r="M869" s="9" t="str" cm="1">
        <f t="array" ref="M869">_xlfn.IFS(L869&gt;=10,"HIGH",L869=0,"LOW",L869&lt;=9,"MEDIUM")</f>
        <v>MEDIUM</v>
      </c>
      <c r="N869" s="9" cm="1">
        <f t="array" ref="N869">_xlfn.IFS(M869="HIGH",K869*L869,M869="MEDIUM",K869*L869,M869="LOW","NA")</f>
        <v>150</v>
      </c>
      <c r="O869" s="18" t="str">
        <f t="shared" si="41"/>
        <v>cleared</v>
      </c>
    </row>
    <row r="870" spans="1:15" x14ac:dyDescent="0.25">
      <c r="A870" s="17">
        <v>866</v>
      </c>
      <c r="B870" s="6" t="s">
        <v>903</v>
      </c>
      <c r="C870" s="6" t="s">
        <v>37</v>
      </c>
      <c r="D870" s="6" t="s">
        <v>17</v>
      </c>
      <c r="E870" s="6" t="s">
        <v>21</v>
      </c>
      <c r="F870" s="6" t="s">
        <v>29</v>
      </c>
      <c r="G870" s="7">
        <v>46198</v>
      </c>
      <c r="H870" s="6">
        <v>3</v>
      </c>
      <c r="I870" s="6"/>
      <c r="J870" s="7">
        <f t="shared" si="40"/>
        <v>46201</v>
      </c>
      <c r="K870" s="8">
        <v>180</v>
      </c>
      <c r="L870" s="9">
        <f t="shared" si="39"/>
        <v>58</v>
      </c>
      <c r="M870" s="9" t="str" cm="1">
        <f t="array" ref="M870">_xlfn.IFS(L870&gt;=10,"HIGH",L870=0,"LOW",L870&lt;=9,"MEDIUM")</f>
        <v>HIGH</v>
      </c>
      <c r="N870" s="9" cm="1">
        <f t="array" ref="N870">_xlfn.IFS(M870="HIGH",K870*L870,M870="MEDIUM",K870*L870,M870="LOW","NA")</f>
        <v>10440</v>
      </c>
      <c r="O870" s="18" t="str">
        <f t="shared" si="41"/>
        <v>still in yard</v>
      </c>
    </row>
    <row r="871" spans="1:15" x14ac:dyDescent="0.25">
      <c r="A871" s="17">
        <v>867</v>
      </c>
      <c r="B871" s="6" t="s">
        <v>904</v>
      </c>
      <c r="C871" s="6" t="s">
        <v>37</v>
      </c>
      <c r="D871" s="6" t="s">
        <v>34</v>
      </c>
      <c r="E871" s="6" t="s">
        <v>42</v>
      </c>
      <c r="F871" s="6" t="s">
        <v>27</v>
      </c>
      <c r="G871" s="7">
        <v>46202</v>
      </c>
      <c r="H871" s="6">
        <v>4</v>
      </c>
      <c r="I871" s="6"/>
      <c r="J871" s="7">
        <f t="shared" si="40"/>
        <v>46206</v>
      </c>
      <c r="K871" s="8">
        <v>90</v>
      </c>
      <c r="L871" s="9">
        <f t="shared" si="39"/>
        <v>53</v>
      </c>
      <c r="M871" s="9" t="str" cm="1">
        <f t="array" ref="M871">_xlfn.IFS(L871&gt;=10,"HIGH",L871=0,"LOW",L871&lt;=9,"MEDIUM")</f>
        <v>HIGH</v>
      </c>
      <c r="N871" s="9" cm="1">
        <f t="array" ref="N871">_xlfn.IFS(M871="HIGH",K871*L871,M871="MEDIUM",K871*L871,M871="LOW","NA")</f>
        <v>4770</v>
      </c>
      <c r="O871" s="18" t="str">
        <f t="shared" si="41"/>
        <v>still in yard</v>
      </c>
    </row>
    <row r="872" spans="1:15" x14ac:dyDescent="0.25">
      <c r="A872" s="17">
        <v>868</v>
      </c>
      <c r="B872" s="6" t="s">
        <v>905</v>
      </c>
      <c r="C872" s="6" t="s">
        <v>37</v>
      </c>
      <c r="D872" s="6" t="s">
        <v>54</v>
      </c>
      <c r="E872" s="6" t="s">
        <v>46</v>
      </c>
      <c r="F872" s="6" t="s">
        <v>14</v>
      </c>
      <c r="G872" s="7">
        <v>46195</v>
      </c>
      <c r="H872" s="6">
        <v>7</v>
      </c>
      <c r="I872" s="7">
        <v>46200</v>
      </c>
      <c r="J872" s="7">
        <f t="shared" si="40"/>
        <v>46202</v>
      </c>
      <c r="K872" s="8">
        <v>110</v>
      </c>
      <c r="L872" s="9">
        <f t="shared" si="39"/>
        <v>0</v>
      </c>
      <c r="M872" s="9" t="str" cm="1">
        <f t="array" ref="M872">_xlfn.IFS(L872&gt;=10,"HIGH",L872=0,"LOW",L872&lt;=9,"MEDIUM")</f>
        <v>LOW</v>
      </c>
      <c r="N872" s="9" t="str" cm="1">
        <f t="array" ref="N872">_xlfn.IFS(M872="HIGH",K872*L872,M872="MEDIUM",K872*L872,M872="LOW","NA")</f>
        <v>NA</v>
      </c>
      <c r="O872" s="18" t="str">
        <f t="shared" si="41"/>
        <v>cleared</v>
      </c>
    </row>
    <row r="873" spans="1:15" x14ac:dyDescent="0.25">
      <c r="A873" s="17">
        <v>869</v>
      </c>
      <c r="B873" s="6" t="s">
        <v>906</v>
      </c>
      <c r="C873" s="6" t="s">
        <v>33</v>
      </c>
      <c r="D873" s="6" t="s">
        <v>56</v>
      </c>
      <c r="E873" s="6" t="s">
        <v>13</v>
      </c>
      <c r="F873" s="6" t="s">
        <v>27</v>
      </c>
      <c r="G873" s="7">
        <v>46187</v>
      </c>
      <c r="H873" s="6">
        <v>7</v>
      </c>
      <c r="I873" s="7">
        <v>46193</v>
      </c>
      <c r="J873" s="7">
        <f t="shared" si="40"/>
        <v>46194</v>
      </c>
      <c r="K873" s="8">
        <v>110</v>
      </c>
      <c r="L873" s="9">
        <f t="shared" si="39"/>
        <v>0</v>
      </c>
      <c r="M873" s="9" t="str" cm="1">
        <f t="array" ref="M873">_xlfn.IFS(L873&gt;=10,"HIGH",L873=0,"LOW",L873&lt;=9,"MEDIUM")</f>
        <v>LOW</v>
      </c>
      <c r="N873" s="9" t="str" cm="1">
        <f t="array" ref="N873">_xlfn.IFS(M873="HIGH",K873*L873,M873="MEDIUM",K873*L873,M873="LOW","NA")</f>
        <v>NA</v>
      </c>
      <c r="O873" s="18" t="str">
        <f t="shared" si="41"/>
        <v>cleared</v>
      </c>
    </row>
    <row r="874" spans="1:15" x14ac:dyDescent="0.25">
      <c r="A874" s="17">
        <v>870</v>
      </c>
      <c r="B874" s="6" t="s">
        <v>907</v>
      </c>
      <c r="C874" s="6" t="s">
        <v>37</v>
      </c>
      <c r="D874" s="6" t="s">
        <v>49</v>
      </c>
      <c r="E874" s="6" t="s">
        <v>46</v>
      </c>
      <c r="F874" s="6" t="s">
        <v>24</v>
      </c>
      <c r="G874" s="7">
        <v>46220</v>
      </c>
      <c r="H874" s="6">
        <v>7</v>
      </c>
      <c r="I874" s="6"/>
      <c r="J874" s="7">
        <f t="shared" si="40"/>
        <v>46227</v>
      </c>
      <c r="K874" s="8">
        <v>60</v>
      </c>
      <c r="L874" s="9">
        <f t="shared" si="39"/>
        <v>32</v>
      </c>
      <c r="M874" s="9" t="str" cm="1">
        <f t="array" ref="M874">_xlfn.IFS(L874&gt;=10,"HIGH",L874=0,"LOW",L874&lt;=9,"MEDIUM")</f>
        <v>HIGH</v>
      </c>
      <c r="N874" s="9" cm="1">
        <f t="array" ref="N874">_xlfn.IFS(M874="HIGH",K874*L874,M874="MEDIUM",K874*L874,M874="LOW","NA")</f>
        <v>1920</v>
      </c>
      <c r="O874" s="18" t="str">
        <f t="shared" si="41"/>
        <v>still in yard</v>
      </c>
    </row>
    <row r="875" spans="1:15" x14ac:dyDescent="0.25">
      <c r="A875" s="17">
        <v>871</v>
      </c>
      <c r="B875" s="6" t="s">
        <v>908</v>
      </c>
      <c r="C875" s="6" t="s">
        <v>11</v>
      </c>
      <c r="D875" s="6" t="s">
        <v>56</v>
      </c>
      <c r="E875" s="6" t="s">
        <v>13</v>
      </c>
      <c r="F875" s="6" t="s">
        <v>29</v>
      </c>
      <c r="G875" s="7">
        <v>46201</v>
      </c>
      <c r="H875" s="6">
        <v>3</v>
      </c>
      <c r="I875" s="7">
        <v>46202</v>
      </c>
      <c r="J875" s="7">
        <f t="shared" si="40"/>
        <v>46204</v>
      </c>
      <c r="K875" s="8">
        <v>120</v>
      </c>
      <c r="L875" s="9">
        <f t="shared" si="39"/>
        <v>0</v>
      </c>
      <c r="M875" s="9" t="str" cm="1">
        <f t="array" ref="M875">_xlfn.IFS(L875&gt;=10,"HIGH",L875=0,"LOW",L875&lt;=9,"MEDIUM")</f>
        <v>LOW</v>
      </c>
      <c r="N875" s="9" t="str" cm="1">
        <f t="array" ref="N875">_xlfn.IFS(M875="HIGH",K875*L875,M875="MEDIUM",K875*L875,M875="LOW","NA")</f>
        <v>NA</v>
      </c>
      <c r="O875" s="18" t="str">
        <f t="shared" si="41"/>
        <v>cleared</v>
      </c>
    </row>
    <row r="876" spans="1:15" x14ac:dyDescent="0.25">
      <c r="A876" s="17">
        <v>872</v>
      </c>
      <c r="B876" s="6" t="s">
        <v>909</v>
      </c>
      <c r="C876" s="6" t="s">
        <v>37</v>
      </c>
      <c r="D876" s="6" t="s">
        <v>54</v>
      </c>
      <c r="E876" s="6" t="s">
        <v>46</v>
      </c>
      <c r="F876" s="6" t="s">
        <v>29</v>
      </c>
      <c r="G876" s="7">
        <v>46172</v>
      </c>
      <c r="H876" s="6">
        <v>4</v>
      </c>
      <c r="I876" s="7">
        <v>46178</v>
      </c>
      <c r="J876" s="7">
        <f t="shared" si="40"/>
        <v>46176</v>
      </c>
      <c r="K876" s="8">
        <v>120</v>
      </c>
      <c r="L876" s="9">
        <f t="shared" si="39"/>
        <v>2</v>
      </c>
      <c r="M876" s="9" t="str" cm="1">
        <f t="array" ref="M876">_xlfn.IFS(L876&gt;=10,"HIGH",L876=0,"LOW",L876&lt;=9,"MEDIUM")</f>
        <v>MEDIUM</v>
      </c>
      <c r="N876" s="9" cm="1">
        <f t="array" ref="N876">_xlfn.IFS(M876="HIGH",K876*L876,M876="MEDIUM",K876*L876,M876="LOW","NA")</f>
        <v>240</v>
      </c>
      <c r="O876" s="18" t="str">
        <f t="shared" si="41"/>
        <v>cleared</v>
      </c>
    </row>
    <row r="877" spans="1:15" x14ac:dyDescent="0.25">
      <c r="A877" s="17">
        <v>873</v>
      </c>
      <c r="B877" s="6" t="s">
        <v>910</v>
      </c>
      <c r="C877" s="6" t="s">
        <v>37</v>
      </c>
      <c r="D877" s="6" t="s">
        <v>41</v>
      </c>
      <c r="E877" s="6" t="s">
        <v>46</v>
      </c>
      <c r="F877" s="6" t="s">
        <v>29</v>
      </c>
      <c r="G877" s="7">
        <v>46202</v>
      </c>
      <c r="H877" s="6">
        <v>4</v>
      </c>
      <c r="I877" s="6"/>
      <c r="J877" s="7">
        <f t="shared" si="40"/>
        <v>46206</v>
      </c>
      <c r="K877" s="8">
        <v>120</v>
      </c>
      <c r="L877" s="9">
        <f t="shared" si="39"/>
        <v>53</v>
      </c>
      <c r="M877" s="9" t="str" cm="1">
        <f t="array" ref="M877">_xlfn.IFS(L877&gt;=10,"HIGH",L877=0,"LOW",L877&lt;=9,"MEDIUM")</f>
        <v>HIGH</v>
      </c>
      <c r="N877" s="9" cm="1">
        <f t="array" ref="N877">_xlfn.IFS(M877="HIGH",K877*L877,M877="MEDIUM",K877*L877,M877="LOW","NA")</f>
        <v>6360</v>
      </c>
      <c r="O877" s="18" t="str">
        <f t="shared" si="41"/>
        <v>still in yard</v>
      </c>
    </row>
    <row r="878" spans="1:15" x14ac:dyDescent="0.25">
      <c r="A878" s="17">
        <v>874</v>
      </c>
      <c r="B878" s="6" t="s">
        <v>911</v>
      </c>
      <c r="C878" s="6" t="s">
        <v>11</v>
      </c>
      <c r="D878" s="6" t="s">
        <v>56</v>
      </c>
      <c r="E878" s="6" t="s">
        <v>39</v>
      </c>
      <c r="F878" s="6" t="s">
        <v>29</v>
      </c>
      <c r="G878" s="7">
        <v>46240</v>
      </c>
      <c r="H878" s="6">
        <v>3</v>
      </c>
      <c r="I878" s="7">
        <v>46244</v>
      </c>
      <c r="J878" s="7">
        <f t="shared" si="40"/>
        <v>46243</v>
      </c>
      <c r="K878" s="8">
        <v>150</v>
      </c>
      <c r="L878" s="9">
        <f t="shared" si="39"/>
        <v>1</v>
      </c>
      <c r="M878" s="9" t="str" cm="1">
        <f t="array" ref="M878">_xlfn.IFS(L878&gt;=10,"HIGH",L878=0,"LOW",L878&lt;=9,"MEDIUM")</f>
        <v>MEDIUM</v>
      </c>
      <c r="N878" s="9" cm="1">
        <f t="array" ref="N878">_xlfn.IFS(M878="HIGH",K878*L878,M878="MEDIUM",K878*L878,M878="LOW","NA")</f>
        <v>150</v>
      </c>
      <c r="O878" s="18" t="str">
        <f t="shared" si="41"/>
        <v>cleared</v>
      </c>
    </row>
    <row r="879" spans="1:15" x14ac:dyDescent="0.25">
      <c r="A879" s="17">
        <v>875</v>
      </c>
      <c r="B879" s="6" t="s">
        <v>912</v>
      </c>
      <c r="C879" s="6" t="s">
        <v>33</v>
      </c>
      <c r="D879" s="6" t="s">
        <v>26</v>
      </c>
      <c r="E879" s="6" t="s">
        <v>23</v>
      </c>
      <c r="F879" s="6" t="s">
        <v>14</v>
      </c>
      <c r="G879" s="7">
        <v>46169</v>
      </c>
      <c r="H879" s="6">
        <v>7</v>
      </c>
      <c r="I879" s="6"/>
      <c r="J879" s="7">
        <f t="shared" si="40"/>
        <v>46176</v>
      </c>
      <c r="K879" s="8">
        <v>110</v>
      </c>
      <c r="L879" s="9">
        <f t="shared" si="39"/>
        <v>83</v>
      </c>
      <c r="M879" s="9" t="str" cm="1">
        <f t="array" ref="M879">_xlfn.IFS(L879&gt;=10,"HIGH",L879=0,"LOW",L879&lt;=9,"MEDIUM")</f>
        <v>HIGH</v>
      </c>
      <c r="N879" s="9" cm="1">
        <f t="array" ref="N879">_xlfn.IFS(M879="HIGH",K879*L879,M879="MEDIUM",K879*L879,M879="LOW","NA")</f>
        <v>9130</v>
      </c>
      <c r="O879" s="18" t="str">
        <f t="shared" si="41"/>
        <v>still in yard</v>
      </c>
    </row>
    <row r="880" spans="1:15" x14ac:dyDescent="0.25">
      <c r="A880" s="17">
        <v>876</v>
      </c>
      <c r="B880" s="6" t="s">
        <v>913</v>
      </c>
      <c r="C880" s="6" t="s">
        <v>37</v>
      </c>
      <c r="D880" s="6" t="s">
        <v>17</v>
      </c>
      <c r="E880" s="6" t="s">
        <v>42</v>
      </c>
      <c r="F880" s="6" t="s">
        <v>27</v>
      </c>
      <c r="G880" s="7">
        <v>46202</v>
      </c>
      <c r="H880" s="6">
        <v>5</v>
      </c>
      <c r="I880" s="6"/>
      <c r="J880" s="7">
        <f t="shared" si="40"/>
        <v>46207</v>
      </c>
      <c r="K880" s="8">
        <v>90</v>
      </c>
      <c r="L880" s="9">
        <f t="shared" si="39"/>
        <v>52</v>
      </c>
      <c r="M880" s="9" t="str" cm="1">
        <f t="array" ref="M880">_xlfn.IFS(L880&gt;=10,"HIGH",L880=0,"LOW",L880&lt;=9,"MEDIUM")</f>
        <v>HIGH</v>
      </c>
      <c r="N880" s="9" cm="1">
        <f t="array" ref="N880">_xlfn.IFS(M880="HIGH",K880*L880,M880="MEDIUM",K880*L880,M880="LOW","NA")</f>
        <v>4680</v>
      </c>
      <c r="O880" s="18" t="str">
        <f t="shared" si="41"/>
        <v>still in yard</v>
      </c>
    </row>
    <row r="881" spans="1:15" x14ac:dyDescent="0.25">
      <c r="A881" s="17">
        <v>877</v>
      </c>
      <c r="B881" s="6" t="s">
        <v>914</v>
      </c>
      <c r="C881" s="6" t="s">
        <v>16</v>
      </c>
      <c r="D881" s="6" t="s">
        <v>41</v>
      </c>
      <c r="E881" s="6" t="s">
        <v>21</v>
      </c>
      <c r="F881" s="6" t="s">
        <v>27</v>
      </c>
      <c r="G881" s="7">
        <v>46192</v>
      </c>
      <c r="H881" s="6">
        <v>5</v>
      </c>
      <c r="I881" s="7">
        <v>46203</v>
      </c>
      <c r="J881" s="7">
        <f t="shared" si="40"/>
        <v>46197</v>
      </c>
      <c r="K881" s="8">
        <v>60</v>
      </c>
      <c r="L881" s="9">
        <f t="shared" si="39"/>
        <v>6</v>
      </c>
      <c r="M881" s="9" t="str" cm="1">
        <f t="array" ref="M881">_xlfn.IFS(L881&gt;=10,"HIGH",L881=0,"LOW",L881&lt;=9,"MEDIUM")</f>
        <v>MEDIUM</v>
      </c>
      <c r="N881" s="9" cm="1">
        <f t="array" ref="N881">_xlfn.IFS(M881="HIGH",K881*L881,M881="MEDIUM",K881*L881,M881="LOW","NA")</f>
        <v>360</v>
      </c>
      <c r="O881" s="18" t="str">
        <f t="shared" si="41"/>
        <v>cleared</v>
      </c>
    </row>
    <row r="882" spans="1:15" x14ac:dyDescent="0.25">
      <c r="A882" s="17">
        <v>878</v>
      </c>
      <c r="B882" s="6" t="s">
        <v>915</v>
      </c>
      <c r="C882" s="6" t="s">
        <v>11</v>
      </c>
      <c r="D882" s="6" t="s">
        <v>26</v>
      </c>
      <c r="E882" s="6" t="s">
        <v>44</v>
      </c>
      <c r="F882" s="6" t="s">
        <v>14</v>
      </c>
      <c r="G882" s="7">
        <v>46226</v>
      </c>
      <c r="H882" s="6">
        <v>6</v>
      </c>
      <c r="I882" s="7">
        <v>46234</v>
      </c>
      <c r="J882" s="7">
        <f t="shared" si="40"/>
        <v>46232</v>
      </c>
      <c r="K882" s="8">
        <v>60</v>
      </c>
      <c r="L882" s="9">
        <f t="shared" si="39"/>
        <v>2</v>
      </c>
      <c r="M882" s="9" t="str" cm="1">
        <f t="array" ref="M882">_xlfn.IFS(L882&gt;=10,"HIGH",L882=0,"LOW",L882&lt;=9,"MEDIUM")</f>
        <v>MEDIUM</v>
      </c>
      <c r="N882" s="9" cm="1">
        <f t="array" ref="N882">_xlfn.IFS(M882="HIGH",K882*L882,M882="MEDIUM",K882*L882,M882="LOW","NA")</f>
        <v>120</v>
      </c>
      <c r="O882" s="18" t="str">
        <f t="shared" si="41"/>
        <v>cleared</v>
      </c>
    </row>
    <row r="883" spans="1:15" x14ac:dyDescent="0.25">
      <c r="A883" s="17">
        <v>879</v>
      </c>
      <c r="B883" s="6" t="s">
        <v>916</v>
      </c>
      <c r="C883" s="6" t="s">
        <v>33</v>
      </c>
      <c r="D883" s="6" t="s">
        <v>56</v>
      </c>
      <c r="E883" s="6" t="s">
        <v>39</v>
      </c>
      <c r="F883" s="6" t="s">
        <v>27</v>
      </c>
      <c r="G883" s="7">
        <v>46237</v>
      </c>
      <c r="H883" s="6">
        <v>5</v>
      </c>
      <c r="I883" s="7">
        <v>46246</v>
      </c>
      <c r="J883" s="7">
        <f t="shared" si="40"/>
        <v>46242</v>
      </c>
      <c r="K883" s="8">
        <v>75</v>
      </c>
      <c r="L883" s="9">
        <f t="shared" si="39"/>
        <v>4</v>
      </c>
      <c r="M883" s="9" t="str" cm="1">
        <f t="array" ref="M883">_xlfn.IFS(L883&gt;=10,"HIGH",L883=0,"LOW",L883&lt;=9,"MEDIUM")</f>
        <v>MEDIUM</v>
      </c>
      <c r="N883" s="9" cm="1">
        <f t="array" ref="N883">_xlfn.IFS(M883="HIGH",K883*L883,M883="MEDIUM",K883*L883,M883="LOW","NA")</f>
        <v>300</v>
      </c>
      <c r="O883" s="18" t="str">
        <f t="shared" si="41"/>
        <v>cleared</v>
      </c>
    </row>
    <row r="884" spans="1:15" x14ac:dyDescent="0.25">
      <c r="A884" s="17">
        <v>880</v>
      </c>
      <c r="B884" s="6" t="s">
        <v>917</v>
      </c>
      <c r="C884" s="6" t="s">
        <v>11</v>
      </c>
      <c r="D884" s="6" t="s">
        <v>31</v>
      </c>
      <c r="E884" s="6" t="s">
        <v>21</v>
      </c>
      <c r="F884" s="6" t="s">
        <v>24</v>
      </c>
      <c r="G884" s="7">
        <v>46201</v>
      </c>
      <c r="H884" s="6">
        <v>5</v>
      </c>
      <c r="I884" s="6"/>
      <c r="J884" s="7">
        <f t="shared" si="40"/>
        <v>46206</v>
      </c>
      <c r="K884" s="8">
        <v>110</v>
      </c>
      <c r="L884" s="9">
        <f t="shared" si="39"/>
        <v>53</v>
      </c>
      <c r="M884" s="9" t="str" cm="1">
        <f t="array" ref="M884">_xlfn.IFS(L884&gt;=10,"HIGH",L884=0,"LOW",L884&lt;=9,"MEDIUM")</f>
        <v>HIGH</v>
      </c>
      <c r="N884" s="9" cm="1">
        <f t="array" ref="N884">_xlfn.IFS(M884="HIGH",K884*L884,M884="MEDIUM",K884*L884,M884="LOW","NA")</f>
        <v>5830</v>
      </c>
      <c r="O884" s="18" t="str">
        <f t="shared" si="41"/>
        <v>still in yard</v>
      </c>
    </row>
    <row r="885" spans="1:15" x14ac:dyDescent="0.25">
      <c r="A885" s="17">
        <v>881</v>
      </c>
      <c r="B885" s="6" t="s">
        <v>918</v>
      </c>
      <c r="C885" s="6" t="s">
        <v>37</v>
      </c>
      <c r="D885" s="6" t="s">
        <v>26</v>
      </c>
      <c r="E885" s="6" t="s">
        <v>23</v>
      </c>
      <c r="F885" s="6" t="s">
        <v>27</v>
      </c>
      <c r="G885" s="7">
        <v>46202</v>
      </c>
      <c r="H885" s="6">
        <v>5</v>
      </c>
      <c r="I885" s="7">
        <v>46206</v>
      </c>
      <c r="J885" s="7">
        <f t="shared" si="40"/>
        <v>46207</v>
      </c>
      <c r="K885" s="8">
        <v>90</v>
      </c>
      <c r="L885" s="9">
        <f t="shared" si="39"/>
        <v>0</v>
      </c>
      <c r="M885" s="9" t="str" cm="1">
        <f t="array" ref="M885">_xlfn.IFS(L885&gt;=10,"HIGH",L885=0,"LOW",L885&lt;=9,"MEDIUM")</f>
        <v>LOW</v>
      </c>
      <c r="N885" s="9" t="str" cm="1">
        <f t="array" ref="N885">_xlfn.IFS(M885="HIGH",K885*L885,M885="MEDIUM",K885*L885,M885="LOW","NA")</f>
        <v>NA</v>
      </c>
      <c r="O885" s="18" t="str">
        <f t="shared" si="41"/>
        <v>cleared</v>
      </c>
    </row>
    <row r="886" spans="1:15" x14ac:dyDescent="0.25">
      <c r="A886" s="17">
        <v>882</v>
      </c>
      <c r="B886" s="6" t="s">
        <v>919</v>
      </c>
      <c r="C886" s="6" t="s">
        <v>33</v>
      </c>
      <c r="D886" s="6" t="s">
        <v>41</v>
      </c>
      <c r="E886" s="6" t="s">
        <v>13</v>
      </c>
      <c r="F886" s="6" t="s">
        <v>27</v>
      </c>
      <c r="G886" s="7">
        <v>46212</v>
      </c>
      <c r="H886" s="6">
        <v>4</v>
      </c>
      <c r="I886" s="7">
        <v>46213</v>
      </c>
      <c r="J886" s="7">
        <f t="shared" si="40"/>
        <v>46216</v>
      </c>
      <c r="K886" s="8">
        <v>90</v>
      </c>
      <c r="L886" s="9">
        <f t="shared" si="39"/>
        <v>0</v>
      </c>
      <c r="M886" s="9" t="str" cm="1">
        <f t="array" ref="M886">_xlfn.IFS(L886&gt;=10,"HIGH",L886=0,"LOW",L886&lt;=9,"MEDIUM")</f>
        <v>LOW</v>
      </c>
      <c r="N886" s="9" t="str" cm="1">
        <f t="array" ref="N886">_xlfn.IFS(M886="HIGH",K886*L886,M886="MEDIUM",K886*L886,M886="LOW","NA")</f>
        <v>NA</v>
      </c>
      <c r="O886" s="18" t="str">
        <f t="shared" si="41"/>
        <v>cleared</v>
      </c>
    </row>
    <row r="887" spans="1:15" x14ac:dyDescent="0.25">
      <c r="A887" s="17">
        <v>883</v>
      </c>
      <c r="B887" s="6" t="s">
        <v>920</v>
      </c>
      <c r="C887" s="6" t="s">
        <v>37</v>
      </c>
      <c r="D887" s="6" t="s">
        <v>17</v>
      </c>
      <c r="E887" s="6" t="s">
        <v>39</v>
      </c>
      <c r="F887" s="6" t="s">
        <v>27</v>
      </c>
      <c r="G887" s="7">
        <v>46210</v>
      </c>
      <c r="H887" s="6">
        <v>5</v>
      </c>
      <c r="I887" s="7">
        <v>46221</v>
      </c>
      <c r="J887" s="7">
        <f t="shared" si="40"/>
        <v>46215</v>
      </c>
      <c r="K887" s="8">
        <v>110</v>
      </c>
      <c r="L887" s="9">
        <f t="shared" si="39"/>
        <v>6</v>
      </c>
      <c r="M887" s="9" t="str" cm="1">
        <f t="array" ref="M887">_xlfn.IFS(L887&gt;=10,"HIGH",L887=0,"LOW",L887&lt;=9,"MEDIUM")</f>
        <v>MEDIUM</v>
      </c>
      <c r="N887" s="9" cm="1">
        <f t="array" ref="N887">_xlfn.IFS(M887="HIGH",K887*L887,M887="MEDIUM",K887*L887,M887="LOW","NA")</f>
        <v>660</v>
      </c>
      <c r="O887" s="18" t="str">
        <f t="shared" si="41"/>
        <v>cleared</v>
      </c>
    </row>
    <row r="888" spans="1:15" x14ac:dyDescent="0.25">
      <c r="A888" s="17">
        <v>884</v>
      </c>
      <c r="B888" s="6" t="s">
        <v>921</v>
      </c>
      <c r="C888" s="6" t="s">
        <v>37</v>
      </c>
      <c r="D888" s="6" t="s">
        <v>12</v>
      </c>
      <c r="E888" s="6" t="s">
        <v>23</v>
      </c>
      <c r="F888" s="6" t="s">
        <v>24</v>
      </c>
      <c r="G888" s="7">
        <v>46171</v>
      </c>
      <c r="H888" s="6">
        <v>7</v>
      </c>
      <c r="I888" s="6"/>
      <c r="J888" s="7">
        <f t="shared" si="40"/>
        <v>46178</v>
      </c>
      <c r="K888" s="8">
        <v>110</v>
      </c>
      <c r="L888" s="9">
        <f t="shared" si="39"/>
        <v>81</v>
      </c>
      <c r="M888" s="9" t="str" cm="1">
        <f t="array" ref="M888">_xlfn.IFS(L888&gt;=10,"HIGH",L888=0,"LOW",L888&lt;=9,"MEDIUM")</f>
        <v>HIGH</v>
      </c>
      <c r="N888" s="9" cm="1">
        <f t="array" ref="N888">_xlfn.IFS(M888="HIGH",K888*L888,M888="MEDIUM",K888*L888,M888="LOW","NA")</f>
        <v>8910</v>
      </c>
      <c r="O888" s="18" t="str">
        <f t="shared" si="41"/>
        <v>still in yard</v>
      </c>
    </row>
    <row r="889" spans="1:15" x14ac:dyDescent="0.25">
      <c r="A889" s="17">
        <v>885</v>
      </c>
      <c r="B889" s="6" t="s">
        <v>922</v>
      </c>
      <c r="C889" s="6" t="s">
        <v>37</v>
      </c>
      <c r="D889" s="6" t="s">
        <v>56</v>
      </c>
      <c r="E889" s="6" t="s">
        <v>46</v>
      </c>
      <c r="F889" s="6" t="s">
        <v>14</v>
      </c>
      <c r="G889" s="7">
        <v>46231</v>
      </c>
      <c r="H889" s="6">
        <v>4</v>
      </c>
      <c r="I889" s="7">
        <v>46241</v>
      </c>
      <c r="J889" s="7">
        <f t="shared" si="40"/>
        <v>46235</v>
      </c>
      <c r="K889" s="8">
        <v>130</v>
      </c>
      <c r="L889" s="9">
        <f t="shared" si="39"/>
        <v>6</v>
      </c>
      <c r="M889" s="9" t="str" cm="1">
        <f t="array" ref="M889">_xlfn.IFS(L889&gt;=10,"HIGH",L889=0,"LOW",L889&lt;=9,"MEDIUM")</f>
        <v>MEDIUM</v>
      </c>
      <c r="N889" s="9" cm="1">
        <f t="array" ref="N889">_xlfn.IFS(M889="HIGH",K889*L889,M889="MEDIUM",K889*L889,M889="LOW","NA")</f>
        <v>780</v>
      </c>
      <c r="O889" s="18" t="str">
        <f t="shared" si="41"/>
        <v>cleared</v>
      </c>
    </row>
    <row r="890" spans="1:15" x14ac:dyDescent="0.25">
      <c r="A890" s="17">
        <v>886</v>
      </c>
      <c r="B890" s="6" t="s">
        <v>923</v>
      </c>
      <c r="C890" s="6" t="s">
        <v>33</v>
      </c>
      <c r="D890" s="6" t="s">
        <v>34</v>
      </c>
      <c r="E890" s="6" t="s">
        <v>21</v>
      </c>
      <c r="F890" s="6" t="s">
        <v>27</v>
      </c>
      <c r="G890" s="7">
        <v>46221</v>
      </c>
      <c r="H890" s="6">
        <v>5</v>
      </c>
      <c r="I890" s="7">
        <v>46223</v>
      </c>
      <c r="J890" s="7">
        <f t="shared" si="40"/>
        <v>46226</v>
      </c>
      <c r="K890" s="8">
        <v>60</v>
      </c>
      <c r="L890" s="9">
        <f t="shared" si="39"/>
        <v>0</v>
      </c>
      <c r="M890" s="9" t="str" cm="1">
        <f t="array" ref="M890">_xlfn.IFS(L890&gt;=10,"HIGH",L890=0,"LOW",L890&lt;=9,"MEDIUM")</f>
        <v>LOW</v>
      </c>
      <c r="N890" s="9" t="str" cm="1">
        <f t="array" ref="N890">_xlfn.IFS(M890="HIGH",K890*L890,M890="MEDIUM",K890*L890,M890="LOW","NA")</f>
        <v>NA</v>
      </c>
      <c r="O890" s="18" t="str">
        <f t="shared" si="41"/>
        <v>cleared</v>
      </c>
    </row>
    <row r="891" spans="1:15" x14ac:dyDescent="0.25">
      <c r="A891" s="17">
        <v>887</v>
      </c>
      <c r="B891" s="6" t="s">
        <v>924</v>
      </c>
      <c r="C891" s="6" t="s">
        <v>16</v>
      </c>
      <c r="D891" s="6" t="s">
        <v>26</v>
      </c>
      <c r="E891" s="6" t="s">
        <v>44</v>
      </c>
      <c r="F891" s="6" t="s">
        <v>14</v>
      </c>
      <c r="G891" s="7">
        <v>46237</v>
      </c>
      <c r="H891" s="6">
        <v>7</v>
      </c>
      <c r="I891" s="6"/>
      <c r="J891" s="7">
        <f t="shared" si="40"/>
        <v>46244</v>
      </c>
      <c r="K891" s="8">
        <v>130</v>
      </c>
      <c r="L891" s="9">
        <f t="shared" si="39"/>
        <v>15</v>
      </c>
      <c r="M891" s="9" t="str" cm="1">
        <f t="array" ref="M891">_xlfn.IFS(L891&gt;=10,"HIGH",L891=0,"LOW",L891&lt;=9,"MEDIUM")</f>
        <v>HIGH</v>
      </c>
      <c r="N891" s="9" cm="1">
        <f t="array" ref="N891">_xlfn.IFS(M891="HIGH",K891*L891,M891="MEDIUM",K891*L891,M891="LOW","NA")</f>
        <v>1950</v>
      </c>
      <c r="O891" s="18" t="str">
        <f t="shared" si="41"/>
        <v>still in yard</v>
      </c>
    </row>
    <row r="892" spans="1:15" x14ac:dyDescent="0.25">
      <c r="A892" s="17">
        <v>888</v>
      </c>
      <c r="B892" s="6" t="s">
        <v>925</v>
      </c>
      <c r="C892" s="6" t="s">
        <v>16</v>
      </c>
      <c r="D892" s="6" t="s">
        <v>26</v>
      </c>
      <c r="E892" s="6" t="s">
        <v>13</v>
      </c>
      <c r="F892" s="6" t="s">
        <v>27</v>
      </c>
      <c r="G892" s="7">
        <v>46228</v>
      </c>
      <c r="H892" s="6">
        <v>6</v>
      </c>
      <c r="I892" s="7">
        <v>46229</v>
      </c>
      <c r="J892" s="7">
        <f t="shared" si="40"/>
        <v>46234</v>
      </c>
      <c r="K892" s="8">
        <v>90</v>
      </c>
      <c r="L892" s="9">
        <f t="shared" si="39"/>
        <v>0</v>
      </c>
      <c r="M892" s="9" t="str" cm="1">
        <f t="array" ref="M892">_xlfn.IFS(L892&gt;=10,"HIGH",L892=0,"LOW",L892&lt;=9,"MEDIUM")</f>
        <v>LOW</v>
      </c>
      <c r="N892" s="9" t="str" cm="1">
        <f t="array" ref="N892">_xlfn.IFS(M892="HIGH",K892*L892,M892="MEDIUM",K892*L892,M892="LOW","NA")</f>
        <v>NA</v>
      </c>
      <c r="O892" s="18" t="str">
        <f t="shared" si="41"/>
        <v>cleared</v>
      </c>
    </row>
    <row r="893" spans="1:15" x14ac:dyDescent="0.25">
      <c r="A893" s="17">
        <v>889</v>
      </c>
      <c r="B893" s="6" t="s">
        <v>926</v>
      </c>
      <c r="C893" s="6" t="s">
        <v>33</v>
      </c>
      <c r="D893" s="6" t="s">
        <v>54</v>
      </c>
      <c r="E893" s="6" t="s">
        <v>46</v>
      </c>
      <c r="F893" s="6" t="s">
        <v>24</v>
      </c>
      <c r="G893" s="7">
        <v>46243</v>
      </c>
      <c r="H893" s="6">
        <v>6</v>
      </c>
      <c r="I893" s="7">
        <v>46244</v>
      </c>
      <c r="J893" s="7">
        <f t="shared" si="40"/>
        <v>46249</v>
      </c>
      <c r="K893" s="8">
        <v>90</v>
      </c>
      <c r="L893" s="9">
        <f t="shared" si="39"/>
        <v>0</v>
      </c>
      <c r="M893" s="9" t="str" cm="1">
        <f t="array" ref="M893">_xlfn.IFS(L893&gt;=10,"HIGH",L893=0,"LOW",L893&lt;=9,"MEDIUM")</f>
        <v>LOW</v>
      </c>
      <c r="N893" s="9" t="str" cm="1">
        <f t="array" ref="N893">_xlfn.IFS(M893="HIGH",K893*L893,M893="MEDIUM",K893*L893,M893="LOW","NA")</f>
        <v>NA</v>
      </c>
      <c r="O893" s="18" t="str">
        <f t="shared" si="41"/>
        <v>cleared</v>
      </c>
    </row>
    <row r="894" spans="1:15" x14ac:dyDescent="0.25">
      <c r="A894" s="17">
        <v>890</v>
      </c>
      <c r="B894" s="6" t="s">
        <v>927</v>
      </c>
      <c r="C894" s="6" t="s">
        <v>16</v>
      </c>
      <c r="D894" s="6" t="s">
        <v>20</v>
      </c>
      <c r="E894" s="6" t="s">
        <v>21</v>
      </c>
      <c r="F894" s="6" t="s">
        <v>24</v>
      </c>
      <c r="G894" s="7">
        <v>46222</v>
      </c>
      <c r="H894" s="6">
        <v>5</v>
      </c>
      <c r="I894" s="6"/>
      <c r="J894" s="7">
        <f t="shared" si="40"/>
        <v>46227</v>
      </c>
      <c r="K894" s="8">
        <v>60</v>
      </c>
      <c r="L894" s="9">
        <f t="shared" si="39"/>
        <v>32</v>
      </c>
      <c r="M894" s="9" t="str" cm="1">
        <f t="array" ref="M894">_xlfn.IFS(L894&gt;=10,"HIGH",L894=0,"LOW",L894&lt;=9,"MEDIUM")</f>
        <v>HIGH</v>
      </c>
      <c r="N894" s="9" cm="1">
        <f t="array" ref="N894">_xlfn.IFS(M894="HIGH",K894*L894,M894="MEDIUM",K894*L894,M894="LOW","NA")</f>
        <v>1920</v>
      </c>
      <c r="O894" s="18" t="str">
        <f t="shared" si="41"/>
        <v>still in yard</v>
      </c>
    </row>
    <row r="895" spans="1:15" x14ac:dyDescent="0.25">
      <c r="A895" s="17">
        <v>891</v>
      </c>
      <c r="B895" s="6" t="s">
        <v>928</v>
      </c>
      <c r="C895" s="6" t="s">
        <v>37</v>
      </c>
      <c r="D895" s="6" t="s">
        <v>54</v>
      </c>
      <c r="E895" s="6" t="s">
        <v>42</v>
      </c>
      <c r="F895" s="6" t="s">
        <v>29</v>
      </c>
      <c r="G895" s="7">
        <v>46214</v>
      </c>
      <c r="H895" s="6">
        <v>4</v>
      </c>
      <c r="I895" s="6"/>
      <c r="J895" s="7">
        <f t="shared" si="40"/>
        <v>46218</v>
      </c>
      <c r="K895" s="8">
        <v>150</v>
      </c>
      <c r="L895" s="9">
        <f t="shared" si="39"/>
        <v>41</v>
      </c>
      <c r="M895" s="9" t="str" cm="1">
        <f t="array" ref="M895">_xlfn.IFS(L895&gt;=10,"HIGH",L895=0,"LOW",L895&lt;=9,"MEDIUM")</f>
        <v>HIGH</v>
      </c>
      <c r="N895" s="9" cm="1">
        <f t="array" ref="N895">_xlfn.IFS(M895="HIGH",K895*L895,M895="MEDIUM",K895*L895,M895="LOW","NA")</f>
        <v>6150</v>
      </c>
      <c r="O895" s="18" t="str">
        <f t="shared" si="41"/>
        <v>still in yard</v>
      </c>
    </row>
    <row r="896" spans="1:15" x14ac:dyDescent="0.25">
      <c r="A896" s="17">
        <v>892</v>
      </c>
      <c r="B896" s="6" t="s">
        <v>929</v>
      </c>
      <c r="C896" s="6" t="s">
        <v>11</v>
      </c>
      <c r="D896" s="6" t="s">
        <v>31</v>
      </c>
      <c r="E896" s="6" t="s">
        <v>18</v>
      </c>
      <c r="F896" s="6" t="s">
        <v>27</v>
      </c>
      <c r="G896" s="7">
        <v>46178</v>
      </c>
      <c r="H896" s="6">
        <v>7</v>
      </c>
      <c r="I896" s="7">
        <v>46191</v>
      </c>
      <c r="J896" s="7">
        <f t="shared" si="40"/>
        <v>46185</v>
      </c>
      <c r="K896" s="8">
        <v>75</v>
      </c>
      <c r="L896" s="9">
        <f t="shared" si="39"/>
        <v>6</v>
      </c>
      <c r="M896" s="9" t="str" cm="1">
        <f t="array" ref="M896">_xlfn.IFS(L896&gt;=10,"HIGH",L896=0,"LOW",L896&lt;=9,"MEDIUM")</f>
        <v>MEDIUM</v>
      </c>
      <c r="N896" s="9" cm="1">
        <f t="array" ref="N896">_xlfn.IFS(M896="HIGH",K896*L896,M896="MEDIUM",K896*L896,M896="LOW","NA")</f>
        <v>450</v>
      </c>
      <c r="O896" s="18" t="str">
        <f t="shared" si="41"/>
        <v>cleared</v>
      </c>
    </row>
    <row r="897" spans="1:15" x14ac:dyDescent="0.25">
      <c r="A897" s="17">
        <v>893</v>
      </c>
      <c r="B897" s="6" t="s">
        <v>930</v>
      </c>
      <c r="C897" s="6" t="s">
        <v>16</v>
      </c>
      <c r="D897" s="6" t="s">
        <v>17</v>
      </c>
      <c r="E897" s="6" t="s">
        <v>23</v>
      </c>
      <c r="F897" s="6" t="s">
        <v>14</v>
      </c>
      <c r="G897" s="7">
        <v>46228</v>
      </c>
      <c r="H897" s="6">
        <v>5</v>
      </c>
      <c r="I897" s="7">
        <v>46229</v>
      </c>
      <c r="J897" s="7">
        <f t="shared" si="40"/>
        <v>46233</v>
      </c>
      <c r="K897" s="8">
        <v>110</v>
      </c>
      <c r="L897" s="9">
        <f t="shared" si="39"/>
        <v>0</v>
      </c>
      <c r="M897" s="9" t="str" cm="1">
        <f t="array" ref="M897">_xlfn.IFS(L897&gt;=10,"HIGH",L897=0,"LOW",L897&lt;=9,"MEDIUM")</f>
        <v>LOW</v>
      </c>
      <c r="N897" s="9" t="str" cm="1">
        <f t="array" ref="N897">_xlfn.IFS(M897="HIGH",K897*L897,M897="MEDIUM",K897*L897,M897="LOW","NA")</f>
        <v>NA</v>
      </c>
      <c r="O897" s="18" t="str">
        <f t="shared" si="41"/>
        <v>cleared</v>
      </c>
    </row>
    <row r="898" spans="1:15" x14ac:dyDescent="0.25">
      <c r="A898" s="17">
        <v>894</v>
      </c>
      <c r="B898" s="6" t="s">
        <v>931</v>
      </c>
      <c r="C898" s="6" t="s">
        <v>33</v>
      </c>
      <c r="D898" s="6" t="s">
        <v>12</v>
      </c>
      <c r="E898" s="6" t="s">
        <v>44</v>
      </c>
      <c r="F898" s="6" t="s">
        <v>24</v>
      </c>
      <c r="G898" s="7">
        <v>46247</v>
      </c>
      <c r="H898" s="6">
        <v>4</v>
      </c>
      <c r="I898" s="7">
        <v>46251</v>
      </c>
      <c r="J898" s="7">
        <f t="shared" si="40"/>
        <v>46251</v>
      </c>
      <c r="K898" s="8">
        <v>75</v>
      </c>
      <c r="L898" s="9">
        <f t="shared" si="39"/>
        <v>0</v>
      </c>
      <c r="M898" s="9" t="str" cm="1">
        <f t="array" ref="M898">_xlfn.IFS(L898&gt;=10,"HIGH",L898=0,"LOW",L898&lt;=9,"MEDIUM")</f>
        <v>LOW</v>
      </c>
      <c r="N898" s="9" t="str" cm="1">
        <f t="array" ref="N898">_xlfn.IFS(M898="HIGH",K898*L898,M898="MEDIUM",K898*L898,M898="LOW","NA")</f>
        <v>NA</v>
      </c>
      <c r="O898" s="18" t="str">
        <f t="shared" si="41"/>
        <v>cleared</v>
      </c>
    </row>
    <row r="899" spans="1:15" x14ac:dyDescent="0.25">
      <c r="A899" s="17">
        <v>895</v>
      </c>
      <c r="B899" s="6" t="s">
        <v>932</v>
      </c>
      <c r="C899" s="6" t="s">
        <v>16</v>
      </c>
      <c r="D899" s="6" t="s">
        <v>26</v>
      </c>
      <c r="E899" s="6" t="s">
        <v>44</v>
      </c>
      <c r="F899" s="6" t="s">
        <v>27</v>
      </c>
      <c r="G899" s="7">
        <v>46242</v>
      </c>
      <c r="H899" s="6">
        <v>5</v>
      </c>
      <c r="I899" s="6"/>
      <c r="J899" s="7">
        <f t="shared" si="40"/>
        <v>46247</v>
      </c>
      <c r="K899" s="8">
        <v>60</v>
      </c>
      <c r="L899" s="9">
        <f t="shared" si="39"/>
        <v>12</v>
      </c>
      <c r="M899" s="9" t="str" cm="1">
        <f t="array" ref="M899">_xlfn.IFS(L899&gt;=10,"HIGH",L899=0,"LOW",L899&lt;=9,"MEDIUM")</f>
        <v>HIGH</v>
      </c>
      <c r="N899" s="9" cm="1">
        <f t="array" ref="N899">_xlfn.IFS(M899="HIGH",K899*L899,M899="MEDIUM",K899*L899,M899="LOW","NA")</f>
        <v>720</v>
      </c>
      <c r="O899" s="18" t="str">
        <f t="shared" si="41"/>
        <v>still in yard</v>
      </c>
    </row>
    <row r="900" spans="1:15" x14ac:dyDescent="0.25">
      <c r="A900" s="17">
        <v>896</v>
      </c>
      <c r="B900" s="6" t="s">
        <v>933</v>
      </c>
      <c r="C900" s="6" t="s">
        <v>37</v>
      </c>
      <c r="D900" s="6" t="s">
        <v>49</v>
      </c>
      <c r="E900" s="6" t="s">
        <v>23</v>
      </c>
      <c r="F900" s="6" t="s">
        <v>24</v>
      </c>
      <c r="G900" s="7">
        <v>46218</v>
      </c>
      <c r="H900" s="6">
        <v>5</v>
      </c>
      <c r="I900" s="6"/>
      <c r="J900" s="7">
        <f t="shared" si="40"/>
        <v>46223</v>
      </c>
      <c r="K900" s="8">
        <v>75</v>
      </c>
      <c r="L900" s="9">
        <f t="shared" si="39"/>
        <v>36</v>
      </c>
      <c r="M900" s="9" t="str" cm="1">
        <f t="array" ref="M900">_xlfn.IFS(L900&gt;=10,"HIGH",L900=0,"LOW",L900&lt;=9,"MEDIUM")</f>
        <v>HIGH</v>
      </c>
      <c r="N900" s="9" cm="1">
        <f t="array" ref="N900">_xlfn.IFS(M900="HIGH",K900*L900,M900="MEDIUM",K900*L900,M900="LOW","NA")</f>
        <v>2700</v>
      </c>
      <c r="O900" s="18" t="str">
        <f t="shared" si="41"/>
        <v>still in yard</v>
      </c>
    </row>
    <row r="901" spans="1:15" x14ac:dyDescent="0.25">
      <c r="A901" s="17">
        <v>897</v>
      </c>
      <c r="B901" s="6" t="s">
        <v>934</v>
      </c>
      <c r="C901" s="6" t="s">
        <v>33</v>
      </c>
      <c r="D901" s="6" t="s">
        <v>49</v>
      </c>
      <c r="E901" s="6" t="s">
        <v>23</v>
      </c>
      <c r="F901" s="6" t="s">
        <v>27</v>
      </c>
      <c r="G901" s="7">
        <v>46220</v>
      </c>
      <c r="H901" s="6">
        <v>6</v>
      </c>
      <c r="I901" s="6"/>
      <c r="J901" s="7">
        <f t="shared" si="40"/>
        <v>46226</v>
      </c>
      <c r="K901" s="8">
        <v>90</v>
      </c>
      <c r="L901" s="9">
        <f t="shared" ref="L901:L964" si="42">MAX(0, IF(I901="", $C$2-J901, I901-J901))</f>
        <v>33</v>
      </c>
      <c r="M901" s="9" t="str" cm="1">
        <f t="array" ref="M901">_xlfn.IFS(L901&gt;=10,"HIGH",L901=0,"LOW",L901&lt;=9,"MEDIUM")</f>
        <v>HIGH</v>
      </c>
      <c r="N901" s="9" cm="1">
        <f t="array" ref="N901">_xlfn.IFS(M901="HIGH",K901*L901,M901="MEDIUM",K901*L901,M901="LOW","NA")</f>
        <v>2970</v>
      </c>
      <c r="O901" s="18" t="str">
        <f t="shared" si="41"/>
        <v>still in yard</v>
      </c>
    </row>
    <row r="902" spans="1:15" x14ac:dyDescent="0.25">
      <c r="A902" s="17">
        <v>898</v>
      </c>
      <c r="B902" s="6" t="s">
        <v>935</v>
      </c>
      <c r="C902" s="6" t="s">
        <v>37</v>
      </c>
      <c r="D902" s="6" t="s">
        <v>49</v>
      </c>
      <c r="E902" s="6" t="s">
        <v>39</v>
      </c>
      <c r="F902" s="6" t="s">
        <v>14</v>
      </c>
      <c r="G902" s="7">
        <v>46191</v>
      </c>
      <c r="H902" s="6">
        <v>5</v>
      </c>
      <c r="I902" s="7">
        <v>46192</v>
      </c>
      <c r="J902" s="7">
        <f t="shared" ref="J902:J965" si="43">G902+H902</f>
        <v>46196</v>
      </c>
      <c r="K902" s="8">
        <v>60</v>
      </c>
      <c r="L902" s="9">
        <f t="shared" si="42"/>
        <v>0</v>
      </c>
      <c r="M902" s="9" t="str" cm="1">
        <f t="array" ref="M902">_xlfn.IFS(L902&gt;=10,"HIGH",L902=0,"LOW",L902&lt;=9,"MEDIUM")</f>
        <v>LOW</v>
      </c>
      <c r="N902" s="9" t="str" cm="1">
        <f t="array" ref="N902">_xlfn.IFS(M902="HIGH",K902*L902,M902="MEDIUM",K902*L902,M902="LOW","NA")</f>
        <v>NA</v>
      </c>
      <c r="O902" s="18" t="str">
        <f t="shared" ref="O902:O965" si="44">IF(I902="","still in yard","cleared")</f>
        <v>cleared</v>
      </c>
    </row>
    <row r="903" spans="1:15" x14ac:dyDescent="0.25">
      <c r="A903" s="17">
        <v>899</v>
      </c>
      <c r="B903" s="6" t="s">
        <v>936</v>
      </c>
      <c r="C903" s="6" t="s">
        <v>16</v>
      </c>
      <c r="D903" s="6" t="s">
        <v>26</v>
      </c>
      <c r="E903" s="6" t="s">
        <v>46</v>
      </c>
      <c r="F903" s="6" t="s">
        <v>14</v>
      </c>
      <c r="G903" s="7">
        <v>46239</v>
      </c>
      <c r="H903" s="6">
        <v>5</v>
      </c>
      <c r="I903" s="7">
        <v>46245</v>
      </c>
      <c r="J903" s="7">
        <f t="shared" si="43"/>
        <v>46244</v>
      </c>
      <c r="K903" s="8">
        <v>110</v>
      </c>
      <c r="L903" s="9">
        <f t="shared" si="42"/>
        <v>1</v>
      </c>
      <c r="M903" s="9" t="str" cm="1">
        <f t="array" ref="M903">_xlfn.IFS(L903&gt;=10,"HIGH",L903=0,"LOW",L903&lt;=9,"MEDIUM")</f>
        <v>MEDIUM</v>
      </c>
      <c r="N903" s="9" cm="1">
        <f t="array" ref="N903">_xlfn.IFS(M903="HIGH",K903*L903,M903="MEDIUM",K903*L903,M903="LOW","NA")</f>
        <v>110</v>
      </c>
      <c r="O903" s="18" t="str">
        <f t="shared" si="44"/>
        <v>cleared</v>
      </c>
    </row>
    <row r="904" spans="1:15" x14ac:dyDescent="0.25">
      <c r="A904" s="17">
        <v>900</v>
      </c>
      <c r="B904" s="6" t="s">
        <v>937</v>
      </c>
      <c r="C904" s="6" t="s">
        <v>16</v>
      </c>
      <c r="D904" s="6" t="s">
        <v>17</v>
      </c>
      <c r="E904" s="6" t="s">
        <v>42</v>
      </c>
      <c r="F904" s="6" t="s">
        <v>14</v>
      </c>
      <c r="G904" s="7">
        <v>46235</v>
      </c>
      <c r="H904" s="6">
        <v>6</v>
      </c>
      <c r="I904" s="7">
        <v>46243</v>
      </c>
      <c r="J904" s="7">
        <f t="shared" si="43"/>
        <v>46241</v>
      </c>
      <c r="K904" s="8">
        <v>75</v>
      </c>
      <c r="L904" s="9">
        <f t="shared" si="42"/>
        <v>2</v>
      </c>
      <c r="M904" s="9" t="str" cm="1">
        <f t="array" ref="M904">_xlfn.IFS(L904&gt;=10,"HIGH",L904=0,"LOW",L904&lt;=9,"MEDIUM")</f>
        <v>MEDIUM</v>
      </c>
      <c r="N904" s="9" cm="1">
        <f t="array" ref="N904">_xlfn.IFS(M904="HIGH",K904*L904,M904="MEDIUM",K904*L904,M904="LOW","NA")</f>
        <v>150</v>
      </c>
      <c r="O904" s="18" t="str">
        <f t="shared" si="44"/>
        <v>cleared</v>
      </c>
    </row>
    <row r="905" spans="1:15" x14ac:dyDescent="0.25">
      <c r="A905" s="17">
        <v>901</v>
      </c>
      <c r="B905" s="6" t="s">
        <v>938</v>
      </c>
      <c r="C905" s="6" t="s">
        <v>11</v>
      </c>
      <c r="D905" s="6" t="s">
        <v>56</v>
      </c>
      <c r="E905" s="6" t="s">
        <v>39</v>
      </c>
      <c r="F905" s="6" t="s">
        <v>24</v>
      </c>
      <c r="G905" s="7">
        <v>46215</v>
      </c>
      <c r="H905" s="6">
        <v>5</v>
      </c>
      <c r="I905" s="7">
        <v>46217</v>
      </c>
      <c r="J905" s="7">
        <f t="shared" si="43"/>
        <v>46220</v>
      </c>
      <c r="K905" s="8">
        <v>110</v>
      </c>
      <c r="L905" s="9">
        <f t="shared" si="42"/>
        <v>0</v>
      </c>
      <c r="M905" s="9" t="str" cm="1">
        <f t="array" ref="M905">_xlfn.IFS(L905&gt;=10,"HIGH",L905=0,"LOW",L905&lt;=9,"MEDIUM")</f>
        <v>LOW</v>
      </c>
      <c r="N905" s="9" t="str" cm="1">
        <f t="array" ref="N905">_xlfn.IFS(M905="HIGH",K905*L905,M905="MEDIUM",K905*L905,M905="LOW","NA")</f>
        <v>NA</v>
      </c>
      <c r="O905" s="18" t="str">
        <f t="shared" si="44"/>
        <v>cleared</v>
      </c>
    </row>
    <row r="906" spans="1:15" x14ac:dyDescent="0.25">
      <c r="A906" s="17">
        <v>902</v>
      </c>
      <c r="B906" s="6" t="s">
        <v>939</v>
      </c>
      <c r="C906" s="6" t="s">
        <v>33</v>
      </c>
      <c r="D906" s="6" t="s">
        <v>54</v>
      </c>
      <c r="E906" s="6" t="s">
        <v>39</v>
      </c>
      <c r="F906" s="6" t="s">
        <v>24</v>
      </c>
      <c r="G906" s="7">
        <v>46217</v>
      </c>
      <c r="H906" s="6">
        <v>7</v>
      </c>
      <c r="I906" s="6"/>
      <c r="J906" s="7">
        <f t="shared" si="43"/>
        <v>46224</v>
      </c>
      <c r="K906" s="8">
        <v>90</v>
      </c>
      <c r="L906" s="9">
        <f t="shared" si="42"/>
        <v>35</v>
      </c>
      <c r="M906" s="9" t="str" cm="1">
        <f t="array" ref="M906">_xlfn.IFS(L906&gt;=10,"HIGH",L906=0,"LOW",L906&lt;=9,"MEDIUM")</f>
        <v>HIGH</v>
      </c>
      <c r="N906" s="9" cm="1">
        <f t="array" ref="N906">_xlfn.IFS(M906="HIGH",K906*L906,M906="MEDIUM",K906*L906,M906="LOW","NA")</f>
        <v>3150</v>
      </c>
      <c r="O906" s="18" t="str">
        <f t="shared" si="44"/>
        <v>still in yard</v>
      </c>
    </row>
    <row r="907" spans="1:15" x14ac:dyDescent="0.25">
      <c r="A907" s="17">
        <v>903</v>
      </c>
      <c r="B907" s="6" t="s">
        <v>940</v>
      </c>
      <c r="C907" s="6" t="s">
        <v>16</v>
      </c>
      <c r="D907" s="6" t="s">
        <v>34</v>
      </c>
      <c r="E907" s="6" t="s">
        <v>61</v>
      </c>
      <c r="F907" s="6" t="s">
        <v>29</v>
      </c>
      <c r="G907" s="7">
        <v>46171</v>
      </c>
      <c r="H907" s="6">
        <v>4</v>
      </c>
      <c r="I907" s="7">
        <v>46172</v>
      </c>
      <c r="J907" s="7">
        <f t="shared" si="43"/>
        <v>46175</v>
      </c>
      <c r="K907" s="8">
        <v>150</v>
      </c>
      <c r="L907" s="9">
        <f t="shared" si="42"/>
        <v>0</v>
      </c>
      <c r="M907" s="9" t="str" cm="1">
        <f t="array" ref="M907">_xlfn.IFS(L907&gt;=10,"HIGH",L907=0,"LOW",L907&lt;=9,"MEDIUM")</f>
        <v>LOW</v>
      </c>
      <c r="N907" s="9" t="str" cm="1">
        <f t="array" ref="N907">_xlfn.IFS(M907="HIGH",K907*L907,M907="MEDIUM",K907*L907,M907="LOW","NA")</f>
        <v>NA</v>
      </c>
      <c r="O907" s="18" t="str">
        <f t="shared" si="44"/>
        <v>cleared</v>
      </c>
    </row>
    <row r="908" spans="1:15" x14ac:dyDescent="0.25">
      <c r="A908" s="17">
        <v>904</v>
      </c>
      <c r="B908" s="6" t="s">
        <v>941</v>
      </c>
      <c r="C908" s="6" t="s">
        <v>37</v>
      </c>
      <c r="D908" s="6" t="s">
        <v>56</v>
      </c>
      <c r="E908" s="6" t="s">
        <v>46</v>
      </c>
      <c r="F908" s="6" t="s">
        <v>14</v>
      </c>
      <c r="G908" s="7">
        <v>46170</v>
      </c>
      <c r="H908" s="6">
        <v>5</v>
      </c>
      <c r="I908" s="7">
        <v>46173</v>
      </c>
      <c r="J908" s="7">
        <f t="shared" si="43"/>
        <v>46175</v>
      </c>
      <c r="K908" s="8">
        <v>110</v>
      </c>
      <c r="L908" s="9">
        <f t="shared" si="42"/>
        <v>0</v>
      </c>
      <c r="M908" s="9" t="str" cm="1">
        <f t="array" ref="M908">_xlfn.IFS(L908&gt;=10,"HIGH",L908=0,"LOW",L908&lt;=9,"MEDIUM")</f>
        <v>LOW</v>
      </c>
      <c r="N908" s="9" t="str" cm="1">
        <f t="array" ref="N908">_xlfn.IFS(M908="HIGH",K908*L908,M908="MEDIUM",K908*L908,M908="LOW","NA")</f>
        <v>NA</v>
      </c>
      <c r="O908" s="18" t="str">
        <f t="shared" si="44"/>
        <v>cleared</v>
      </c>
    </row>
    <row r="909" spans="1:15" x14ac:dyDescent="0.25">
      <c r="A909" s="17">
        <v>905</v>
      </c>
      <c r="B909" s="6" t="s">
        <v>942</v>
      </c>
      <c r="C909" s="6" t="s">
        <v>16</v>
      </c>
      <c r="D909" s="6" t="s">
        <v>54</v>
      </c>
      <c r="E909" s="6" t="s">
        <v>61</v>
      </c>
      <c r="F909" s="6" t="s">
        <v>24</v>
      </c>
      <c r="G909" s="7">
        <v>46188</v>
      </c>
      <c r="H909" s="6">
        <v>7</v>
      </c>
      <c r="I909" s="6"/>
      <c r="J909" s="7">
        <f t="shared" si="43"/>
        <v>46195</v>
      </c>
      <c r="K909" s="8">
        <v>130</v>
      </c>
      <c r="L909" s="9">
        <f t="shared" si="42"/>
        <v>64</v>
      </c>
      <c r="M909" s="9" t="str" cm="1">
        <f t="array" ref="M909">_xlfn.IFS(L909&gt;=10,"HIGH",L909=0,"LOW",L909&lt;=9,"MEDIUM")</f>
        <v>HIGH</v>
      </c>
      <c r="N909" s="9" cm="1">
        <f t="array" ref="N909">_xlfn.IFS(M909="HIGH",K909*L909,M909="MEDIUM",K909*L909,M909="LOW","NA")</f>
        <v>8320</v>
      </c>
      <c r="O909" s="18" t="str">
        <f t="shared" si="44"/>
        <v>still in yard</v>
      </c>
    </row>
    <row r="910" spans="1:15" x14ac:dyDescent="0.25">
      <c r="A910" s="17">
        <v>906</v>
      </c>
      <c r="B910" s="6" t="s">
        <v>943</v>
      </c>
      <c r="C910" s="6" t="s">
        <v>16</v>
      </c>
      <c r="D910" s="6" t="s">
        <v>12</v>
      </c>
      <c r="E910" s="6" t="s">
        <v>18</v>
      </c>
      <c r="F910" s="6" t="s">
        <v>14</v>
      </c>
      <c r="G910" s="7">
        <v>46171</v>
      </c>
      <c r="H910" s="6">
        <v>5</v>
      </c>
      <c r="I910" s="7">
        <v>46172</v>
      </c>
      <c r="J910" s="7">
        <f t="shared" si="43"/>
        <v>46176</v>
      </c>
      <c r="K910" s="8">
        <v>60</v>
      </c>
      <c r="L910" s="9">
        <f t="shared" si="42"/>
        <v>0</v>
      </c>
      <c r="M910" s="9" t="str" cm="1">
        <f t="array" ref="M910">_xlfn.IFS(L910&gt;=10,"HIGH",L910=0,"LOW",L910&lt;=9,"MEDIUM")</f>
        <v>LOW</v>
      </c>
      <c r="N910" s="9" t="str" cm="1">
        <f t="array" ref="N910">_xlfn.IFS(M910="HIGH",K910*L910,M910="MEDIUM",K910*L910,M910="LOW","NA")</f>
        <v>NA</v>
      </c>
      <c r="O910" s="18" t="str">
        <f t="shared" si="44"/>
        <v>cleared</v>
      </c>
    </row>
    <row r="911" spans="1:15" x14ac:dyDescent="0.25">
      <c r="A911" s="17">
        <v>907</v>
      </c>
      <c r="B911" s="6" t="s">
        <v>944</v>
      </c>
      <c r="C911" s="6" t="s">
        <v>37</v>
      </c>
      <c r="D911" s="6" t="s">
        <v>54</v>
      </c>
      <c r="E911" s="6" t="s">
        <v>18</v>
      </c>
      <c r="F911" s="6" t="s">
        <v>14</v>
      </c>
      <c r="G911" s="7">
        <v>46228</v>
      </c>
      <c r="H911" s="6">
        <v>5</v>
      </c>
      <c r="I911" s="7">
        <v>46234</v>
      </c>
      <c r="J911" s="7">
        <f t="shared" si="43"/>
        <v>46233</v>
      </c>
      <c r="K911" s="8">
        <v>75</v>
      </c>
      <c r="L911" s="9">
        <f t="shared" si="42"/>
        <v>1</v>
      </c>
      <c r="M911" s="9" t="str" cm="1">
        <f t="array" ref="M911">_xlfn.IFS(L911&gt;=10,"HIGH",L911=0,"LOW",L911&lt;=9,"MEDIUM")</f>
        <v>MEDIUM</v>
      </c>
      <c r="N911" s="9" cm="1">
        <f t="array" ref="N911">_xlfn.IFS(M911="HIGH",K911*L911,M911="MEDIUM",K911*L911,M911="LOW","NA")</f>
        <v>75</v>
      </c>
      <c r="O911" s="18" t="str">
        <f t="shared" si="44"/>
        <v>cleared</v>
      </c>
    </row>
    <row r="912" spans="1:15" x14ac:dyDescent="0.25">
      <c r="A912" s="17">
        <v>908</v>
      </c>
      <c r="B912" s="6" t="s">
        <v>945</v>
      </c>
      <c r="C912" s="6" t="s">
        <v>37</v>
      </c>
      <c r="D912" s="6" t="s">
        <v>17</v>
      </c>
      <c r="E912" s="6" t="s">
        <v>21</v>
      </c>
      <c r="F912" s="6" t="s">
        <v>29</v>
      </c>
      <c r="G912" s="7">
        <v>46197</v>
      </c>
      <c r="H912" s="6">
        <v>4</v>
      </c>
      <c r="I912" s="6"/>
      <c r="J912" s="7">
        <f t="shared" si="43"/>
        <v>46201</v>
      </c>
      <c r="K912" s="8">
        <v>120</v>
      </c>
      <c r="L912" s="9">
        <f t="shared" si="42"/>
        <v>58</v>
      </c>
      <c r="M912" s="9" t="str" cm="1">
        <f t="array" ref="M912">_xlfn.IFS(L912&gt;=10,"HIGH",L912=0,"LOW",L912&lt;=9,"MEDIUM")</f>
        <v>HIGH</v>
      </c>
      <c r="N912" s="9" cm="1">
        <f t="array" ref="N912">_xlfn.IFS(M912="HIGH",K912*L912,M912="MEDIUM",K912*L912,M912="LOW","NA")</f>
        <v>6960</v>
      </c>
      <c r="O912" s="18" t="str">
        <f t="shared" si="44"/>
        <v>still in yard</v>
      </c>
    </row>
    <row r="913" spans="1:15" x14ac:dyDescent="0.25">
      <c r="A913" s="17">
        <v>909</v>
      </c>
      <c r="B913" s="6" t="s">
        <v>946</v>
      </c>
      <c r="C913" s="6" t="s">
        <v>11</v>
      </c>
      <c r="D913" s="6" t="s">
        <v>31</v>
      </c>
      <c r="E913" s="6" t="s">
        <v>61</v>
      </c>
      <c r="F913" s="6" t="s">
        <v>29</v>
      </c>
      <c r="G913" s="7">
        <v>46254</v>
      </c>
      <c r="H913" s="6">
        <v>4</v>
      </c>
      <c r="I913" s="7">
        <v>46259</v>
      </c>
      <c r="J913" s="7">
        <f t="shared" si="43"/>
        <v>46258</v>
      </c>
      <c r="K913" s="8">
        <v>120</v>
      </c>
      <c r="L913" s="9">
        <f t="shared" si="42"/>
        <v>1</v>
      </c>
      <c r="M913" s="9" t="str" cm="1">
        <f t="array" ref="M913">_xlfn.IFS(L913&gt;=10,"HIGH",L913=0,"LOW",L913&lt;=9,"MEDIUM")</f>
        <v>MEDIUM</v>
      </c>
      <c r="N913" s="9" cm="1">
        <f t="array" ref="N913">_xlfn.IFS(M913="HIGH",K913*L913,M913="MEDIUM",K913*L913,M913="LOW","NA")</f>
        <v>120</v>
      </c>
      <c r="O913" s="18" t="str">
        <f t="shared" si="44"/>
        <v>cleared</v>
      </c>
    </row>
    <row r="914" spans="1:15" x14ac:dyDescent="0.25">
      <c r="A914" s="17">
        <v>910</v>
      </c>
      <c r="B914" s="6" t="s">
        <v>947</v>
      </c>
      <c r="C914" s="6" t="s">
        <v>11</v>
      </c>
      <c r="D914" s="6" t="s">
        <v>54</v>
      </c>
      <c r="E914" s="6" t="s">
        <v>35</v>
      </c>
      <c r="F914" s="6" t="s">
        <v>27</v>
      </c>
      <c r="G914" s="7">
        <v>46257</v>
      </c>
      <c r="H914" s="6">
        <v>5</v>
      </c>
      <c r="I914" s="7">
        <v>46259</v>
      </c>
      <c r="J914" s="7">
        <f t="shared" si="43"/>
        <v>46262</v>
      </c>
      <c r="K914" s="8">
        <v>110</v>
      </c>
      <c r="L914" s="9">
        <f t="shared" si="42"/>
        <v>0</v>
      </c>
      <c r="M914" s="9" t="str" cm="1">
        <f t="array" ref="M914">_xlfn.IFS(L914&gt;=10,"HIGH",L914=0,"LOW",L914&lt;=9,"MEDIUM")</f>
        <v>LOW</v>
      </c>
      <c r="N914" s="9" t="str" cm="1">
        <f t="array" ref="N914">_xlfn.IFS(M914="HIGH",K914*L914,M914="MEDIUM",K914*L914,M914="LOW","NA")</f>
        <v>NA</v>
      </c>
      <c r="O914" s="18" t="str">
        <f t="shared" si="44"/>
        <v>cleared</v>
      </c>
    </row>
    <row r="915" spans="1:15" x14ac:dyDescent="0.25">
      <c r="A915" s="17">
        <v>911</v>
      </c>
      <c r="B915" s="6" t="s">
        <v>948</v>
      </c>
      <c r="C915" s="6" t="s">
        <v>11</v>
      </c>
      <c r="D915" s="6" t="s">
        <v>26</v>
      </c>
      <c r="E915" s="6" t="s">
        <v>44</v>
      </c>
      <c r="F915" s="6" t="s">
        <v>29</v>
      </c>
      <c r="G915" s="7">
        <v>46253</v>
      </c>
      <c r="H915" s="6">
        <v>3</v>
      </c>
      <c r="I915" s="7">
        <v>46259</v>
      </c>
      <c r="J915" s="7">
        <f t="shared" si="43"/>
        <v>46256</v>
      </c>
      <c r="K915" s="8">
        <v>120</v>
      </c>
      <c r="L915" s="9">
        <f t="shared" si="42"/>
        <v>3</v>
      </c>
      <c r="M915" s="9" t="str" cm="1">
        <f t="array" ref="M915">_xlfn.IFS(L915&gt;=10,"HIGH",L915=0,"LOW",L915&lt;=9,"MEDIUM")</f>
        <v>MEDIUM</v>
      </c>
      <c r="N915" s="9" cm="1">
        <f t="array" ref="N915">_xlfn.IFS(M915="HIGH",K915*L915,M915="MEDIUM",K915*L915,M915="LOW","NA")</f>
        <v>360</v>
      </c>
      <c r="O915" s="18" t="str">
        <f t="shared" si="44"/>
        <v>cleared</v>
      </c>
    </row>
    <row r="916" spans="1:15" x14ac:dyDescent="0.25">
      <c r="A916" s="17">
        <v>912</v>
      </c>
      <c r="B916" s="6" t="s">
        <v>949</v>
      </c>
      <c r="C916" s="6" t="s">
        <v>11</v>
      </c>
      <c r="D916" s="6" t="s">
        <v>41</v>
      </c>
      <c r="E916" s="6" t="s">
        <v>42</v>
      </c>
      <c r="F916" s="6" t="s">
        <v>29</v>
      </c>
      <c r="G916" s="7">
        <v>46190</v>
      </c>
      <c r="H916" s="6">
        <v>4</v>
      </c>
      <c r="I916" s="7">
        <v>46196</v>
      </c>
      <c r="J916" s="7">
        <f t="shared" si="43"/>
        <v>46194</v>
      </c>
      <c r="K916" s="8">
        <v>180</v>
      </c>
      <c r="L916" s="9">
        <f t="shared" si="42"/>
        <v>2</v>
      </c>
      <c r="M916" s="9" t="str" cm="1">
        <f t="array" ref="M916">_xlfn.IFS(L916&gt;=10,"HIGH",L916=0,"LOW",L916&lt;=9,"MEDIUM")</f>
        <v>MEDIUM</v>
      </c>
      <c r="N916" s="9" cm="1">
        <f t="array" ref="N916">_xlfn.IFS(M916="HIGH",K916*L916,M916="MEDIUM",K916*L916,M916="LOW","NA")</f>
        <v>360</v>
      </c>
      <c r="O916" s="18" t="str">
        <f t="shared" si="44"/>
        <v>cleared</v>
      </c>
    </row>
    <row r="917" spans="1:15" x14ac:dyDescent="0.25">
      <c r="A917" s="17">
        <v>913</v>
      </c>
      <c r="B917" s="6" t="s">
        <v>950</v>
      </c>
      <c r="C917" s="6" t="s">
        <v>11</v>
      </c>
      <c r="D917" s="6" t="s">
        <v>17</v>
      </c>
      <c r="E917" s="6" t="s">
        <v>21</v>
      </c>
      <c r="F917" s="6" t="s">
        <v>24</v>
      </c>
      <c r="G917" s="7">
        <v>46196</v>
      </c>
      <c r="H917" s="6">
        <v>5</v>
      </c>
      <c r="I917" s="7">
        <v>46202</v>
      </c>
      <c r="J917" s="7">
        <f t="shared" si="43"/>
        <v>46201</v>
      </c>
      <c r="K917" s="8">
        <v>90</v>
      </c>
      <c r="L917" s="9">
        <f t="shared" si="42"/>
        <v>1</v>
      </c>
      <c r="M917" s="9" t="str" cm="1">
        <f t="array" ref="M917">_xlfn.IFS(L917&gt;=10,"HIGH",L917=0,"LOW",L917&lt;=9,"MEDIUM")</f>
        <v>MEDIUM</v>
      </c>
      <c r="N917" s="9" cm="1">
        <f t="array" ref="N917">_xlfn.IFS(M917="HIGH",K917*L917,M917="MEDIUM",K917*L917,M917="LOW","NA")</f>
        <v>90</v>
      </c>
      <c r="O917" s="18" t="str">
        <f t="shared" si="44"/>
        <v>cleared</v>
      </c>
    </row>
    <row r="918" spans="1:15" x14ac:dyDescent="0.25">
      <c r="A918" s="17">
        <v>914</v>
      </c>
      <c r="B918" s="6" t="s">
        <v>951</v>
      </c>
      <c r="C918" s="6" t="s">
        <v>37</v>
      </c>
      <c r="D918" s="6" t="s">
        <v>17</v>
      </c>
      <c r="E918" s="6" t="s">
        <v>13</v>
      </c>
      <c r="F918" s="6" t="s">
        <v>27</v>
      </c>
      <c r="G918" s="7">
        <v>46228</v>
      </c>
      <c r="H918" s="6">
        <v>5</v>
      </c>
      <c r="I918" s="6"/>
      <c r="J918" s="7">
        <f t="shared" si="43"/>
        <v>46233</v>
      </c>
      <c r="K918" s="8">
        <v>90</v>
      </c>
      <c r="L918" s="9">
        <f t="shared" si="42"/>
        <v>26</v>
      </c>
      <c r="M918" s="9" t="str" cm="1">
        <f t="array" ref="M918">_xlfn.IFS(L918&gt;=10,"HIGH",L918=0,"LOW",L918&lt;=9,"MEDIUM")</f>
        <v>HIGH</v>
      </c>
      <c r="N918" s="9" cm="1">
        <f t="array" ref="N918">_xlfn.IFS(M918="HIGH",K918*L918,M918="MEDIUM",K918*L918,M918="LOW","NA")</f>
        <v>2340</v>
      </c>
      <c r="O918" s="18" t="str">
        <f t="shared" si="44"/>
        <v>still in yard</v>
      </c>
    </row>
    <row r="919" spans="1:15" x14ac:dyDescent="0.25">
      <c r="A919" s="17">
        <v>915</v>
      </c>
      <c r="B919" s="6" t="s">
        <v>952</v>
      </c>
      <c r="C919" s="6" t="s">
        <v>16</v>
      </c>
      <c r="D919" s="6" t="s">
        <v>49</v>
      </c>
      <c r="E919" s="6" t="s">
        <v>46</v>
      </c>
      <c r="F919" s="6" t="s">
        <v>24</v>
      </c>
      <c r="G919" s="7">
        <v>46251</v>
      </c>
      <c r="H919" s="6">
        <v>4</v>
      </c>
      <c r="I919" s="7">
        <v>46255</v>
      </c>
      <c r="J919" s="7">
        <f t="shared" si="43"/>
        <v>46255</v>
      </c>
      <c r="K919" s="8">
        <v>90</v>
      </c>
      <c r="L919" s="9">
        <f t="shared" si="42"/>
        <v>0</v>
      </c>
      <c r="M919" s="9" t="str" cm="1">
        <f t="array" ref="M919">_xlfn.IFS(L919&gt;=10,"HIGH",L919=0,"LOW",L919&lt;=9,"MEDIUM")</f>
        <v>LOW</v>
      </c>
      <c r="N919" s="9" t="str" cm="1">
        <f t="array" ref="N919">_xlfn.IFS(M919="HIGH",K919*L919,M919="MEDIUM",K919*L919,M919="LOW","NA")</f>
        <v>NA</v>
      </c>
      <c r="O919" s="18" t="str">
        <f t="shared" si="44"/>
        <v>cleared</v>
      </c>
    </row>
    <row r="920" spans="1:15" x14ac:dyDescent="0.25">
      <c r="A920" s="17">
        <v>916</v>
      </c>
      <c r="B920" s="6" t="s">
        <v>953</v>
      </c>
      <c r="C920" s="6" t="s">
        <v>33</v>
      </c>
      <c r="D920" s="6" t="s">
        <v>26</v>
      </c>
      <c r="E920" s="6" t="s">
        <v>46</v>
      </c>
      <c r="F920" s="6" t="s">
        <v>27</v>
      </c>
      <c r="G920" s="7">
        <v>46198</v>
      </c>
      <c r="H920" s="6">
        <v>6</v>
      </c>
      <c r="I920" s="7">
        <v>46203</v>
      </c>
      <c r="J920" s="7">
        <f t="shared" si="43"/>
        <v>46204</v>
      </c>
      <c r="K920" s="8">
        <v>110</v>
      </c>
      <c r="L920" s="9">
        <f t="shared" si="42"/>
        <v>0</v>
      </c>
      <c r="M920" s="9" t="str" cm="1">
        <f t="array" ref="M920">_xlfn.IFS(L920&gt;=10,"HIGH",L920=0,"LOW",L920&lt;=9,"MEDIUM")</f>
        <v>LOW</v>
      </c>
      <c r="N920" s="9" t="str" cm="1">
        <f t="array" ref="N920">_xlfn.IFS(M920="HIGH",K920*L920,M920="MEDIUM",K920*L920,M920="LOW","NA")</f>
        <v>NA</v>
      </c>
      <c r="O920" s="18" t="str">
        <f t="shared" si="44"/>
        <v>cleared</v>
      </c>
    </row>
    <row r="921" spans="1:15" x14ac:dyDescent="0.25">
      <c r="A921" s="17">
        <v>917</v>
      </c>
      <c r="B921" s="6" t="s">
        <v>954</v>
      </c>
      <c r="C921" s="6" t="s">
        <v>11</v>
      </c>
      <c r="D921" s="6" t="s">
        <v>12</v>
      </c>
      <c r="E921" s="6" t="s">
        <v>61</v>
      </c>
      <c r="F921" s="6" t="s">
        <v>14</v>
      </c>
      <c r="G921" s="7">
        <v>46196</v>
      </c>
      <c r="H921" s="6">
        <v>5</v>
      </c>
      <c r="I921" s="6"/>
      <c r="J921" s="7">
        <f t="shared" si="43"/>
        <v>46201</v>
      </c>
      <c r="K921" s="8">
        <v>90</v>
      </c>
      <c r="L921" s="9">
        <f t="shared" si="42"/>
        <v>58</v>
      </c>
      <c r="M921" s="9" t="str" cm="1">
        <f t="array" ref="M921">_xlfn.IFS(L921&gt;=10,"HIGH",L921=0,"LOW",L921&lt;=9,"MEDIUM")</f>
        <v>HIGH</v>
      </c>
      <c r="N921" s="9" cm="1">
        <f t="array" ref="N921">_xlfn.IFS(M921="HIGH",K921*L921,M921="MEDIUM",K921*L921,M921="LOW","NA")</f>
        <v>5220</v>
      </c>
      <c r="O921" s="18" t="str">
        <f t="shared" si="44"/>
        <v>still in yard</v>
      </c>
    </row>
    <row r="922" spans="1:15" x14ac:dyDescent="0.25">
      <c r="A922" s="17">
        <v>918</v>
      </c>
      <c r="B922" s="6" t="s">
        <v>955</v>
      </c>
      <c r="C922" s="6" t="s">
        <v>16</v>
      </c>
      <c r="D922" s="6" t="s">
        <v>34</v>
      </c>
      <c r="E922" s="6" t="s">
        <v>44</v>
      </c>
      <c r="F922" s="6" t="s">
        <v>24</v>
      </c>
      <c r="G922" s="7">
        <v>46214</v>
      </c>
      <c r="H922" s="6">
        <v>6</v>
      </c>
      <c r="I922" s="7">
        <v>46221</v>
      </c>
      <c r="J922" s="7">
        <f t="shared" si="43"/>
        <v>46220</v>
      </c>
      <c r="K922" s="8">
        <v>60</v>
      </c>
      <c r="L922" s="9">
        <f t="shared" si="42"/>
        <v>1</v>
      </c>
      <c r="M922" s="9" t="str" cm="1">
        <f t="array" ref="M922">_xlfn.IFS(L922&gt;=10,"HIGH",L922=0,"LOW",L922&lt;=9,"MEDIUM")</f>
        <v>MEDIUM</v>
      </c>
      <c r="N922" s="9" cm="1">
        <f t="array" ref="N922">_xlfn.IFS(M922="HIGH",K922*L922,M922="MEDIUM",K922*L922,M922="LOW","NA")</f>
        <v>60</v>
      </c>
      <c r="O922" s="18" t="str">
        <f t="shared" si="44"/>
        <v>cleared</v>
      </c>
    </row>
    <row r="923" spans="1:15" x14ac:dyDescent="0.25">
      <c r="A923" s="17">
        <v>919</v>
      </c>
      <c r="B923" s="6" t="s">
        <v>956</v>
      </c>
      <c r="C923" s="6" t="s">
        <v>11</v>
      </c>
      <c r="D923" s="6" t="s">
        <v>34</v>
      </c>
      <c r="E923" s="6" t="s">
        <v>39</v>
      </c>
      <c r="F923" s="6" t="s">
        <v>24</v>
      </c>
      <c r="G923" s="7">
        <v>46240</v>
      </c>
      <c r="H923" s="6">
        <v>5</v>
      </c>
      <c r="I923" s="7">
        <v>46252</v>
      </c>
      <c r="J923" s="7">
        <f t="shared" si="43"/>
        <v>46245</v>
      </c>
      <c r="K923" s="8">
        <v>60</v>
      </c>
      <c r="L923" s="9">
        <f t="shared" si="42"/>
        <v>7</v>
      </c>
      <c r="M923" s="9" t="str" cm="1">
        <f t="array" ref="M923">_xlfn.IFS(L923&gt;=10,"HIGH",L923=0,"LOW",L923&lt;=9,"MEDIUM")</f>
        <v>MEDIUM</v>
      </c>
      <c r="N923" s="9" cm="1">
        <f t="array" ref="N923">_xlfn.IFS(M923="HIGH",K923*L923,M923="MEDIUM",K923*L923,M923="LOW","NA")</f>
        <v>420</v>
      </c>
      <c r="O923" s="18" t="str">
        <f t="shared" si="44"/>
        <v>cleared</v>
      </c>
    </row>
    <row r="924" spans="1:15" x14ac:dyDescent="0.25">
      <c r="A924" s="17">
        <v>920</v>
      </c>
      <c r="B924" s="6" t="s">
        <v>957</v>
      </c>
      <c r="C924" s="6" t="s">
        <v>33</v>
      </c>
      <c r="D924" s="6" t="s">
        <v>17</v>
      </c>
      <c r="E924" s="6" t="s">
        <v>39</v>
      </c>
      <c r="F924" s="6" t="s">
        <v>27</v>
      </c>
      <c r="G924" s="7">
        <v>46194</v>
      </c>
      <c r="H924" s="6">
        <v>4</v>
      </c>
      <c r="I924" s="6"/>
      <c r="J924" s="7">
        <f t="shared" si="43"/>
        <v>46198</v>
      </c>
      <c r="K924" s="8">
        <v>75</v>
      </c>
      <c r="L924" s="9">
        <f t="shared" si="42"/>
        <v>61</v>
      </c>
      <c r="M924" s="9" t="str" cm="1">
        <f t="array" ref="M924">_xlfn.IFS(L924&gt;=10,"HIGH",L924=0,"LOW",L924&lt;=9,"MEDIUM")</f>
        <v>HIGH</v>
      </c>
      <c r="N924" s="9" cm="1">
        <f t="array" ref="N924">_xlfn.IFS(M924="HIGH",K924*L924,M924="MEDIUM",K924*L924,M924="LOW","NA")</f>
        <v>4575</v>
      </c>
      <c r="O924" s="18" t="str">
        <f t="shared" si="44"/>
        <v>still in yard</v>
      </c>
    </row>
    <row r="925" spans="1:15" x14ac:dyDescent="0.25">
      <c r="A925" s="17">
        <v>921</v>
      </c>
      <c r="B925" s="6" t="s">
        <v>958</v>
      </c>
      <c r="C925" s="6" t="s">
        <v>33</v>
      </c>
      <c r="D925" s="6" t="s">
        <v>17</v>
      </c>
      <c r="E925" s="6" t="s">
        <v>46</v>
      </c>
      <c r="F925" s="6" t="s">
        <v>24</v>
      </c>
      <c r="G925" s="7">
        <v>46226</v>
      </c>
      <c r="H925" s="6">
        <v>7</v>
      </c>
      <c r="I925" s="6"/>
      <c r="J925" s="7">
        <f t="shared" si="43"/>
        <v>46233</v>
      </c>
      <c r="K925" s="8">
        <v>130</v>
      </c>
      <c r="L925" s="9">
        <f t="shared" si="42"/>
        <v>26</v>
      </c>
      <c r="M925" s="9" t="str" cm="1">
        <f t="array" ref="M925">_xlfn.IFS(L925&gt;=10,"HIGH",L925=0,"LOW",L925&lt;=9,"MEDIUM")</f>
        <v>HIGH</v>
      </c>
      <c r="N925" s="9" cm="1">
        <f t="array" ref="N925">_xlfn.IFS(M925="HIGH",K925*L925,M925="MEDIUM",K925*L925,M925="LOW","NA")</f>
        <v>3380</v>
      </c>
      <c r="O925" s="18" t="str">
        <f t="shared" si="44"/>
        <v>still in yard</v>
      </c>
    </row>
    <row r="926" spans="1:15" x14ac:dyDescent="0.25">
      <c r="A926" s="17">
        <v>922</v>
      </c>
      <c r="B926" s="6" t="s">
        <v>959</v>
      </c>
      <c r="C926" s="6" t="s">
        <v>11</v>
      </c>
      <c r="D926" s="6" t="s">
        <v>17</v>
      </c>
      <c r="E926" s="6" t="s">
        <v>39</v>
      </c>
      <c r="F926" s="6" t="s">
        <v>14</v>
      </c>
      <c r="G926" s="7">
        <v>46185</v>
      </c>
      <c r="H926" s="6">
        <v>7</v>
      </c>
      <c r="I926" s="7">
        <v>46193</v>
      </c>
      <c r="J926" s="7">
        <f t="shared" si="43"/>
        <v>46192</v>
      </c>
      <c r="K926" s="8">
        <v>110</v>
      </c>
      <c r="L926" s="9">
        <f t="shared" si="42"/>
        <v>1</v>
      </c>
      <c r="M926" s="9" t="str" cm="1">
        <f t="array" ref="M926">_xlfn.IFS(L926&gt;=10,"HIGH",L926=0,"LOW",L926&lt;=9,"MEDIUM")</f>
        <v>MEDIUM</v>
      </c>
      <c r="N926" s="9" cm="1">
        <f t="array" ref="N926">_xlfn.IFS(M926="HIGH",K926*L926,M926="MEDIUM",K926*L926,M926="LOW","NA")</f>
        <v>110</v>
      </c>
      <c r="O926" s="18" t="str">
        <f t="shared" si="44"/>
        <v>cleared</v>
      </c>
    </row>
    <row r="927" spans="1:15" x14ac:dyDescent="0.25">
      <c r="A927" s="17">
        <v>923</v>
      </c>
      <c r="B927" s="6" t="s">
        <v>960</v>
      </c>
      <c r="C927" s="6" t="s">
        <v>11</v>
      </c>
      <c r="D927" s="6" t="s">
        <v>54</v>
      </c>
      <c r="E927" s="6" t="s">
        <v>39</v>
      </c>
      <c r="F927" s="6" t="s">
        <v>29</v>
      </c>
      <c r="G927" s="7">
        <v>46255</v>
      </c>
      <c r="H927" s="6">
        <v>4</v>
      </c>
      <c r="I927" s="6"/>
      <c r="J927" s="7">
        <f t="shared" si="43"/>
        <v>46259</v>
      </c>
      <c r="K927" s="8">
        <v>150</v>
      </c>
      <c r="L927" s="9">
        <f t="shared" si="42"/>
        <v>0</v>
      </c>
      <c r="M927" s="9" t="str" cm="1">
        <f t="array" ref="M927">_xlfn.IFS(L927&gt;=10,"HIGH",L927=0,"LOW",L927&lt;=9,"MEDIUM")</f>
        <v>LOW</v>
      </c>
      <c r="N927" s="9" t="str" cm="1">
        <f t="array" ref="N927">_xlfn.IFS(M927="HIGH",K927*L927,M927="MEDIUM",K927*L927,M927="LOW","NA")</f>
        <v>NA</v>
      </c>
      <c r="O927" s="18" t="str">
        <f t="shared" si="44"/>
        <v>still in yard</v>
      </c>
    </row>
    <row r="928" spans="1:15" x14ac:dyDescent="0.25">
      <c r="A928" s="17">
        <v>924</v>
      </c>
      <c r="B928" s="6" t="s">
        <v>961</v>
      </c>
      <c r="C928" s="6" t="s">
        <v>16</v>
      </c>
      <c r="D928" s="6" t="s">
        <v>26</v>
      </c>
      <c r="E928" s="6" t="s">
        <v>44</v>
      </c>
      <c r="F928" s="6" t="s">
        <v>27</v>
      </c>
      <c r="G928" s="7">
        <v>46188</v>
      </c>
      <c r="H928" s="6">
        <v>7</v>
      </c>
      <c r="I928" s="7">
        <v>46202</v>
      </c>
      <c r="J928" s="7">
        <f t="shared" si="43"/>
        <v>46195</v>
      </c>
      <c r="K928" s="8">
        <v>60</v>
      </c>
      <c r="L928" s="9">
        <f t="shared" si="42"/>
        <v>7</v>
      </c>
      <c r="M928" s="9" t="str" cm="1">
        <f t="array" ref="M928">_xlfn.IFS(L928&gt;=10,"HIGH",L928=0,"LOW",L928&lt;=9,"MEDIUM")</f>
        <v>MEDIUM</v>
      </c>
      <c r="N928" s="9" cm="1">
        <f t="array" ref="N928">_xlfn.IFS(M928="HIGH",K928*L928,M928="MEDIUM",K928*L928,M928="LOW","NA")</f>
        <v>420</v>
      </c>
      <c r="O928" s="18" t="str">
        <f t="shared" si="44"/>
        <v>cleared</v>
      </c>
    </row>
    <row r="929" spans="1:15" x14ac:dyDescent="0.25">
      <c r="A929" s="17">
        <v>925</v>
      </c>
      <c r="B929" s="6" t="s">
        <v>962</v>
      </c>
      <c r="C929" s="6" t="s">
        <v>11</v>
      </c>
      <c r="D929" s="6" t="s">
        <v>34</v>
      </c>
      <c r="E929" s="6" t="s">
        <v>42</v>
      </c>
      <c r="F929" s="6" t="s">
        <v>27</v>
      </c>
      <c r="G929" s="7">
        <v>46249</v>
      </c>
      <c r="H929" s="6">
        <v>6</v>
      </c>
      <c r="I929" s="7">
        <v>46259</v>
      </c>
      <c r="J929" s="7">
        <f t="shared" si="43"/>
        <v>46255</v>
      </c>
      <c r="K929" s="8">
        <v>75</v>
      </c>
      <c r="L929" s="9">
        <f t="shared" si="42"/>
        <v>4</v>
      </c>
      <c r="M929" s="9" t="str" cm="1">
        <f t="array" ref="M929">_xlfn.IFS(L929&gt;=10,"HIGH",L929=0,"LOW",L929&lt;=9,"MEDIUM")</f>
        <v>MEDIUM</v>
      </c>
      <c r="N929" s="9" cm="1">
        <f t="array" ref="N929">_xlfn.IFS(M929="HIGH",K929*L929,M929="MEDIUM",K929*L929,M929="LOW","NA")</f>
        <v>300</v>
      </c>
      <c r="O929" s="18" t="str">
        <f t="shared" si="44"/>
        <v>cleared</v>
      </c>
    </row>
    <row r="930" spans="1:15" x14ac:dyDescent="0.25">
      <c r="A930" s="17">
        <v>926</v>
      </c>
      <c r="B930" s="6" t="s">
        <v>963</v>
      </c>
      <c r="C930" s="6" t="s">
        <v>37</v>
      </c>
      <c r="D930" s="6" t="s">
        <v>17</v>
      </c>
      <c r="E930" s="6" t="s">
        <v>46</v>
      </c>
      <c r="F930" s="6" t="s">
        <v>24</v>
      </c>
      <c r="G930" s="7">
        <v>46198</v>
      </c>
      <c r="H930" s="6">
        <v>5</v>
      </c>
      <c r="I930" s="7">
        <v>46199</v>
      </c>
      <c r="J930" s="7">
        <f t="shared" si="43"/>
        <v>46203</v>
      </c>
      <c r="K930" s="8">
        <v>75</v>
      </c>
      <c r="L930" s="9">
        <f t="shared" si="42"/>
        <v>0</v>
      </c>
      <c r="M930" s="9" t="str" cm="1">
        <f t="array" ref="M930">_xlfn.IFS(L930&gt;=10,"HIGH",L930=0,"LOW",L930&lt;=9,"MEDIUM")</f>
        <v>LOW</v>
      </c>
      <c r="N930" s="9" t="str" cm="1">
        <f t="array" ref="N930">_xlfn.IFS(M930="HIGH",K930*L930,M930="MEDIUM",K930*L930,M930="LOW","NA")</f>
        <v>NA</v>
      </c>
      <c r="O930" s="18" t="str">
        <f t="shared" si="44"/>
        <v>cleared</v>
      </c>
    </row>
    <row r="931" spans="1:15" x14ac:dyDescent="0.25">
      <c r="A931" s="17">
        <v>927</v>
      </c>
      <c r="B931" s="6" t="s">
        <v>964</v>
      </c>
      <c r="C931" s="6" t="s">
        <v>16</v>
      </c>
      <c r="D931" s="6" t="s">
        <v>54</v>
      </c>
      <c r="E931" s="6" t="s">
        <v>61</v>
      </c>
      <c r="F931" s="6" t="s">
        <v>14</v>
      </c>
      <c r="G931" s="7">
        <v>46240</v>
      </c>
      <c r="H931" s="6">
        <v>6</v>
      </c>
      <c r="I931" s="7">
        <v>46243</v>
      </c>
      <c r="J931" s="7">
        <f t="shared" si="43"/>
        <v>46246</v>
      </c>
      <c r="K931" s="8">
        <v>110</v>
      </c>
      <c r="L931" s="9">
        <f t="shared" si="42"/>
        <v>0</v>
      </c>
      <c r="M931" s="9" t="str" cm="1">
        <f t="array" ref="M931">_xlfn.IFS(L931&gt;=10,"HIGH",L931=0,"LOW",L931&lt;=9,"MEDIUM")</f>
        <v>LOW</v>
      </c>
      <c r="N931" s="9" t="str" cm="1">
        <f t="array" ref="N931">_xlfn.IFS(M931="HIGH",K931*L931,M931="MEDIUM",K931*L931,M931="LOW","NA")</f>
        <v>NA</v>
      </c>
      <c r="O931" s="18" t="str">
        <f t="shared" si="44"/>
        <v>cleared</v>
      </c>
    </row>
    <row r="932" spans="1:15" x14ac:dyDescent="0.25">
      <c r="A932" s="17">
        <v>928</v>
      </c>
      <c r="B932" s="6" t="s">
        <v>965</v>
      </c>
      <c r="C932" s="6" t="s">
        <v>33</v>
      </c>
      <c r="D932" s="6" t="s">
        <v>26</v>
      </c>
      <c r="E932" s="6" t="s">
        <v>46</v>
      </c>
      <c r="F932" s="6" t="s">
        <v>29</v>
      </c>
      <c r="G932" s="7">
        <v>46234</v>
      </c>
      <c r="H932" s="6">
        <v>3</v>
      </c>
      <c r="I932" s="7">
        <v>46239</v>
      </c>
      <c r="J932" s="7">
        <f t="shared" si="43"/>
        <v>46237</v>
      </c>
      <c r="K932" s="8">
        <v>120</v>
      </c>
      <c r="L932" s="9">
        <f t="shared" si="42"/>
        <v>2</v>
      </c>
      <c r="M932" s="9" t="str" cm="1">
        <f t="array" ref="M932">_xlfn.IFS(L932&gt;=10,"HIGH",L932=0,"LOW",L932&lt;=9,"MEDIUM")</f>
        <v>MEDIUM</v>
      </c>
      <c r="N932" s="9" cm="1">
        <f t="array" ref="N932">_xlfn.IFS(M932="HIGH",K932*L932,M932="MEDIUM",K932*L932,M932="LOW","NA")</f>
        <v>240</v>
      </c>
      <c r="O932" s="18" t="str">
        <f t="shared" si="44"/>
        <v>cleared</v>
      </c>
    </row>
    <row r="933" spans="1:15" x14ac:dyDescent="0.25">
      <c r="A933" s="17">
        <v>929</v>
      </c>
      <c r="B933" s="6" t="s">
        <v>966</v>
      </c>
      <c r="C933" s="6" t="s">
        <v>11</v>
      </c>
      <c r="D933" s="6" t="s">
        <v>41</v>
      </c>
      <c r="E933" s="6" t="s">
        <v>21</v>
      </c>
      <c r="F933" s="6" t="s">
        <v>27</v>
      </c>
      <c r="G933" s="7">
        <v>46258</v>
      </c>
      <c r="H933" s="6">
        <v>4</v>
      </c>
      <c r="I933" s="7">
        <v>46259</v>
      </c>
      <c r="J933" s="7">
        <f t="shared" si="43"/>
        <v>46262</v>
      </c>
      <c r="K933" s="8">
        <v>90</v>
      </c>
      <c r="L933" s="9">
        <f t="shared" si="42"/>
        <v>0</v>
      </c>
      <c r="M933" s="9" t="str" cm="1">
        <f t="array" ref="M933">_xlfn.IFS(L933&gt;=10,"HIGH",L933=0,"LOW",L933&lt;=9,"MEDIUM")</f>
        <v>LOW</v>
      </c>
      <c r="N933" s="9" t="str" cm="1">
        <f t="array" ref="N933">_xlfn.IFS(M933="HIGH",K933*L933,M933="MEDIUM",K933*L933,M933="LOW","NA")</f>
        <v>NA</v>
      </c>
      <c r="O933" s="18" t="str">
        <f t="shared" si="44"/>
        <v>cleared</v>
      </c>
    </row>
    <row r="934" spans="1:15" x14ac:dyDescent="0.25">
      <c r="A934" s="17">
        <v>930</v>
      </c>
      <c r="B934" s="6" t="s">
        <v>967</v>
      </c>
      <c r="C934" s="6" t="s">
        <v>11</v>
      </c>
      <c r="D934" s="6" t="s">
        <v>54</v>
      </c>
      <c r="E934" s="6" t="s">
        <v>44</v>
      </c>
      <c r="F934" s="6" t="s">
        <v>29</v>
      </c>
      <c r="G934" s="7">
        <v>46225</v>
      </c>
      <c r="H934" s="6">
        <v>3</v>
      </c>
      <c r="I934" s="6"/>
      <c r="J934" s="7">
        <f t="shared" si="43"/>
        <v>46228</v>
      </c>
      <c r="K934" s="8">
        <v>120</v>
      </c>
      <c r="L934" s="9">
        <f t="shared" si="42"/>
        <v>31</v>
      </c>
      <c r="M934" s="9" t="str" cm="1">
        <f t="array" ref="M934">_xlfn.IFS(L934&gt;=10,"HIGH",L934=0,"LOW",L934&lt;=9,"MEDIUM")</f>
        <v>HIGH</v>
      </c>
      <c r="N934" s="9" cm="1">
        <f t="array" ref="N934">_xlfn.IFS(M934="HIGH",K934*L934,M934="MEDIUM",K934*L934,M934="LOW","NA")</f>
        <v>3720</v>
      </c>
      <c r="O934" s="18" t="str">
        <f t="shared" si="44"/>
        <v>still in yard</v>
      </c>
    </row>
    <row r="935" spans="1:15" x14ac:dyDescent="0.25">
      <c r="A935" s="17">
        <v>931</v>
      </c>
      <c r="B935" s="6" t="s">
        <v>968</v>
      </c>
      <c r="C935" s="6" t="s">
        <v>33</v>
      </c>
      <c r="D935" s="6" t="s">
        <v>20</v>
      </c>
      <c r="E935" s="6" t="s">
        <v>42</v>
      </c>
      <c r="F935" s="6" t="s">
        <v>27</v>
      </c>
      <c r="G935" s="7">
        <v>46245</v>
      </c>
      <c r="H935" s="6">
        <v>5</v>
      </c>
      <c r="I935" s="6"/>
      <c r="J935" s="7">
        <f t="shared" si="43"/>
        <v>46250</v>
      </c>
      <c r="K935" s="8">
        <v>110</v>
      </c>
      <c r="L935" s="9">
        <f t="shared" si="42"/>
        <v>9</v>
      </c>
      <c r="M935" s="9" t="str" cm="1">
        <f t="array" ref="M935">_xlfn.IFS(L935&gt;=10,"HIGH",L935=0,"LOW",L935&lt;=9,"MEDIUM")</f>
        <v>MEDIUM</v>
      </c>
      <c r="N935" s="9" cm="1">
        <f t="array" ref="N935">_xlfn.IFS(M935="HIGH",K935*L935,M935="MEDIUM",K935*L935,M935="LOW","NA")</f>
        <v>990</v>
      </c>
      <c r="O935" s="18" t="str">
        <f t="shared" si="44"/>
        <v>still in yard</v>
      </c>
    </row>
    <row r="936" spans="1:15" x14ac:dyDescent="0.25">
      <c r="A936" s="17">
        <v>932</v>
      </c>
      <c r="B936" s="6" t="s">
        <v>969</v>
      </c>
      <c r="C936" s="6" t="s">
        <v>16</v>
      </c>
      <c r="D936" s="6" t="s">
        <v>34</v>
      </c>
      <c r="E936" s="6" t="s">
        <v>13</v>
      </c>
      <c r="F936" s="6" t="s">
        <v>24</v>
      </c>
      <c r="G936" s="7">
        <v>46198</v>
      </c>
      <c r="H936" s="6">
        <v>5</v>
      </c>
      <c r="I936" s="7">
        <v>46200</v>
      </c>
      <c r="J936" s="7">
        <f t="shared" si="43"/>
        <v>46203</v>
      </c>
      <c r="K936" s="8">
        <v>110</v>
      </c>
      <c r="L936" s="9">
        <f t="shared" si="42"/>
        <v>0</v>
      </c>
      <c r="M936" s="9" t="str" cm="1">
        <f t="array" ref="M936">_xlfn.IFS(L936&gt;=10,"HIGH",L936=0,"LOW",L936&lt;=9,"MEDIUM")</f>
        <v>LOW</v>
      </c>
      <c r="N936" s="9" t="str" cm="1">
        <f t="array" ref="N936">_xlfn.IFS(M936="HIGH",K936*L936,M936="MEDIUM",K936*L936,M936="LOW","NA")</f>
        <v>NA</v>
      </c>
      <c r="O936" s="18" t="str">
        <f t="shared" si="44"/>
        <v>cleared</v>
      </c>
    </row>
    <row r="937" spans="1:15" x14ac:dyDescent="0.25">
      <c r="A937" s="17">
        <v>933</v>
      </c>
      <c r="B937" s="6" t="s">
        <v>970</v>
      </c>
      <c r="C937" s="6" t="s">
        <v>33</v>
      </c>
      <c r="D937" s="6" t="s">
        <v>12</v>
      </c>
      <c r="E937" s="6" t="s">
        <v>61</v>
      </c>
      <c r="F937" s="6" t="s">
        <v>14</v>
      </c>
      <c r="G937" s="7">
        <v>46172</v>
      </c>
      <c r="H937" s="6">
        <v>4</v>
      </c>
      <c r="I937" s="7">
        <v>46176</v>
      </c>
      <c r="J937" s="7">
        <f t="shared" si="43"/>
        <v>46176</v>
      </c>
      <c r="K937" s="8">
        <v>110</v>
      </c>
      <c r="L937" s="9">
        <f t="shared" si="42"/>
        <v>0</v>
      </c>
      <c r="M937" s="9" t="str" cm="1">
        <f t="array" ref="M937">_xlfn.IFS(L937&gt;=10,"HIGH",L937=0,"LOW",L937&lt;=9,"MEDIUM")</f>
        <v>LOW</v>
      </c>
      <c r="N937" s="9" t="str" cm="1">
        <f t="array" ref="N937">_xlfn.IFS(M937="HIGH",K937*L937,M937="MEDIUM",K937*L937,M937="LOW","NA")</f>
        <v>NA</v>
      </c>
      <c r="O937" s="18" t="str">
        <f t="shared" si="44"/>
        <v>cleared</v>
      </c>
    </row>
    <row r="938" spans="1:15" x14ac:dyDescent="0.25">
      <c r="A938" s="17">
        <v>934</v>
      </c>
      <c r="B938" s="6" t="s">
        <v>971</v>
      </c>
      <c r="C938" s="6" t="s">
        <v>16</v>
      </c>
      <c r="D938" s="6" t="s">
        <v>56</v>
      </c>
      <c r="E938" s="6" t="s">
        <v>18</v>
      </c>
      <c r="F938" s="6" t="s">
        <v>24</v>
      </c>
      <c r="G938" s="7">
        <v>46242</v>
      </c>
      <c r="H938" s="6">
        <v>4</v>
      </c>
      <c r="I938" s="7">
        <v>46246</v>
      </c>
      <c r="J938" s="7">
        <f t="shared" si="43"/>
        <v>46246</v>
      </c>
      <c r="K938" s="8">
        <v>110</v>
      </c>
      <c r="L938" s="9">
        <f t="shared" si="42"/>
        <v>0</v>
      </c>
      <c r="M938" s="9" t="str" cm="1">
        <f t="array" ref="M938">_xlfn.IFS(L938&gt;=10,"HIGH",L938=0,"LOW",L938&lt;=9,"MEDIUM")</f>
        <v>LOW</v>
      </c>
      <c r="N938" s="9" t="str" cm="1">
        <f t="array" ref="N938">_xlfn.IFS(M938="HIGH",K938*L938,M938="MEDIUM",K938*L938,M938="LOW","NA")</f>
        <v>NA</v>
      </c>
      <c r="O938" s="18" t="str">
        <f t="shared" si="44"/>
        <v>cleared</v>
      </c>
    </row>
    <row r="939" spans="1:15" x14ac:dyDescent="0.25">
      <c r="A939" s="17">
        <v>935</v>
      </c>
      <c r="B939" s="6" t="s">
        <v>972</v>
      </c>
      <c r="C939" s="6" t="s">
        <v>33</v>
      </c>
      <c r="D939" s="6" t="s">
        <v>12</v>
      </c>
      <c r="E939" s="6" t="s">
        <v>21</v>
      </c>
      <c r="F939" s="6" t="s">
        <v>29</v>
      </c>
      <c r="G939" s="7">
        <v>46195</v>
      </c>
      <c r="H939" s="6">
        <v>3</v>
      </c>
      <c r="I939" s="7">
        <v>46196</v>
      </c>
      <c r="J939" s="7">
        <f t="shared" si="43"/>
        <v>46198</v>
      </c>
      <c r="K939" s="8">
        <v>150</v>
      </c>
      <c r="L939" s="9">
        <f t="shared" si="42"/>
        <v>0</v>
      </c>
      <c r="M939" s="9" t="str" cm="1">
        <f t="array" ref="M939">_xlfn.IFS(L939&gt;=10,"HIGH",L939=0,"LOW",L939&lt;=9,"MEDIUM")</f>
        <v>LOW</v>
      </c>
      <c r="N939" s="9" t="str" cm="1">
        <f t="array" ref="N939">_xlfn.IFS(M939="HIGH",K939*L939,M939="MEDIUM",K939*L939,M939="LOW","NA")</f>
        <v>NA</v>
      </c>
      <c r="O939" s="18" t="str">
        <f t="shared" si="44"/>
        <v>cleared</v>
      </c>
    </row>
    <row r="940" spans="1:15" x14ac:dyDescent="0.25">
      <c r="A940" s="17">
        <v>936</v>
      </c>
      <c r="B940" s="6" t="s">
        <v>973</v>
      </c>
      <c r="C940" s="6" t="s">
        <v>16</v>
      </c>
      <c r="D940" s="6" t="s">
        <v>26</v>
      </c>
      <c r="E940" s="6" t="s">
        <v>61</v>
      </c>
      <c r="F940" s="6" t="s">
        <v>27</v>
      </c>
      <c r="G940" s="7">
        <v>46216</v>
      </c>
      <c r="H940" s="6">
        <v>5</v>
      </c>
      <c r="I940" s="6"/>
      <c r="J940" s="7">
        <f t="shared" si="43"/>
        <v>46221</v>
      </c>
      <c r="K940" s="8">
        <v>75</v>
      </c>
      <c r="L940" s="9">
        <f t="shared" si="42"/>
        <v>38</v>
      </c>
      <c r="M940" s="9" t="str" cm="1">
        <f t="array" ref="M940">_xlfn.IFS(L940&gt;=10,"HIGH",L940=0,"LOW",L940&lt;=9,"MEDIUM")</f>
        <v>HIGH</v>
      </c>
      <c r="N940" s="9" cm="1">
        <f t="array" ref="N940">_xlfn.IFS(M940="HIGH",K940*L940,M940="MEDIUM",K940*L940,M940="LOW","NA")</f>
        <v>2850</v>
      </c>
      <c r="O940" s="18" t="str">
        <f t="shared" si="44"/>
        <v>still in yard</v>
      </c>
    </row>
    <row r="941" spans="1:15" x14ac:dyDescent="0.25">
      <c r="A941" s="17">
        <v>937</v>
      </c>
      <c r="B941" s="6" t="s">
        <v>974</v>
      </c>
      <c r="C941" s="6" t="s">
        <v>37</v>
      </c>
      <c r="D941" s="6" t="s">
        <v>41</v>
      </c>
      <c r="E941" s="6" t="s">
        <v>13</v>
      </c>
      <c r="F941" s="6" t="s">
        <v>29</v>
      </c>
      <c r="G941" s="7">
        <v>46203</v>
      </c>
      <c r="H941" s="6">
        <v>4</v>
      </c>
      <c r="I941" s="7">
        <v>46208</v>
      </c>
      <c r="J941" s="7">
        <f t="shared" si="43"/>
        <v>46207</v>
      </c>
      <c r="K941" s="8">
        <v>150</v>
      </c>
      <c r="L941" s="9">
        <f t="shared" si="42"/>
        <v>1</v>
      </c>
      <c r="M941" s="9" t="str" cm="1">
        <f t="array" ref="M941">_xlfn.IFS(L941&gt;=10,"HIGH",L941=0,"LOW",L941&lt;=9,"MEDIUM")</f>
        <v>MEDIUM</v>
      </c>
      <c r="N941" s="9" cm="1">
        <f t="array" ref="N941">_xlfn.IFS(M941="HIGH",K941*L941,M941="MEDIUM",K941*L941,M941="LOW","NA")</f>
        <v>150</v>
      </c>
      <c r="O941" s="18" t="str">
        <f t="shared" si="44"/>
        <v>cleared</v>
      </c>
    </row>
    <row r="942" spans="1:15" x14ac:dyDescent="0.25">
      <c r="A942" s="17">
        <v>938</v>
      </c>
      <c r="B942" s="6" t="s">
        <v>975</v>
      </c>
      <c r="C942" s="6" t="s">
        <v>11</v>
      </c>
      <c r="D942" s="6" t="s">
        <v>56</v>
      </c>
      <c r="E942" s="6" t="s">
        <v>42</v>
      </c>
      <c r="F942" s="6" t="s">
        <v>24</v>
      </c>
      <c r="G942" s="7">
        <v>46243</v>
      </c>
      <c r="H942" s="6">
        <v>6</v>
      </c>
      <c r="I942" s="6"/>
      <c r="J942" s="7">
        <f t="shared" si="43"/>
        <v>46249</v>
      </c>
      <c r="K942" s="8">
        <v>110</v>
      </c>
      <c r="L942" s="9">
        <f t="shared" si="42"/>
        <v>10</v>
      </c>
      <c r="M942" s="9" t="str" cm="1">
        <f t="array" ref="M942">_xlfn.IFS(L942&gt;=10,"HIGH",L942=0,"LOW",L942&lt;=9,"MEDIUM")</f>
        <v>HIGH</v>
      </c>
      <c r="N942" s="9" cm="1">
        <f t="array" ref="N942">_xlfn.IFS(M942="HIGH",K942*L942,M942="MEDIUM",K942*L942,M942="LOW","NA")</f>
        <v>1100</v>
      </c>
      <c r="O942" s="18" t="str">
        <f t="shared" si="44"/>
        <v>still in yard</v>
      </c>
    </row>
    <row r="943" spans="1:15" x14ac:dyDescent="0.25">
      <c r="A943" s="17">
        <v>939</v>
      </c>
      <c r="B943" s="6" t="s">
        <v>976</v>
      </c>
      <c r="C943" s="6" t="s">
        <v>33</v>
      </c>
      <c r="D943" s="6" t="s">
        <v>54</v>
      </c>
      <c r="E943" s="6" t="s">
        <v>13</v>
      </c>
      <c r="F943" s="6" t="s">
        <v>14</v>
      </c>
      <c r="G943" s="7">
        <v>46184</v>
      </c>
      <c r="H943" s="6">
        <v>4</v>
      </c>
      <c r="I943" s="7">
        <v>46185</v>
      </c>
      <c r="J943" s="7">
        <f t="shared" si="43"/>
        <v>46188</v>
      </c>
      <c r="K943" s="8">
        <v>75</v>
      </c>
      <c r="L943" s="9">
        <f t="shared" si="42"/>
        <v>0</v>
      </c>
      <c r="M943" s="9" t="str" cm="1">
        <f t="array" ref="M943">_xlfn.IFS(L943&gt;=10,"HIGH",L943=0,"LOW",L943&lt;=9,"MEDIUM")</f>
        <v>LOW</v>
      </c>
      <c r="N943" s="9" t="str" cm="1">
        <f t="array" ref="N943">_xlfn.IFS(M943="HIGH",K943*L943,M943="MEDIUM",K943*L943,M943="LOW","NA")</f>
        <v>NA</v>
      </c>
      <c r="O943" s="18" t="str">
        <f t="shared" si="44"/>
        <v>cleared</v>
      </c>
    </row>
    <row r="944" spans="1:15" x14ac:dyDescent="0.25">
      <c r="A944" s="17">
        <v>940</v>
      </c>
      <c r="B944" s="6" t="s">
        <v>977</v>
      </c>
      <c r="C944" s="6" t="s">
        <v>16</v>
      </c>
      <c r="D944" s="6" t="s">
        <v>17</v>
      </c>
      <c r="E944" s="6" t="s">
        <v>23</v>
      </c>
      <c r="F944" s="6" t="s">
        <v>27</v>
      </c>
      <c r="G944" s="7">
        <v>46214</v>
      </c>
      <c r="H944" s="6">
        <v>6</v>
      </c>
      <c r="I944" s="7">
        <v>46221</v>
      </c>
      <c r="J944" s="7">
        <f t="shared" si="43"/>
        <v>46220</v>
      </c>
      <c r="K944" s="8">
        <v>75</v>
      </c>
      <c r="L944" s="9">
        <f t="shared" si="42"/>
        <v>1</v>
      </c>
      <c r="M944" s="9" t="str" cm="1">
        <f t="array" ref="M944">_xlfn.IFS(L944&gt;=10,"HIGH",L944=0,"LOW",L944&lt;=9,"MEDIUM")</f>
        <v>MEDIUM</v>
      </c>
      <c r="N944" s="9" cm="1">
        <f t="array" ref="N944">_xlfn.IFS(M944="HIGH",K944*L944,M944="MEDIUM",K944*L944,M944="LOW","NA")</f>
        <v>75</v>
      </c>
      <c r="O944" s="18" t="str">
        <f t="shared" si="44"/>
        <v>cleared</v>
      </c>
    </row>
    <row r="945" spans="1:15" x14ac:dyDescent="0.25">
      <c r="A945" s="17">
        <v>941</v>
      </c>
      <c r="B945" s="6" t="s">
        <v>978</v>
      </c>
      <c r="C945" s="6" t="s">
        <v>11</v>
      </c>
      <c r="D945" s="6" t="s">
        <v>20</v>
      </c>
      <c r="E945" s="6" t="s">
        <v>44</v>
      </c>
      <c r="F945" s="6" t="s">
        <v>27</v>
      </c>
      <c r="G945" s="7">
        <v>46217</v>
      </c>
      <c r="H945" s="6">
        <v>7</v>
      </c>
      <c r="I945" s="6"/>
      <c r="J945" s="7">
        <f t="shared" si="43"/>
        <v>46224</v>
      </c>
      <c r="K945" s="8">
        <v>90</v>
      </c>
      <c r="L945" s="9">
        <f t="shared" si="42"/>
        <v>35</v>
      </c>
      <c r="M945" s="9" t="str" cm="1">
        <f t="array" ref="M945">_xlfn.IFS(L945&gt;=10,"HIGH",L945=0,"LOW",L945&lt;=9,"MEDIUM")</f>
        <v>HIGH</v>
      </c>
      <c r="N945" s="9" cm="1">
        <f t="array" ref="N945">_xlfn.IFS(M945="HIGH",K945*L945,M945="MEDIUM",K945*L945,M945="LOW","NA")</f>
        <v>3150</v>
      </c>
      <c r="O945" s="18" t="str">
        <f t="shared" si="44"/>
        <v>still in yard</v>
      </c>
    </row>
    <row r="946" spans="1:15" x14ac:dyDescent="0.25">
      <c r="A946" s="17">
        <v>942</v>
      </c>
      <c r="B946" s="6" t="s">
        <v>979</v>
      </c>
      <c r="C946" s="6" t="s">
        <v>16</v>
      </c>
      <c r="D946" s="6" t="s">
        <v>26</v>
      </c>
      <c r="E946" s="6" t="s">
        <v>42</v>
      </c>
      <c r="F946" s="6" t="s">
        <v>14</v>
      </c>
      <c r="G946" s="7">
        <v>46209</v>
      </c>
      <c r="H946" s="6">
        <v>7</v>
      </c>
      <c r="I946" s="7">
        <v>46221</v>
      </c>
      <c r="J946" s="7">
        <f t="shared" si="43"/>
        <v>46216</v>
      </c>
      <c r="K946" s="8">
        <v>110</v>
      </c>
      <c r="L946" s="9">
        <f t="shared" si="42"/>
        <v>5</v>
      </c>
      <c r="M946" s="9" t="str" cm="1">
        <f t="array" ref="M946">_xlfn.IFS(L946&gt;=10,"HIGH",L946=0,"LOW",L946&lt;=9,"MEDIUM")</f>
        <v>MEDIUM</v>
      </c>
      <c r="N946" s="9" cm="1">
        <f t="array" ref="N946">_xlfn.IFS(M946="HIGH",K946*L946,M946="MEDIUM",K946*L946,M946="LOW","NA")</f>
        <v>550</v>
      </c>
      <c r="O946" s="18" t="str">
        <f t="shared" si="44"/>
        <v>cleared</v>
      </c>
    </row>
    <row r="947" spans="1:15" x14ac:dyDescent="0.25">
      <c r="A947" s="17">
        <v>943</v>
      </c>
      <c r="B947" s="6" t="s">
        <v>980</v>
      </c>
      <c r="C947" s="6" t="s">
        <v>11</v>
      </c>
      <c r="D947" s="6" t="s">
        <v>54</v>
      </c>
      <c r="E947" s="6" t="s">
        <v>21</v>
      </c>
      <c r="F947" s="6" t="s">
        <v>29</v>
      </c>
      <c r="G947" s="7">
        <v>46240</v>
      </c>
      <c r="H947" s="6">
        <v>4</v>
      </c>
      <c r="I947" s="6"/>
      <c r="J947" s="7">
        <f t="shared" si="43"/>
        <v>46244</v>
      </c>
      <c r="K947" s="8">
        <v>180</v>
      </c>
      <c r="L947" s="9">
        <f t="shared" si="42"/>
        <v>15</v>
      </c>
      <c r="M947" s="9" t="str" cm="1">
        <f t="array" ref="M947">_xlfn.IFS(L947&gt;=10,"HIGH",L947=0,"LOW",L947&lt;=9,"MEDIUM")</f>
        <v>HIGH</v>
      </c>
      <c r="N947" s="9" cm="1">
        <f t="array" ref="N947">_xlfn.IFS(M947="HIGH",K947*L947,M947="MEDIUM",K947*L947,M947="LOW","NA")</f>
        <v>2700</v>
      </c>
      <c r="O947" s="18" t="str">
        <f t="shared" si="44"/>
        <v>still in yard</v>
      </c>
    </row>
    <row r="948" spans="1:15" x14ac:dyDescent="0.25">
      <c r="A948" s="17">
        <v>944</v>
      </c>
      <c r="B948" s="6" t="s">
        <v>981</v>
      </c>
      <c r="C948" s="6" t="s">
        <v>33</v>
      </c>
      <c r="D948" s="6" t="s">
        <v>34</v>
      </c>
      <c r="E948" s="6" t="s">
        <v>21</v>
      </c>
      <c r="F948" s="6" t="s">
        <v>24</v>
      </c>
      <c r="G948" s="7">
        <v>46190</v>
      </c>
      <c r="H948" s="6">
        <v>6</v>
      </c>
      <c r="I948" s="6"/>
      <c r="J948" s="7">
        <f t="shared" si="43"/>
        <v>46196</v>
      </c>
      <c r="K948" s="8">
        <v>90</v>
      </c>
      <c r="L948" s="9">
        <f t="shared" si="42"/>
        <v>63</v>
      </c>
      <c r="M948" s="9" t="str" cm="1">
        <f t="array" ref="M948">_xlfn.IFS(L948&gt;=10,"HIGH",L948=0,"LOW",L948&lt;=9,"MEDIUM")</f>
        <v>HIGH</v>
      </c>
      <c r="N948" s="9" cm="1">
        <f t="array" ref="N948">_xlfn.IFS(M948="HIGH",K948*L948,M948="MEDIUM",K948*L948,M948="LOW","NA")</f>
        <v>5670</v>
      </c>
      <c r="O948" s="18" t="str">
        <f t="shared" si="44"/>
        <v>still in yard</v>
      </c>
    </row>
    <row r="949" spans="1:15" x14ac:dyDescent="0.25">
      <c r="A949" s="17">
        <v>945</v>
      </c>
      <c r="B949" s="6" t="s">
        <v>982</v>
      </c>
      <c r="C949" s="6" t="s">
        <v>11</v>
      </c>
      <c r="D949" s="6" t="s">
        <v>54</v>
      </c>
      <c r="E949" s="6" t="s">
        <v>42</v>
      </c>
      <c r="F949" s="6" t="s">
        <v>14</v>
      </c>
      <c r="G949" s="7">
        <v>46202</v>
      </c>
      <c r="H949" s="6">
        <v>4</v>
      </c>
      <c r="I949" s="7">
        <v>46210</v>
      </c>
      <c r="J949" s="7">
        <f t="shared" si="43"/>
        <v>46206</v>
      </c>
      <c r="K949" s="8">
        <v>110</v>
      </c>
      <c r="L949" s="9">
        <f t="shared" si="42"/>
        <v>4</v>
      </c>
      <c r="M949" s="9" t="str" cm="1">
        <f t="array" ref="M949">_xlfn.IFS(L949&gt;=10,"HIGH",L949=0,"LOW",L949&lt;=9,"MEDIUM")</f>
        <v>MEDIUM</v>
      </c>
      <c r="N949" s="9" cm="1">
        <f t="array" ref="N949">_xlfn.IFS(M949="HIGH",K949*L949,M949="MEDIUM",K949*L949,M949="LOW","NA")</f>
        <v>440</v>
      </c>
      <c r="O949" s="18" t="str">
        <f t="shared" si="44"/>
        <v>cleared</v>
      </c>
    </row>
    <row r="950" spans="1:15" x14ac:dyDescent="0.25">
      <c r="A950" s="17">
        <v>946</v>
      </c>
      <c r="B950" s="6" t="s">
        <v>983</v>
      </c>
      <c r="C950" s="6" t="s">
        <v>16</v>
      </c>
      <c r="D950" s="6" t="s">
        <v>56</v>
      </c>
      <c r="E950" s="6" t="s">
        <v>46</v>
      </c>
      <c r="F950" s="6" t="s">
        <v>14</v>
      </c>
      <c r="G950" s="7">
        <v>46209</v>
      </c>
      <c r="H950" s="6">
        <v>4</v>
      </c>
      <c r="I950" s="7">
        <v>46210</v>
      </c>
      <c r="J950" s="7">
        <f t="shared" si="43"/>
        <v>46213</v>
      </c>
      <c r="K950" s="8">
        <v>130</v>
      </c>
      <c r="L950" s="9">
        <f t="shared" si="42"/>
        <v>0</v>
      </c>
      <c r="M950" s="9" t="str" cm="1">
        <f t="array" ref="M950">_xlfn.IFS(L950&gt;=10,"HIGH",L950=0,"LOW",L950&lt;=9,"MEDIUM")</f>
        <v>LOW</v>
      </c>
      <c r="N950" s="9" t="str" cm="1">
        <f t="array" ref="N950">_xlfn.IFS(M950="HIGH",K950*L950,M950="MEDIUM",K950*L950,M950="LOW","NA")</f>
        <v>NA</v>
      </c>
      <c r="O950" s="18" t="str">
        <f t="shared" si="44"/>
        <v>cleared</v>
      </c>
    </row>
    <row r="951" spans="1:15" x14ac:dyDescent="0.25">
      <c r="A951" s="17">
        <v>947</v>
      </c>
      <c r="B951" s="6" t="s">
        <v>984</v>
      </c>
      <c r="C951" s="6" t="s">
        <v>37</v>
      </c>
      <c r="D951" s="6" t="s">
        <v>49</v>
      </c>
      <c r="E951" s="6" t="s">
        <v>18</v>
      </c>
      <c r="F951" s="6" t="s">
        <v>14</v>
      </c>
      <c r="G951" s="7">
        <v>46171</v>
      </c>
      <c r="H951" s="6">
        <v>5</v>
      </c>
      <c r="I951" s="7">
        <v>46174</v>
      </c>
      <c r="J951" s="7">
        <f t="shared" si="43"/>
        <v>46176</v>
      </c>
      <c r="K951" s="8">
        <v>130</v>
      </c>
      <c r="L951" s="9">
        <f t="shared" si="42"/>
        <v>0</v>
      </c>
      <c r="M951" s="9" t="str" cm="1">
        <f t="array" ref="M951">_xlfn.IFS(L951&gt;=10,"HIGH",L951=0,"LOW",L951&lt;=9,"MEDIUM")</f>
        <v>LOW</v>
      </c>
      <c r="N951" s="9" t="str" cm="1">
        <f t="array" ref="N951">_xlfn.IFS(M951="HIGH",K951*L951,M951="MEDIUM",K951*L951,M951="LOW","NA")</f>
        <v>NA</v>
      </c>
      <c r="O951" s="18" t="str">
        <f t="shared" si="44"/>
        <v>cleared</v>
      </c>
    </row>
    <row r="952" spans="1:15" x14ac:dyDescent="0.25">
      <c r="A952" s="17">
        <v>948</v>
      </c>
      <c r="B952" s="6" t="s">
        <v>985</v>
      </c>
      <c r="C952" s="6" t="s">
        <v>37</v>
      </c>
      <c r="D952" s="6" t="s">
        <v>17</v>
      </c>
      <c r="E952" s="6" t="s">
        <v>44</v>
      </c>
      <c r="F952" s="6" t="s">
        <v>14</v>
      </c>
      <c r="G952" s="7">
        <v>46236</v>
      </c>
      <c r="H952" s="6">
        <v>5</v>
      </c>
      <c r="I952" s="6"/>
      <c r="J952" s="7">
        <f t="shared" si="43"/>
        <v>46241</v>
      </c>
      <c r="K952" s="8">
        <v>90</v>
      </c>
      <c r="L952" s="9">
        <f t="shared" si="42"/>
        <v>18</v>
      </c>
      <c r="M952" s="9" t="str" cm="1">
        <f t="array" ref="M952">_xlfn.IFS(L952&gt;=10,"HIGH",L952=0,"LOW",L952&lt;=9,"MEDIUM")</f>
        <v>HIGH</v>
      </c>
      <c r="N952" s="9" cm="1">
        <f t="array" ref="N952">_xlfn.IFS(M952="HIGH",K952*L952,M952="MEDIUM",K952*L952,M952="LOW","NA")</f>
        <v>1620</v>
      </c>
      <c r="O952" s="18" t="str">
        <f t="shared" si="44"/>
        <v>still in yard</v>
      </c>
    </row>
    <row r="953" spans="1:15" x14ac:dyDescent="0.25">
      <c r="A953" s="17">
        <v>949</v>
      </c>
      <c r="B953" s="6" t="s">
        <v>986</v>
      </c>
      <c r="C953" s="6" t="s">
        <v>11</v>
      </c>
      <c r="D953" s="6" t="s">
        <v>49</v>
      </c>
      <c r="E953" s="6" t="s">
        <v>44</v>
      </c>
      <c r="F953" s="6" t="s">
        <v>24</v>
      </c>
      <c r="G953" s="7">
        <v>46203</v>
      </c>
      <c r="H953" s="6">
        <v>5</v>
      </c>
      <c r="I953" s="7">
        <v>46204</v>
      </c>
      <c r="J953" s="7">
        <f t="shared" si="43"/>
        <v>46208</v>
      </c>
      <c r="K953" s="8">
        <v>110</v>
      </c>
      <c r="L953" s="9">
        <f t="shared" si="42"/>
        <v>0</v>
      </c>
      <c r="M953" s="9" t="str" cm="1">
        <f t="array" ref="M953">_xlfn.IFS(L953&gt;=10,"HIGH",L953=0,"LOW",L953&lt;=9,"MEDIUM")</f>
        <v>LOW</v>
      </c>
      <c r="N953" s="9" t="str" cm="1">
        <f t="array" ref="N953">_xlfn.IFS(M953="HIGH",K953*L953,M953="MEDIUM",K953*L953,M953="LOW","NA")</f>
        <v>NA</v>
      </c>
      <c r="O953" s="18" t="str">
        <f t="shared" si="44"/>
        <v>cleared</v>
      </c>
    </row>
    <row r="954" spans="1:15" x14ac:dyDescent="0.25">
      <c r="A954" s="17">
        <v>950</v>
      </c>
      <c r="B954" s="6" t="s">
        <v>987</v>
      </c>
      <c r="C954" s="6" t="s">
        <v>37</v>
      </c>
      <c r="D954" s="6" t="s">
        <v>31</v>
      </c>
      <c r="E954" s="6" t="s">
        <v>61</v>
      </c>
      <c r="F954" s="6" t="s">
        <v>14</v>
      </c>
      <c r="G954" s="7">
        <v>46233</v>
      </c>
      <c r="H954" s="6">
        <v>5</v>
      </c>
      <c r="I954" s="7">
        <v>46239</v>
      </c>
      <c r="J954" s="7">
        <f t="shared" si="43"/>
        <v>46238</v>
      </c>
      <c r="K954" s="8">
        <v>75</v>
      </c>
      <c r="L954" s="9">
        <f t="shared" si="42"/>
        <v>1</v>
      </c>
      <c r="M954" s="9" t="str" cm="1">
        <f t="array" ref="M954">_xlfn.IFS(L954&gt;=10,"HIGH",L954=0,"LOW",L954&lt;=9,"MEDIUM")</f>
        <v>MEDIUM</v>
      </c>
      <c r="N954" s="9" cm="1">
        <f t="array" ref="N954">_xlfn.IFS(M954="HIGH",K954*L954,M954="MEDIUM",K954*L954,M954="LOW","NA")</f>
        <v>75</v>
      </c>
      <c r="O954" s="18" t="str">
        <f t="shared" si="44"/>
        <v>cleared</v>
      </c>
    </row>
    <row r="955" spans="1:15" x14ac:dyDescent="0.25">
      <c r="A955" s="17">
        <v>951</v>
      </c>
      <c r="B955" s="6" t="s">
        <v>988</v>
      </c>
      <c r="C955" s="6" t="s">
        <v>11</v>
      </c>
      <c r="D955" s="6" t="s">
        <v>54</v>
      </c>
      <c r="E955" s="6" t="s">
        <v>39</v>
      </c>
      <c r="F955" s="6" t="s">
        <v>29</v>
      </c>
      <c r="G955" s="7">
        <v>46185</v>
      </c>
      <c r="H955" s="6">
        <v>3</v>
      </c>
      <c r="I955" s="7">
        <v>46192</v>
      </c>
      <c r="J955" s="7">
        <f t="shared" si="43"/>
        <v>46188</v>
      </c>
      <c r="K955" s="8">
        <v>180</v>
      </c>
      <c r="L955" s="9">
        <f t="shared" si="42"/>
        <v>4</v>
      </c>
      <c r="M955" s="9" t="str" cm="1">
        <f t="array" ref="M955">_xlfn.IFS(L955&gt;=10,"HIGH",L955=0,"LOW",L955&lt;=9,"MEDIUM")</f>
        <v>MEDIUM</v>
      </c>
      <c r="N955" s="9" cm="1">
        <f t="array" ref="N955">_xlfn.IFS(M955="HIGH",K955*L955,M955="MEDIUM",K955*L955,M955="LOW","NA")</f>
        <v>720</v>
      </c>
      <c r="O955" s="18" t="str">
        <f t="shared" si="44"/>
        <v>cleared</v>
      </c>
    </row>
    <row r="956" spans="1:15" x14ac:dyDescent="0.25">
      <c r="A956" s="17">
        <v>952</v>
      </c>
      <c r="B956" s="6" t="s">
        <v>989</v>
      </c>
      <c r="C956" s="6" t="s">
        <v>33</v>
      </c>
      <c r="D956" s="6" t="s">
        <v>56</v>
      </c>
      <c r="E956" s="6" t="s">
        <v>42</v>
      </c>
      <c r="F956" s="6" t="s">
        <v>14</v>
      </c>
      <c r="G956" s="7">
        <v>46245</v>
      </c>
      <c r="H956" s="6">
        <v>5</v>
      </c>
      <c r="I956" s="7">
        <v>46246</v>
      </c>
      <c r="J956" s="7">
        <f t="shared" si="43"/>
        <v>46250</v>
      </c>
      <c r="K956" s="8">
        <v>60</v>
      </c>
      <c r="L956" s="9">
        <f t="shared" si="42"/>
        <v>0</v>
      </c>
      <c r="M956" s="9" t="str" cm="1">
        <f t="array" ref="M956">_xlfn.IFS(L956&gt;=10,"HIGH",L956=0,"LOW",L956&lt;=9,"MEDIUM")</f>
        <v>LOW</v>
      </c>
      <c r="N956" s="9" t="str" cm="1">
        <f t="array" ref="N956">_xlfn.IFS(M956="HIGH",K956*L956,M956="MEDIUM",K956*L956,M956="LOW","NA")</f>
        <v>NA</v>
      </c>
      <c r="O956" s="18" t="str">
        <f t="shared" si="44"/>
        <v>cleared</v>
      </c>
    </row>
    <row r="957" spans="1:15" x14ac:dyDescent="0.25">
      <c r="A957" s="17">
        <v>953</v>
      </c>
      <c r="B957" s="6" t="s">
        <v>990</v>
      </c>
      <c r="C957" s="6" t="s">
        <v>16</v>
      </c>
      <c r="D957" s="6" t="s">
        <v>20</v>
      </c>
      <c r="E957" s="6" t="s">
        <v>44</v>
      </c>
      <c r="F957" s="6" t="s">
        <v>27</v>
      </c>
      <c r="G957" s="7">
        <v>46179</v>
      </c>
      <c r="H957" s="6">
        <v>7</v>
      </c>
      <c r="I957" s="6"/>
      <c r="J957" s="7">
        <f t="shared" si="43"/>
        <v>46186</v>
      </c>
      <c r="K957" s="8">
        <v>130</v>
      </c>
      <c r="L957" s="9">
        <f t="shared" si="42"/>
        <v>73</v>
      </c>
      <c r="M957" s="9" t="str" cm="1">
        <f t="array" ref="M957">_xlfn.IFS(L957&gt;=10,"HIGH",L957=0,"LOW",L957&lt;=9,"MEDIUM")</f>
        <v>HIGH</v>
      </c>
      <c r="N957" s="9" cm="1">
        <f t="array" ref="N957">_xlfn.IFS(M957="HIGH",K957*L957,M957="MEDIUM",K957*L957,M957="LOW","NA")</f>
        <v>9490</v>
      </c>
      <c r="O957" s="18" t="str">
        <f t="shared" si="44"/>
        <v>still in yard</v>
      </c>
    </row>
    <row r="958" spans="1:15" x14ac:dyDescent="0.25">
      <c r="A958" s="17">
        <v>954</v>
      </c>
      <c r="B958" s="6" t="s">
        <v>991</v>
      </c>
      <c r="C958" s="6" t="s">
        <v>33</v>
      </c>
      <c r="D958" s="6" t="s">
        <v>49</v>
      </c>
      <c r="E958" s="6" t="s">
        <v>18</v>
      </c>
      <c r="F958" s="6" t="s">
        <v>24</v>
      </c>
      <c r="G958" s="7">
        <v>46214</v>
      </c>
      <c r="H958" s="6">
        <v>5</v>
      </c>
      <c r="I958" s="7">
        <v>46219</v>
      </c>
      <c r="J958" s="7">
        <f t="shared" si="43"/>
        <v>46219</v>
      </c>
      <c r="K958" s="8">
        <v>90</v>
      </c>
      <c r="L958" s="9">
        <f t="shared" si="42"/>
        <v>0</v>
      </c>
      <c r="M958" s="9" t="str" cm="1">
        <f t="array" ref="M958">_xlfn.IFS(L958&gt;=10,"HIGH",L958=0,"LOW",L958&lt;=9,"MEDIUM")</f>
        <v>LOW</v>
      </c>
      <c r="N958" s="9" t="str" cm="1">
        <f t="array" ref="N958">_xlfn.IFS(M958="HIGH",K958*L958,M958="MEDIUM",K958*L958,M958="LOW","NA")</f>
        <v>NA</v>
      </c>
      <c r="O958" s="18" t="str">
        <f t="shared" si="44"/>
        <v>cleared</v>
      </c>
    </row>
    <row r="959" spans="1:15" x14ac:dyDescent="0.25">
      <c r="A959" s="17">
        <v>955</v>
      </c>
      <c r="B959" s="6" t="s">
        <v>992</v>
      </c>
      <c r="C959" s="6" t="s">
        <v>33</v>
      </c>
      <c r="D959" s="6" t="s">
        <v>12</v>
      </c>
      <c r="E959" s="6" t="s">
        <v>35</v>
      </c>
      <c r="F959" s="6" t="s">
        <v>24</v>
      </c>
      <c r="G959" s="7">
        <v>46193</v>
      </c>
      <c r="H959" s="6">
        <v>6</v>
      </c>
      <c r="I959" s="6"/>
      <c r="J959" s="7">
        <f t="shared" si="43"/>
        <v>46199</v>
      </c>
      <c r="K959" s="8">
        <v>90</v>
      </c>
      <c r="L959" s="9">
        <f t="shared" si="42"/>
        <v>60</v>
      </c>
      <c r="M959" s="9" t="str" cm="1">
        <f t="array" ref="M959">_xlfn.IFS(L959&gt;=10,"HIGH",L959=0,"LOW",L959&lt;=9,"MEDIUM")</f>
        <v>HIGH</v>
      </c>
      <c r="N959" s="9" cm="1">
        <f t="array" ref="N959">_xlfn.IFS(M959="HIGH",K959*L959,M959="MEDIUM",K959*L959,M959="LOW","NA")</f>
        <v>5400</v>
      </c>
      <c r="O959" s="18" t="str">
        <f t="shared" si="44"/>
        <v>still in yard</v>
      </c>
    </row>
    <row r="960" spans="1:15" x14ac:dyDescent="0.25">
      <c r="A960" s="17">
        <v>956</v>
      </c>
      <c r="B960" s="6" t="s">
        <v>993</v>
      </c>
      <c r="C960" s="6" t="s">
        <v>37</v>
      </c>
      <c r="D960" s="6" t="s">
        <v>17</v>
      </c>
      <c r="E960" s="6" t="s">
        <v>18</v>
      </c>
      <c r="F960" s="6" t="s">
        <v>29</v>
      </c>
      <c r="G960" s="7">
        <v>46220</v>
      </c>
      <c r="H960" s="6">
        <v>4</v>
      </c>
      <c r="I960" s="7">
        <v>46221</v>
      </c>
      <c r="J960" s="7">
        <f t="shared" si="43"/>
        <v>46224</v>
      </c>
      <c r="K960" s="8">
        <v>180</v>
      </c>
      <c r="L960" s="9">
        <f t="shared" si="42"/>
        <v>0</v>
      </c>
      <c r="M960" s="9" t="str" cm="1">
        <f t="array" ref="M960">_xlfn.IFS(L960&gt;=10,"HIGH",L960=0,"LOW",L960&lt;=9,"MEDIUM")</f>
        <v>LOW</v>
      </c>
      <c r="N960" s="9" t="str" cm="1">
        <f t="array" ref="N960">_xlfn.IFS(M960="HIGH",K960*L960,M960="MEDIUM",K960*L960,M960="LOW","NA")</f>
        <v>NA</v>
      </c>
      <c r="O960" s="18" t="str">
        <f t="shared" si="44"/>
        <v>cleared</v>
      </c>
    </row>
    <row r="961" spans="1:15" x14ac:dyDescent="0.25">
      <c r="A961" s="17">
        <v>957</v>
      </c>
      <c r="B961" s="6" t="s">
        <v>994</v>
      </c>
      <c r="C961" s="6" t="s">
        <v>11</v>
      </c>
      <c r="D961" s="6" t="s">
        <v>54</v>
      </c>
      <c r="E961" s="6" t="s">
        <v>61</v>
      </c>
      <c r="F961" s="6" t="s">
        <v>27</v>
      </c>
      <c r="G961" s="7">
        <v>46249</v>
      </c>
      <c r="H961" s="6">
        <v>4</v>
      </c>
      <c r="I961" s="7">
        <v>46250</v>
      </c>
      <c r="J961" s="7">
        <f t="shared" si="43"/>
        <v>46253</v>
      </c>
      <c r="K961" s="8">
        <v>75</v>
      </c>
      <c r="L961" s="9">
        <f t="shared" si="42"/>
        <v>0</v>
      </c>
      <c r="M961" s="9" t="str" cm="1">
        <f t="array" ref="M961">_xlfn.IFS(L961&gt;=10,"HIGH",L961=0,"LOW",L961&lt;=9,"MEDIUM")</f>
        <v>LOW</v>
      </c>
      <c r="N961" s="9" t="str" cm="1">
        <f t="array" ref="N961">_xlfn.IFS(M961="HIGH",K961*L961,M961="MEDIUM",K961*L961,M961="LOW","NA")</f>
        <v>NA</v>
      </c>
      <c r="O961" s="18" t="str">
        <f t="shared" si="44"/>
        <v>cleared</v>
      </c>
    </row>
    <row r="962" spans="1:15" x14ac:dyDescent="0.25">
      <c r="A962" s="17">
        <v>958</v>
      </c>
      <c r="B962" s="6" t="s">
        <v>995</v>
      </c>
      <c r="C962" s="6" t="s">
        <v>16</v>
      </c>
      <c r="D962" s="6" t="s">
        <v>12</v>
      </c>
      <c r="E962" s="6" t="s">
        <v>35</v>
      </c>
      <c r="F962" s="6" t="s">
        <v>27</v>
      </c>
      <c r="G962" s="7">
        <v>46258</v>
      </c>
      <c r="H962" s="6">
        <v>7</v>
      </c>
      <c r="I962" s="6"/>
      <c r="J962" s="7">
        <f t="shared" si="43"/>
        <v>46265</v>
      </c>
      <c r="K962" s="8">
        <v>110</v>
      </c>
      <c r="L962" s="9">
        <f t="shared" si="42"/>
        <v>0</v>
      </c>
      <c r="M962" s="9" t="str" cm="1">
        <f t="array" ref="M962">_xlfn.IFS(L962&gt;=10,"HIGH",L962=0,"LOW",L962&lt;=9,"MEDIUM")</f>
        <v>LOW</v>
      </c>
      <c r="N962" s="9" t="str" cm="1">
        <f t="array" ref="N962">_xlfn.IFS(M962="HIGH",K962*L962,M962="MEDIUM",K962*L962,M962="LOW","NA")</f>
        <v>NA</v>
      </c>
      <c r="O962" s="18" t="str">
        <f t="shared" si="44"/>
        <v>still in yard</v>
      </c>
    </row>
    <row r="963" spans="1:15" x14ac:dyDescent="0.25">
      <c r="A963" s="17">
        <v>959</v>
      </c>
      <c r="B963" s="6" t="s">
        <v>996</v>
      </c>
      <c r="C963" s="6" t="s">
        <v>37</v>
      </c>
      <c r="D963" s="6" t="s">
        <v>41</v>
      </c>
      <c r="E963" s="6" t="s">
        <v>44</v>
      </c>
      <c r="F963" s="6" t="s">
        <v>24</v>
      </c>
      <c r="G963" s="7">
        <v>46171</v>
      </c>
      <c r="H963" s="6">
        <v>5</v>
      </c>
      <c r="I963" s="7">
        <v>46178</v>
      </c>
      <c r="J963" s="7">
        <f t="shared" si="43"/>
        <v>46176</v>
      </c>
      <c r="K963" s="8">
        <v>90</v>
      </c>
      <c r="L963" s="9">
        <f t="shared" si="42"/>
        <v>2</v>
      </c>
      <c r="M963" s="9" t="str" cm="1">
        <f t="array" ref="M963">_xlfn.IFS(L963&gt;=10,"HIGH",L963=0,"LOW",L963&lt;=9,"MEDIUM")</f>
        <v>MEDIUM</v>
      </c>
      <c r="N963" s="9" cm="1">
        <f t="array" ref="N963">_xlfn.IFS(M963="HIGH",K963*L963,M963="MEDIUM",K963*L963,M963="LOW","NA")</f>
        <v>180</v>
      </c>
      <c r="O963" s="18" t="str">
        <f t="shared" si="44"/>
        <v>cleared</v>
      </c>
    </row>
    <row r="964" spans="1:15" x14ac:dyDescent="0.25">
      <c r="A964" s="17">
        <v>960</v>
      </c>
      <c r="B964" s="6" t="s">
        <v>997</v>
      </c>
      <c r="C964" s="6" t="s">
        <v>11</v>
      </c>
      <c r="D964" s="6" t="s">
        <v>12</v>
      </c>
      <c r="E964" s="6" t="s">
        <v>44</v>
      </c>
      <c r="F964" s="6" t="s">
        <v>24</v>
      </c>
      <c r="G964" s="7">
        <v>46182</v>
      </c>
      <c r="H964" s="6">
        <v>6</v>
      </c>
      <c r="I964" s="7">
        <v>46190</v>
      </c>
      <c r="J964" s="7">
        <f t="shared" si="43"/>
        <v>46188</v>
      </c>
      <c r="K964" s="8">
        <v>75</v>
      </c>
      <c r="L964" s="9">
        <f t="shared" si="42"/>
        <v>2</v>
      </c>
      <c r="M964" s="9" t="str" cm="1">
        <f t="array" ref="M964">_xlfn.IFS(L964&gt;=10,"HIGH",L964=0,"LOW",L964&lt;=9,"MEDIUM")</f>
        <v>MEDIUM</v>
      </c>
      <c r="N964" s="9" cm="1">
        <f t="array" ref="N964">_xlfn.IFS(M964="HIGH",K964*L964,M964="MEDIUM",K964*L964,M964="LOW","NA")</f>
        <v>150</v>
      </c>
      <c r="O964" s="18" t="str">
        <f t="shared" si="44"/>
        <v>cleared</v>
      </c>
    </row>
    <row r="965" spans="1:15" x14ac:dyDescent="0.25">
      <c r="A965" s="17">
        <v>961</v>
      </c>
      <c r="B965" s="6" t="s">
        <v>998</v>
      </c>
      <c r="C965" s="6" t="s">
        <v>16</v>
      </c>
      <c r="D965" s="6" t="s">
        <v>41</v>
      </c>
      <c r="E965" s="6" t="s">
        <v>35</v>
      </c>
      <c r="F965" s="6" t="s">
        <v>27</v>
      </c>
      <c r="G965" s="7">
        <v>46197</v>
      </c>
      <c r="H965" s="6">
        <v>5</v>
      </c>
      <c r="I965" s="6"/>
      <c r="J965" s="7">
        <f t="shared" si="43"/>
        <v>46202</v>
      </c>
      <c r="K965" s="8">
        <v>130</v>
      </c>
      <c r="L965" s="9">
        <f t="shared" ref="L965:L1028" si="45">MAX(0, IF(I965="", $C$2-J965, I965-J965))</f>
        <v>57</v>
      </c>
      <c r="M965" s="9" t="str" cm="1">
        <f t="array" ref="M965">_xlfn.IFS(L965&gt;=10,"HIGH",L965=0,"LOW",L965&lt;=9,"MEDIUM")</f>
        <v>HIGH</v>
      </c>
      <c r="N965" s="9" cm="1">
        <f t="array" ref="N965">_xlfn.IFS(M965="HIGH",K965*L965,M965="MEDIUM",K965*L965,M965="LOW","NA")</f>
        <v>7410</v>
      </c>
      <c r="O965" s="18" t="str">
        <f t="shared" si="44"/>
        <v>still in yard</v>
      </c>
    </row>
    <row r="966" spans="1:15" x14ac:dyDescent="0.25">
      <c r="A966" s="17">
        <v>962</v>
      </c>
      <c r="B966" s="6" t="s">
        <v>999</v>
      </c>
      <c r="C966" s="6" t="s">
        <v>33</v>
      </c>
      <c r="D966" s="6" t="s">
        <v>17</v>
      </c>
      <c r="E966" s="6" t="s">
        <v>42</v>
      </c>
      <c r="F966" s="6" t="s">
        <v>14</v>
      </c>
      <c r="G966" s="7">
        <v>46218</v>
      </c>
      <c r="H966" s="6">
        <v>5</v>
      </c>
      <c r="I966" s="7">
        <v>46220</v>
      </c>
      <c r="J966" s="7">
        <f t="shared" ref="J966:J1029" si="46">G966+H966</f>
        <v>46223</v>
      </c>
      <c r="K966" s="8">
        <v>130</v>
      </c>
      <c r="L966" s="9">
        <f t="shared" si="45"/>
        <v>0</v>
      </c>
      <c r="M966" s="9" t="str" cm="1">
        <f t="array" ref="M966">_xlfn.IFS(L966&gt;=10,"HIGH",L966=0,"LOW",L966&lt;=9,"MEDIUM")</f>
        <v>LOW</v>
      </c>
      <c r="N966" s="9" t="str" cm="1">
        <f t="array" ref="N966">_xlfn.IFS(M966="HIGH",K966*L966,M966="MEDIUM",K966*L966,M966="LOW","NA")</f>
        <v>NA</v>
      </c>
      <c r="O966" s="18" t="str">
        <f t="shared" ref="O966:O1029" si="47">IF(I966="","still in yard","cleared")</f>
        <v>cleared</v>
      </c>
    </row>
    <row r="967" spans="1:15" x14ac:dyDescent="0.25">
      <c r="A967" s="17">
        <v>963</v>
      </c>
      <c r="B967" s="6" t="s">
        <v>1000</v>
      </c>
      <c r="C967" s="6" t="s">
        <v>33</v>
      </c>
      <c r="D967" s="6" t="s">
        <v>17</v>
      </c>
      <c r="E967" s="6" t="s">
        <v>42</v>
      </c>
      <c r="F967" s="6" t="s">
        <v>14</v>
      </c>
      <c r="G967" s="7">
        <v>46233</v>
      </c>
      <c r="H967" s="6">
        <v>7</v>
      </c>
      <c r="I967" s="7">
        <v>46235</v>
      </c>
      <c r="J967" s="7">
        <f t="shared" si="46"/>
        <v>46240</v>
      </c>
      <c r="K967" s="8">
        <v>90</v>
      </c>
      <c r="L967" s="9">
        <f t="shared" si="45"/>
        <v>0</v>
      </c>
      <c r="M967" s="9" t="str" cm="1">
        <f t="array" ref="M967">_xlfn.IFS(L967&gt;=10,"HIGH",L967=0,"LOW",L967&lt;=9,"MEDIUM")</f>
        <v>LOW</v>
      </c>
      <c r="N967" s="9" t="str" cm="1">
        <f t="array" ref="N967">_xlfn.IFS(M967="HIGH",K967*L967,M967="MEDIUM",K967*L967,M967="LOW","NA")</f>
        <v>NA</v>
      </c>
      <c r="O967" s="18" t="str">
        <f t="shared" si="47"/>
        <v>cleared</v>
      </c>
    </row>
    <row r="968" spans="1:15" x14ac:dyDescent="0.25">
      <c r="A968" s="17">
        <v>964</v>
      </c>
      <c r="B968" s="6" t="s">
        <v>1001</v>
      </c>
      <c r="C968" s="6" t="s">
        <v>16</v>
      </c>
      <c r="D968" s="6" t="s">
        <v>56</v>
      </c>
      <c r="E968" s="6" t="s">
        <v>23</v>
      </c>
      <c r="F968" s="6" t="s">
        <v>29</v>
      </c>
      <c r="G968" s="7">
        <v>46214</v>
      </c>
      <c r="H968" s="6">
        <v>3</v>
      </c>
      <c r="I968" s="6"/>
      <c r="J968" s="7">
        <f t="shared" si="46"/>
        <v>46217</v>
      </c>
      <c r="K968" s="8">
        <v>150</v>
      </c>
      <c r="L968" s="9">
        <f t="shared" si="45"/>
        <v>42</v>
      </c>
      <c r="M968" s="9" t="str" cm="1">
        <f t="array" ref="M968">_xlfn.IFS(L968&gt;=10,"HIGH",L968=0,"LOW",L968&lt;=9,"MEDIUM")</f>
        <v>HIGH</v>
      </c>
      <c r="N968" s="9" cm="1">
        <f t="array" ref="N968">_xlfn.IFS(M968="HIGH",K968*L968,M968="MEDIUM",K968*L968,M968="LOW","NA")</f>
        <v>6300</v>
      </c>
      <c r="O968" s="18" t="str">
        <f t="shared" si="47"/>
        <v>still in yard</v>
      </c>
    </row>
    <row r="969" spans="1:15" x14ac:dyDescent="0.25">
      <c r="A969" s="17">
        <v>965</v>
      </c>
      <c r="B969" s="6" t="s">
        <v>1002</v>
      </c>
      <c r="C969" s="6" t="s">
        <v>11</v>
      </c>
      <c r="D969" s="6" t="s">
        <v>20</v>
      </c>
      <c r="E969" s="6" t="s">
        <v>46</v>
      </c>
      <c r="F969" s="6" t="s">
        <v>29</v>
      </c>
      <c r="G969" s="7">
        <v>46185</v>
      </c>
      <c r="H969" s="6">
        <v>3</v>
      </c>
      <c r="I969" s="7">
        <v>46188</v>
      </c>
      <c r="J969" s="7">
        <f t="shared" si="46"/>
        <v>46188</v>
      </c>
      <c r="K969" s="8">
        <v>120</v>
      </c>
      <c r="L969" s="9">
        <f t="shared" si="45"/>
        <v>0</v>
      </c>
      <c r="M969" s="9" t="str" cm="1">
        <f t="array" ref="M969">_xlfn.IFS(L969&gt;=10,"HIGH",L969=0,"LOW",L969&lt;=9,"MEDIUM")</f>
        <v>LOW</v>
      </c>
      <c r="N969" s="9" t="str" cm="1">
        <f t="array" ref="N969">_xlfn.IFS(M969="HIGH",K969*L969,M969="MEDIUM",K969*L969,M969="LOW","NA")</f>
        <v>NA</v>
      </c>
      <c r="O969" s="18" t="str">
        <f t="shared" si="47"/>
        <v>cleared</v>
      </c>
    </row>
    <row r="970" spans="1:15" x14ac:dyDescent="0.25">
      <c r="A970" s="17">
        <v>966</v>
      </c>
      <c r="B970" s="6" t="s">
        <v>1003</v>
      </c>
      <c r="C970" s="6" t="s">
        <v>33</v>
      </c>
      <c r="D970" s="6" t="s">
        <v>17</v>
      </c>
      <c r="E970" s="6" t="s">
        <v>23</v>
      </c>
      <c r="F970" s="6" t="s">
        <v>27</v>
      </c>
      <c r="G970" s="7">
        <v>46241</v>
      </c>
      <c r="H970" s="6">
        <v>5</v>
      </c>
      <c r="I970" s="6"/>
      <c r="J970" s="7">
        <f t="shared" si="46"/>
        <v>46246</v>
      </c>
      <c r="K970" s="8">
        <v>75</v>
      </c>
      <c r="L970" s="9">
        <f t="shared" si="45"/>
        <v>13</v>
      </c>
      <c r="M970" s="9" t="str" cm="1">
        <f t="array" ref="M970">_xlfn.IFS(L970&gt;=10,"HIGH",L970=0,"LOW",L970&lt;=9,"MEDIUM")</f>
        <v>HIGH</v>
      </c>
      <c r="N970" s="9" cm="1">
        <f t="array" ref="N970">_xlfn.IFS(M970="HIGH",K970*L970,M970="MEDIUM",K970*L970,M970="LOW","NA")</f>
        <v>975</v>
      </c>
      <c r="O970" s="18" t="str">
        <f t="shared" si="47"/>
        <v>still in yard</v>
      </c>
    </row>
    <row r="971" spans="1:15" x14ac:dyDescent="0.25">
      <c r="A971" s="17">
        <v>967</v>
      </c>
      <c r="B971" s="6" t="s">
        <v>1004</v>
      </c>
      <c r="C971" s="6" t="s">
        <v>37</v>
      </c>
      <c r="D971" s="6" t="s">
        <v>41</v>
      </c>
      <c r="E971" s="6" t="s">
        <v>61</v>
      </c>
      <c r="F971" s="6" t="s">
        <v>27</v>
      </c>
      <c r="G971" s="7">
        <v>46232</v>
      </c>
      <c r="H971" s="6">
        <v>5</v>
      </c>
      <c r="I971" s="6"/>
      <c r="J971" s="7">
        <f t="shared" si="46"/>
        <v>46237</v>
      </c>
      <c r="K971" s="8">
        <v>110</v>
      </c>
      <c r="L971" s="9">
        <f t="shared" si="45"/>
        <v>22</v>
      </c>
      <c r="M971" s="9" t="str" cm="1">
        <f t="array" ref="M971">_xlfn.IFS(L971&gt;=10,"HIGH",L971=0,"LOW",L971&lt;=9,"MEDIUM")</f>
        <v>HIGH</v>
      </c>
      <c r="N971" s="9" cm="1">
        <f t="array" ref="N971">_xlfn.IFS(M971="HIGH",K971*L971,M971="MEDIUM",K971*L971,M971="LOW","NA")</f>
        <v>2420</v>
      </c>
      <c r="O971" s="18" t="str">
        <f t="shared" si="47"/>
        <v>still in yard</v>
      </c>
    </row>
    <row r="972" spans="1:15" x14ac:dyDescent="0.25">
      <c r="A972" s="17">
        <v>968</v>
      </c>
      <c r="B972" s="6" t="s">
        <v>1005</v>
      </c>
      <c r="C972" s="6" t="s">
        <v>16</v>
      </c>
      <c r="D972" s="6" t="s">
        <v>41</v>
      </c>
      <c r="E972" s="6" t="s">
        <v>39</v>
      </c>
      <c r="F972" s="6" t="s">
        <v>24</v>
      </c>
      <c r="G972" s="7">
        <v>46175</v>
      </c>
      <c r="H972" s="6">
        <v>4</v>
      </c>
      <c r="I972" s="7">
        <v>46182</v>
      </c>
      <c r="J972" s="7">
        <f t="shared" si="46"/>
        <v>46179</v>
      </c>
      <c r="K972" s="8">
        <v>60</v>
      </c>
      <c r="L972" s="9">
        <f t="shared" si="45"/>
        <v>3</v>
      </c>
      <c r="M972" s="9" t="str" cm="1">
        <f t="array" ref="M972">_xlfn.IFS(L972&gt;=10,"HIGH",L972=0,"LOW",L972&lt;=9,"MEDIUM")</f>
        <v>MEDIUM</v>
      </c>
      <c r="N972" s="9" cm="1">
        <f t="array" ref="N972">_xlfn.IFS(M972="HIGH",K972*L972,M972="MEDIUM",K972*L972,M972="LOW","NA")</f>
        <v>180</v>
      </c>
      <c r="O972" s="18" t="str">
        <f t="shared" si="47"/>
        <v>cleared</v>
      </c>
    </row>
    <row r="973" spans="1:15" x14ac:dyDescent="0.25">
      <c r="A973" s="17">
        <v>969</v>
      </c>
      <c r="B973" s="6" t="s">
        <v>1006</v>
      </c>
      <c r="C973" s="6" t="s">
        <v>16</v>
      </c>
      <c r="D973" s="6" t="s">
        <v>54</v>
      </c>
      <c r="E973" s="6" t="s">
        <v>42</v>
      </c>
      <c r="F973" s="6" t="s">
        <v>14</v>
      </c>
      <c r="G973" s="7">
        <v>46245</v>
      </c>
      <c r="H973" s="6">
        <v>5</v>
      </c>
      <c r="I973" s="6"/>
      <c r="J973" s="7">
        <f t="shared" si="46"/>
        <v>46250</v>
      </c>
      <c r="K973" s="8">
        <v>130</v>
      </c>
      <c r="L973" s="9">
        <f t="shared" si="45"/>
        <v>9</v>
      </c>
      <c r="M973" s="9" t="str" cm="1">
        <f t="array" ref="M973">_xlfn.IFS(L973&gt;=10,"HIGH",L973=0,"LOW",L973&lt;=9,"MEDIUM")</f>
        <v>MEDIUM</v>
      </c>
      <c r="N973" s="9" cm="1">
        <f t="array" ref="N973">_xlfn.IFS(M973="HIGH",K973*L973,M973="MEDIUM",K973*L973,M973="LOW","NA")</f>
        <v>1170</v>
      </c>
      <c r="O973" s="18" t="str">
        <f t="shared" si="47"/>
        <v>still in yard</v>
      </c>
    </row>
    <row r="974" spans="1:15" x14ac:dyDescent="0.25">
      <c r="A974" s="17">
        <v>970</v>
      </c>
      <c r="B974" s="6" t="s">
        <v>1007</v>
      </c>
      <c r="C974" s="6" t="s">
        <v>33</v>
      </c>
      <c r="D974" s="6" t="s">
        <v>17</v>
      </c>
      <c r="E974" s="6" t="s">
        <v>39</v>
      </c>
      <c r="F974" s="6" t="s">
        <v>24</v>
      </c>
      <c r="G974" s="7">
        <v>46208</v>
      </c>
      <c r="H974" s="6">
        <v>7</v>
      </c>
      <c r="I974" s="7">
        <v>46209</v>
      </c>
      <c r="J974" s="7">
        <f t="shared" si="46"/>
        <v>46215</v>
      </c>
      <c r="K974" s="8">
        <v>75</v>
      </c>
      <c r="L974" s="9">
        <f t="shared" si="45"/>
        <v>0</v>
      </c>
      <c r="M974" s="9" t="str" cm="1">
        <f t="array" ref="M974">_xlfn.IFS(L974&gt;=10,"HIGH",L974=0,"LOW",L974&lt;=9,"MEDIUM")</f>
        <v>LOW</v>
      </c>
      <c r="N974" s="9" t="str" cm="1">
        <f t="array" ref="N974">_xlfn.IFS(M974="HIGH",K974*L974,M974="MEDIUM",K974*L974,M974="LOW","NA")</f>
        <v>NA</v>
      </c>
      <c r="O974" s="18" t="str">
        <f t="shared" si="47"/>
        <v>cleared</v>
      </c>
    </row>
    <row r="975" spans="1:15" x14ac:dyDescent="0.25">
      <c r="A975" s="17">
        <v>971</v>
      </c>
      <c r="B975" s="6" t="s">
        <v>1008</v>
      </c>
      <c r="C975" s="6" t="s">
        <v>16</v>
      </c>
      <c r="D975" s="6" t="s">
        <v>31</v>
      </c>
      <c r="E975" s="6" t="s">
        <v>18</v>
      </c>
      <c r="F975" s="6" t="s">
        <v>27</v>
      </c>
      <c r="G975" s="7">
        <v>46237</v>
      </c>
      <c r="H975" s="6">
        <v>7</v>
      </c>
      <c r="I975" s="7">
        <v>46242</v>
      </c>
      <c r="J975" s="7">
        <f t="shared" si="46"/>
        <v>46244</v>
      </c>
      <c r="K975" s="8">
        <v>75</v>
      </c>
      <c r="L975" s="9">
        <f t="shared" si="45"/>
        <v>0</v>
      </c>
      <c r="M975" s="9" t="str" cm="1">
        <f t="array" ref="M975">_xlfn.IFS(L975&gt;=10,"HIGH",L975=0,"LOW",L975&lt;=9,"MEDIUM")</f>
        <v>LOW</v>
      </c>
      <c r="N975" s="9" t="str" cm="1">
        <f t="array" ref="N975">_xlfn.IFS(M975="HIGH",K975*L975,M975="MEDIUM",K975*L975,M975="LOW","NA")</f>
        <v>NA</v>
      </c>
      <c r="O975" s="18" t="str">
        <f t="shared" si="47"/>
        <v>cleared</v>
      </c>
    </row>
    <row r="976" spans="1:15" x14ac:dyDescent="0.25">
      <c r="A976" s="17">
        <v>972</v>
      </c>
      <c r="B976" s="6" t="s">
        <v>1009</v>
      </c>
      <c r="C976" s="6" t="s">
        <v>33</v>
      </c>
      <c r="D976" s="6" t="s">
        <v>41</v>
      </c>
      <c r="E976" s="6" t="s">
        <v>18</v>
      </c>
      <c r="F976" s="6" t="s">
        <v>14</v>
      </c>
      <c r="G976" s="7">
        <v>46196</v>
      </c>
      <c r="H976" s="6">
        <v>6</v>
      </c>
      <c r="I976" s="7">
        <v>46201</v>
      </c>
      <c r="J976" s="7">
        <f t="shared" si="46"/>
        <v>46202</v>
      </c>
      <c r="K976" s="8">
        <v>110</v>
      </c>
      <c r="L976" s="9">
        <f t="shared" si="45"/>
        <v>0</v>
      </c>
      <c r="M976" s="9" t="str" cm="1">
        <f t="array" ref="M976">_xlfn.IFS(L976&gt;=10,"HIGH",L976=0,"LOW",L976&lt;=9,"MEDIUM")</f>
        <v>LOW</v>
      </c>
      <c r="N976" s="9" t="str" cm="1">
        <f t="array" ref="N976">_xlfn.IFS(M976="HIGH",K976*L976,M976="MEDIUM",K976*L976,M976="LOW","NA")</f>
        <v>NA</v>
      </c>
      <c r="O976" s="18" t="str">
        <f t="shared" si="47"/>
        <v>cleared</v>
      </c>
    </row>
    <row r="977" spans="1:15" x14ac:dyDescent="0.25">
      <c r="A977" s="17">
        <v>973</v>
      </c>
      <c r="B977" s="6" t="s">
        <v>1010</v>
      </c>
      <c r="C977" s="6" t="s">
        <v>11</v>
      </c>
      <c r="D977" s="6" t="s">
        <v>41</v>
      </c>
      <c r="E977" s="6" t="s">
        <v>44</v>
      </c>
      <c r="F977" s="6" t="s">
        <v>29</v>
      </c>
      <c r="G977" s="7">
        <v>46195</v>
      </c>
      <c r="H977" s="6">
        <v>4</v>
      </c>
      <c r="I977" s="7">
        <v>46202</v>
      </c>
      <c r="J977" s="7">
        <f t="shared" si="46"/>
        <v>46199</v>
      </c>
      <c r="K977" s="8">
        <v>180</v>
      </c>
      <c r="L977" s="9">
        <f t="shared" si="45"/>
        <v>3</v>
      </c>
      <c r="M977" s="9" t="str" cm="1">
        <f t="array" ref="M977">_xlfn.IFS(L977&gt;=10,"HIGH",L977=0,"LOW",L977&lt;=9,"MEDIUM")</f>
        <v>MEDIUM</v>
      </c>
      <c r="N977" s="9" cm="1">
        <f t="array" ref="N977">_xlfn.IFS(M977="HIGH",K977*L977,M977="MEDIUM",K977*L977,M977="LOW","NA")</f>
        <v>540</v>
      </c>
      <c r="O977" s="18" t="str">
        <f t="shared" si="47"/>
        <v>cleared</v>
      </c>
    </row>
    <row r="978" spans="1:15" x14ac:dyDescent="0.25">
      <c r="A978" s="17">
        <v>974</v>
      </c>
      <c r="B978" s="6" t="s">
        <v>1011</v>
      </c>
      <c r="C978" s="6" t="s">
        <v>33</v>
      </c>
      <c r="D978" s="6" t="s">
        <v>12</v>
      </c>
      <c r="E978" s="6" t="s">
        <v>61</v>
      </c>
      <c r="F978" s="6" t="s">
        <v>24</v>
      </c>
      <c r="G978" s="7">
        <v>46220</v>
      </c>
      <c r="H978" s="6">
        <v>4</v>
      </c>
      <c r="I978" s="7">
        <v>46231</v>
      </c>
      <c r="J978" s="7">
        <f t="shared" si="46"/>
        <v>46224</v>
      </c>
      <c r="K978" s="8">
        <v>110</v>
      </c>
      <c r="L978" s="9">
        <f t="shared" si="45"/>
        <v>7</v>
      </c>
      <c r="M978" s="9" t="str" cm="1">
        <f t="array" ref="M978">_xlfn.IFS(L978&gt;=10,"HIGH",L978=0,"LOW",L978&lt;=9,"MEDIUM")</f>
        <v>MEDIUM</v>
      </c>
      <c r="N978" s="9" cm="1">
        <f t="array" ref="N978">_xlfn.IFS(M978="HIGH",K978*L978,M978="MEDIUM",K978*L978,M978="LOW","NA")</f>
        <v>770</v>
      </c>
      <c r="O978" s="18" t="str">
        <f t="shared" si="47"/>
        <v>cleared</v>
      </c>
    </row>
    <row r="979" spans="1:15" x14ac:dyDescent="0.25">
      <c r="A979" s="17">
        <v>975</v>
      </c>
      <c r="B979" s="6" t="s">
        <v>1012</v>
      </c>
      <c r="C979" s="6" t="s">
        <v>33</v>
      </c>
      <c r="D979" s="6" t="s">
        <v>34</v>
      </c>
      <c r="E979" s="6" t="s">
        <v>35</v>
      </c>
      <c r="F979" s="6" t="s">
        <v>24</v>
      </c>
      <c r="G979" s="7">
        <v>46191</v>
      </c>
      <c r="H979" s="6">
        <v>5</v>
      </c>
      <c r="I979" s="7">
        <v>46199</v>
      </c>
      <c r="J979" s="7">
        <f t="shared" si="46"/>
        <v>46196</v>
      </c>
      <c r="K979" s="8">
        <v>75</v>
      </c>
      <c r="L979" s="9">
        <f t="shared" si="45"/>
        <v>3</v>
      </c>
      <c r="M979" s="9" t="str" cm="1">
        <f t="array" ref="M979">_xlfn.IFS(L979&gt;=10,"HIGH",L979=0,"LOW",L979&lt;=9,"MEDIUM")</f>
        <v>MEDIUM</v>
      </c>
      <c r="N979" s="9" cm="1">
        <f t="array" ref="N979">_xlfn.IFS(M979="HIGH",K979*L979,M979="MEDIUM",K979*L979,M979="LOW","NA")</f>
        <v>225</v>
      </c>
      <c r="O979" s="18" t="str">
        <f t="shared" si="47"/>
        <v>cleared</v>
      </c>
    </row>
    <row r="980" spans="1:15" x14ac:dyDescent="0.25">
      <c r="A980" s="17">
        <v>976</v>
      </c>
      <c r="B980" s="6" t="s">
        <v>1013</v>
      </c>
      <c r="C980" s="6" t="s">
        <v>33</v>
      </c>
      <c r="D980" s="6" t="s">
        <v>54</v>
      </c>
      <c r="E980" s="6" t="s">
        <v>61</v>
      </c>
      <c r="F980" s="6" t="s">
        <v>14</v>
      </c>
      <c r="G980" s="7">
        <v>46212</v>
      </c>
      <c r="H980" s="6">
        <v>5</v>
      </c>
      <c r="I980" s="6"/>
      <c r="J980" s="7">
        <f t="shared" si="46"/>
        <v>46217</v>
      </c>
      <c r="K980" s="8">
        <v>90</v>
      </c>
      <c r="L980" s="9">
        <f t="shared" si="45"/>
        <v>42</v>
      </c>
      <c r="M980" s="9" t="str" cm="1">
        <f t="array" ref="M980">_xlfn.IFS(L980&gt;=10,"HIGH",L980=0,"LOW",L980&lt;=9,"MEDIUM")</f>
        <v>HIGH</v>
      </c>
      <c r="N980" s="9" cm="1">
        <f t="array" ref="N980">_xlfn.IFS(M980="HIGH",K980*L980,M980="MEDIUM",K980*L980,M980="LOW","NA")</f>
        <v>3780</v>
      </c>
      <c r="O980" s="18" t="str">
        <f t="shared" si="47"/>
        <v>still in yard</v>
      </c>
    </row>
    <row r="981" spans="1:15" x14ac:dyDescent="0.25">
      <c r="A981" s="17">
        <v>977</v>
      </c>
      <c r="B981" s="6" t="s">
        <v>1014</v>
      </c>
      <c r="C981" s="6" t="s">
        <v>11</v>
      </c>
      <c r="D981" s="6" t="s">
        <v>49</v>
      </c>
      <c r="E981" s="6" t="s">
        <v>35</v>
      </c>
      <c r="F981" s="6" t="s">
        <v>14</v>
      </c>
      <c r="G981" s="7">
        <v>46239</v>
      </c>
      <c r="H981" s="6">
        <v>5</v>
      </c>
      <c r="I981" s="7">
        <v>46246</v>
      </c>
      <c r="J981" s="7">
        <f t="shared" si="46"/>
        <v>46244</v>
      </c>
      <c r="K981" s="8">
        <v>90</v>
      </c>
      <c r="L981" s="9">
        <f t="shared" si="45"/>
        <v>2</v>
      </c>
      <c r="M981" s="9" t="str" cm="1">
        <f t="array" ref="M981">_xlfn.IFS(L981&gt;=10,"HIGH",L981=0,"LOW",L981&lt;=9,"MEDIUM")</f>
        <v>MEDIUM</v>
      </c>
      <c r="N981" s="9" cm="1">
        <f t="array" ref="N981">_xlfn.IFS(M981="HIGH",K981*L981,M981="MEDIUM",K981*L981,M981="LOW","NA")</f>
        <v>180</v>
      </c>
      <c r="O981" s="18" t="str">
        <f t="shared" si="47"/>
        <v>cleared</v>
      </c>
    </row>
    <row r="982" spans="1:15" x14ac:dyDescent="0.25">
      <c r="A982" s="17">
        <v>978</v>
      </c>
      <c r="B982" s="6" t="s">
        <v>1015</v>
      </c>
      <c r="C982" s="6" t="s">
        <v>33</v>
      </c>
      <c r="D982" s="6" t="s">
        <v>12</v>
      </c>
      <c r="E982" s="6" t="s">
        <v>21</v>
      </c>
      <c r="F982" s="6" t="s">
        <v>29</v>
      </c>
      <c r="G982" s="7">
        <v>46184</v>
      </c>
      <c r="H982" s="6">
        <v>4</v>
      </c>
      <c r="I982" s="7">
        <v>46186</v>
      </c>
      <c r="J982" s="7">
        <f t="shared" si="46"/>
        <v>46188</v>
      </c>
      <c r="K982" s="8">
        <v>120</v>
      </c>
      <c r="L982" s="9">
        <f t="shared" si="45"/>
        <v>0</v>
      </c>
      <c r="M982" s="9" t="str" cm="1">
        <f t="array" ref="M982">_xlfn.IFS(L982&gt;=10,"HIGH",L982=0,"LOW",L982&lt;=9,"MEDIUM")</f>
        <v>LOW</v>
      </c>
      <c r="N982" s="9" t="str" cm="1">
        <f t="array" ref="N982">_xlfn.IFS(M982="HIGH",K982*L982,M982="MEDIUM",K982*L982,M982="LOW","NA")</f>
        <v>NA</v>
      </c>
      <c r="O982" s="18" t="str">
        <f t="shared" si="47"/>
        <v>cleared</v>
      </c>
    </row>
    <row r="983" spans="1:15" x14ac:dyDescent="0.25">
      <c r="A983" s="17">
        <v>979</v>
      </c>
      <c r="B983" s="6" t="s">
        <v>1016</v>
      </c>
      <c r="C983" s="6" t="s">
        <v>37</v>
      </c>
      <c r="D983" s="6" t="s">
        <v>34</v>
      </c>
      <c r="E983" s="6" t="s">
        <v>44</v>
      </c>
      <c r="F983" s="6" t="s">
        <v>27</v>
      </c>
      <c r="G983" s="7">
        <v>46190</v>
      </c>
      <c r="H983" s="6">
        <v>7</v>
      </c>
      <c r="I983" s="7">
        <v>46199</v>
      </c>
      <c r="J983" s="7">
        <f t="shared" si="46"/>
        <v>46197</v>
      </c>
      <c r="K983" s="8">
        <v>110</v>
      </c>
      <c r="L983" s="9">
        <f t="shared" si="45"/>
        <v>2</v>
      </c>
      <c r="M983" s="9" t="str" cm="1">
        <f t="array" ref="M983">_xlfn.IFS(L983&gt;=10,"HIGH",L983=0,"LOW",L983&lt;=9,"MEDIUM")</f>
        <v>MEDIUM</v>
      </c>
      <c r="N983" s="9" cm="1">
        <f t="array" ref="N983">_xlfn.IFS(M983="HIGH",K983*L983,M983="MEDIUM",K983*L983,M983="LOW","NA")</f>
        <v>220</v>
      </c>
      <c r="O983" s="18" t="str">
        <f t="shared" si="47"/>
        <v>cleared</v>
      </c>
    </row>
    <row r="984" spans="1:15" x14ac:dyDescent="0.25">
      <c r="A984" s="17">
        <v>980</v>
      </c>
      <c r="B984" s="6" t="s">
        <v>1017</v>
      </c>
      <c r="C984" s="6" t="s">
        <v>33</v>
      </c>
      <c r="D984" s="6" t="s">
        <v>31</v>
      </c>
      <c r="E984" s="6" t="s">
        <v>13</v>
      </c>
      <c r="F984" s="6" t="s">
        <v>24</v>
      </c>
      <c r="G984" s="7">
        <v>46233</v>
      </c>
      <c r="H984" s="6">
        <v>5</v>
      </c>
      <c r="I984" s="7">
        <v>46235</v>
      </c>
      <c r="J984" s="7">
        <f t="shared" si="46"/>
        <v>46238</v>
      </c>
      <c r="K984" s="8">
        <v>75</v>
      </c>
      <c r="L984" s="9">
        <f t="shared" si="45"/>
        <v>0</v>
      </c>
      <c r="M984" s="9" t="str" cm="1">
        <f t="array" ref="M984">_xlfn.IFS(L984&gt;=10,"HIGH",L984=0,"LOW",L984&lt;=9,"MEDIUM")</f>
        <v>LOW</v>
      </c>
      <c r="N984" s="9" t="str" cm="1">
        <f t="array" ref="N984">_xlfn.IFS(M984="HIGH",K984*L984,M984="MEDIUM",K984*L984,M984="LOW","NA")</f>
        <v>NA</v>
      </c>
      <c r="O984" s="18" t="str">
        <f t="shared" si="47"/>
        <v>cleared</v>
      </c>
    </row>
    <row r="985" spans="1:15" x14ac:dyDescent="0.25">
      <c r="A985" s="17">
        <v>981</v>
      </c>
      <c r="B985" s="6" t="s">
        <v>1018</v>
      </c>
      <c r="C985" s="6" t="s">
        <v>37</v>
      </c>
      <c r="D985" s="6" t="s">
        <v>41</v>
      </c>
      <c r="E985" s="6" t="s">
        <v>46</v>
      </c>
      <c r="F985" s="6" t="s">
        <v>27</v>
      </c>
      <c r="G985" s="7">
        <v>46196</v>
      </c>
      <c r="H985" s="6">
        <v>7</v>
      </c>
      <c r="I985" s="6"/>
      <c r="J985" s="7">
        <f t="shared" si="46"/>
        <v>46203</v>
      </c>
      <c r="K985" s="8">
        <v>75</v>
      </c>
      <c r="L985" s="9">
        <f t="shared" si="45"/>
        <v>56</v>
      </c>
      <c r="M985" s="9" t="str" cm="1">
        <f t="array" ref="M985">_xlfn.IFS(L985&gt;=10,"HIGH",L985=0,"LOW",L985&lt;=9,"MEDIUM")</f>
        <v>HIGH</v>
      </c>
      <c r="N985" s="9" cm="1">
        <f t="array" ref="N985">_xlfn.IFS(M985="HIGH",K985*L985,M985="MEDIUM",K985*L985,M985="LOW","NA")</f>
        <v>4200</v>
      </c>
      <c r="O985" s="18" t="str">
        <f t="shared" si="47"/>
        <v>still in yard</v>
      </c>
    </row>
    <row r="986" spans="1:15" x14ac:dyDescent="0.25">
      <c r="A986" s="17">
        <v>982</v>
      </c>
      <c r="B986" s="6" t="s">
        <v>1019</v>
      </c>
      <c r="C986" s="6" t="s">
        <v>33</v>
      </c>
      <c r="D986" s="6" t="s">
        <v>56</v>
      </c>
      <c r="E986" s="6" t="s">
        <v>13</v>
      </c>
      <c r="F986" s="6" t="s">
        <v>24</v>
      </c>
      <c r="G986" s="7">
        <v>46249</v>
      </c>
      <c r="H986" s="6">
        <v>4</v>
      </c>
      <c r="I986" s="7">
        <v>46256</v>
      </c>
      <c r="J986" s="7">
        <f t="shared" si="46"/>
        <v>46253</v>
      </c>
      <c r="K986" s="8">
        <v>75</v>
      </c>
      <c r="L986" s="9">
        <f t="shared" si="45"/>
        <v>3</v>
      </c>
      <c r="M986" s="9" t="str" cm="1">
        <f t="array" ref="M986">_xlfn.IFS(L986&gt;=10,"HIGH",L986=0,"LOW",L986&lt;=9,"MEDIUM")</f>
        <v>MEDIUM</v>
      </c>
      <c r="N986" s="9" cm="1">
        <f t="array" ref="N986">_xlfn.IFS(M986="HIGH",K986*L986,M986="MEDIUM",K986*L986,M986="LOW","NA")</f>
        <v>225</v>
      </c>
      <c r="O986" s="18" t="str">
        <f t="shared" si="47"/>
        <v>cleared</v>
      </c>
    </row>
    <row r="987" spans="1:15" x14ac:dyDescent="0.25">
      <c r="A987" s="17">
        <v>983</v>
      </c>
      <c r="B987" s="6" t="s">
        <v>1020</v>
      </c>
      <c r="C987" s="6" t="s">
        <v>33</v>
      </c>
      <c r="D987" s="6" t="s">
        <v>56</v>
      </c>
      <c r="E987" s="6" t="s">
        <v>35</v>
      </c>
      <c r="F987" s="6" t="s">
        <v>24</v>
      </c>
      <c r="G987" s="7">
        <v>46226</v>
      </c>
      <c r="H987" s="6">
        <v>5</v>
      </c>
      <c r="I987" s="7">
        <v>46233</v>
      </c>
      <c r="J987" s="7">
        <f t="shared" si="46"/>
        <v>46231</v>
      </c>
      <c r="K987" s="8">
        <v>75</v>
      </c>
      <c r="L987" s="9">
        <f t="shared" si="45"/>
        <v>2</v>
      </c>
      <c r="M987" s="9" t="str" cm="1">
        <f t="array" ref="M987">_xlfn.IFS(L987&gt;=10,"HIGH",L987=0,"LOW",L987&lt;=9,"MEDIUM")</f>
        <v>MEDIUM</v>
      </c>
      <c r="N987" s="9" cm="1">
        <f t="array" ref="N987">_xlfn.IFS(M987="HIGH",K987*L987,M987="MEDIUM",K987*L987,M987="LOW","NA")</f>
        <v>150</v>
      </c>
      <c r="O987" s="18" t="str">
        <f t="shared" si="47"/>
        <v>cleared</v>
      </c>
    </row>
    <row r="988" spans="1:15" x14ac:dyDescent="0.25">
      <c r="A988" s="17">
        <v>984</v>
      </c>
      <c r="B988" s="6" t="s">
        <v>1021</v>
      </c>
      <c r="C988" s="6" t="s">
        <v>16</v>
      </c>
      <c r="D988" s="6" t="s">
        <v>12</v>
      </c>
      <c r="E988" s="6" t="s">
        <v>18</v>
      </c>
      <c r="F988" s="6" t="s">
        <v>29</v>
      </c>
      <c r="G988" s="7">
        <v>46181</v>
      </c>
      <c r="H988" s="6">
        <v>3</v>
      </c>
      <c r="I988" s="6"/>
      <c r="J988" s="7">
        <f t="shared" si="46"/>
        <v>46184</v>
      </c>
      <c r="K988" s="8">
        <v>150</v>
      </c>
      <c r="L988" s="9">
        <f t="shared" si="45"/>
        <v>75</v>
      </c>
      <c r="M988" s="9" t="str" cm="1">
        <f t="array" ref="M988">_xlfn.IFS(L988&gt;=10,"HIGH",L988=0,"LOW",L988&lt;=9,"MEDIUM")</f>
        <v>HIGH</v>
      </c>
      <c r="N988" s="9" cm="1">
        <f t="array" ref="N988">_xlfn.IFS(M988="HIGH",K988*L988,M988="MEDIUM",K988*L988,M988="LOW","NA")</f>
        <v>11250</v>
      </c>
      <c r="O988" s="18" t="str">
        <f t="shared" si="47"/>
        <v>still in yard</v>
      </c>
    </row>
    <row r="989" spans="1:15" x14ac:dyDescent="0.25">
      <c r="A989" s="17">
        <v>985</v>
      </c>
      <c r="B989" s="6" t="s">
        <v>1022</v>
      </c>
      <c r="C989" s="6" t="s">
        <v>33</v>
      </c>
      <c r="D989" s="6" t="s">
        <v>54</v>
      </c>
      <c r="E989" s="6" t="s">
        <v>42</v>
      </c>
      <c r="F989" s="6" t="s">
        <v>29</v>
      </c>
      <c r="G989" s="7">
        <v>46225</v>
      </c>
      <c r="H989" s="6">
        <v>4</v>
      </c>
      <c r="I989" s="7">
        <v>46228</v>
      </c>
      <c r="J989" s="7">
        <f t="shared" si="46"/>
        <v>46229</v>
      </c>
      <c r="K989" s="8">
        <v>180</v>
      </c>
      <c r="L989" s="9">
        <f t="shared" si="45"/>
        <v>0</v>
      </c>
      <c r="M989" s="9" t="str" cm="1">
        <f t="array" ref="M989">_xlfn.IFS(L989&gt;=10,"HIGH",L989=0,"LOW",L989&lt;=9,"MEDIUM")</f>
        <v>LOW</v>
      </c>
      <c r="N989" s="9" t="str" cm="1">
        <f t="array" ref="N989">_xlfn.IFS(M989="HIGH",K989*L989,M989="MEDIUM",K989*L989,M989="LOW","NA")</f>
        <v>NA</v>
      </c>
      <c r="O989" s="18" t="str">
        <f t="shared" si="47"/>
        <v>cleared</v>
      </c>
    </row>
    <row r="990" spans="1:15" x14ac:dyDescent="0.25">
      <c r="A990" s="17">
        <v>986</v>
      </c>
      <c r="B990" s="6" t="s">
        <v>1023</v>
      </c>
      <c r="C990" s="6" t="s">
        <v>11</v>
      </c>
      <c r="D990" s="6" t="s">
        <v>56</v>
      </c>
      <c r="E990" s="6" t="s">
        <v>46</v>
      </c>
      <c r="F990" s="6" t="s">
        <v>14</v>
      </c>
      <c r="G990" s="7">
        <v>46226</v>
      </c>
      <c r="H990" s="6">
        <v>5</v>
      </c>
      <c r="I990" s="7">
        <v>46227</v>
      </c>
      <c r="J990" s="7">
        <f t="shared" si="46"/>
        <v>46231</v>
      </c>
      <c r="K990" s="8">
        <v>75</v>
      </c>
      <c r="L990" s="9">
        <f t="shared" si="45"/>
        <v>0</v>
      </c>
      <c r="M990" s="9" t="str" cm="1">
        <f t="array" ref="M990">_xlfn.IFS(L990&gt;=10,"HIGH",L990=0,"LOW",L990&lt;=9,"MEDIUM")</f>
        <v>LOW</v>
      </c>
      <c r="N990" s="9" t="str" cm="1">
        <f t="array" ref="N990">_xlfn.IFS(M990="HIGH",K990*L990,M990="MEDIUM",K990*L990,M990="LOW","NA")</f>
        <v>NA</v>
      </c>
      <c r="O990" s="18" t="str">
        <f t="shared" si="47"/>
        <v>cleared</v>
      </c>
    </row>
    <row r="991" spans="1:15" x14ac:dyDescent="0.25">
      <c r="A991" s="17">
        <v>987</v>
      </c>
      <c r="B991" s="6" t="s">
        <v>1024</v>
      </c>
      <c r="C991" s="6" t="s">
        <v>33</v>
      </c>
      <c r="D991" s="6" t="s">
        <v>12</v>
      </c>
      <c r="E991" s="6" t="s">
        <v>35</v>
      </c>
      <c r="F991" s="6" t="s">
        <v>14</v>
      </c>
      <c r="G991" s="7">
        <v>46240</v>
      </c>
      <c r="H991" s="6">
        <v>5</v>
      </c>
      <c r="I991" s="7">
        <v>46241</v>
      </c>
      <c r="J991" s="7">
        <f t="shared" si="46"/>
        <v>46245</v>
      </c>
      <c r="K991" s="8">
        <v>60</v>
      </c>
      <c r="L991" s="9">
        <f t="shared" si="45"/>
        <v>0</v>
      </c>
      <c r="M991" s="9" t="str" cm="1">
        <f t="array" ref="M991">_xlfn.IFS(L991&gt;=10,"HIGH",L991=0,"LOW",L991&lt;=9,"MEDIUM")</f>
        <v>LOW</v>
      </c>
      <c r="N991" s="9" t="str" cm="1">
        <f t="array" ref="N991">_xlfn.IFS(M991="HIGH",K991*L991,M991="MEDIUM",K991*L991,M991="LOW","NA")</f>
        <v>NA</v>
      </c>
      <c r="O991" s="18" t="str">
        <f t="shared" si="47"/>
        <v>cleared</v>
      </c>
    </row>
    <row r="992" spans="1:15" x14ac:dyDescent="0.25">
      <c r="A992" s="17">
        <v>988</v>
      </c>
      <c r="B992" s="6" t="s">
        <v>1025</v>
      </c>
      <c r="C992" s="6" t="s">
        <v>11</v>
      </c>
      <c r="D992" s="6" t="s">
        <v>41</v>
      </c>
      <c r="E992" s="6" t="s">
        <v>42</v>
      </c>
      <c r="F992" s="6" t="s">
        <v>27</v>
      </c>
      <c r="G992" s="7">
        <v>46209</v>
      </c>
      <c r="H992" s="6">
        <v>5</v>
      </c>
      <c r="I992" s="7">
        <v>46213</v>
      </c>
      <c r="J992" s="7">
        <f t="shared" si="46"/>
        <v>46214</v>
      </c>
      <c r="K992" s="8">
        <v>90</v>
      </c>
      <c r="L992" s="9">
        <f t="shared" si="45"/>
        <v>0</v>
      </c>
      <c r="M992" s="9" t="str" cm="1">
        <f t="array" ref="M992">_xlfn.IFS(L992&gt;=10,"HIGH",L992=0,"LOW",L992&lt;=9,"MEDIUM")</f>
        <v>LOW</v>
      </c>
      <c r="N992" s="9" t="str" cm="1">
        <f t="array" ref="N992">_xlfn.IFS(M992="HIGH",K992*L992,M992="MEDIUM",K992*L992,M992="LOW","NA")</f>
        <v>NA</v>
      </c>
      <c r="O992" s="18" t="str">
        <f t="shared" si="47"/>
        <v>cleared</v>
      </c>
    </row>
    <row r="993" spans="1:15" x14ac:dyDescent="0.25">
      <c r="A993" s="17">
        <v>989</v>
      </c>
      <c r="B993" s="6" t="s">
        <v>1026</v>
      </c>
      <c r="C993" s="6" t="s">
        <v>16</v>
      </c>
      <c r="D993" s="6" t="s">
        <v>12</v>
      </c>
      <c r="E993" s="6" t="s">
        <v>18</v>
      </c>
      <c r="F993" s="6" t="s">
        <v>27</v>
      </c>
      <c r="G993" s="7">
        <v>46201</v>
      </c>
      <c r="H993" s="6">
        <v>5</v>
      </c>
      <c r="I993" s="6"/>
      <c r="J993" s="7">
        <f t="shared" si="46"/>
        <v>46206</v>
      </c>
      <c r="K993" s="8">
        <v>110</v>
      </c>
      <c r="L993" s="9">
        <f t="shared" si="45"/>
        <v>53</v>
      </c>
      <c r="M993" s="9" t="str" cm="1">
        <f t="array" ref="M993">_xlfn.IFS(L993&gt;=10,"HIGH",L993=0,"LOW",L993&lt;=9,"MEDIUM")</f>
        <v>HIGH</v>
      </c>
      <c r="N993" s="9" cm="1">
        <f t="array" ref="N993">_xlfn.IFS(M993="HIGH",K993*L993,M993="MEDIUM",K993*L993,M993="LOW","NA")</f>
        <v>5830</v>
      </c>
      <c r="O993" s="18" t="str">
        <f t="shared" si="47"/>
        <v>still in yard</v>
      </c>
    </row>
    <row r="994" spans="1:15" x14ac:dyDescent="0.25">
      <c r="A994" s="17">
        <v>990</v>
      </c>
      <c r="B994" s="6" t="s">
        <v>1027</v>
      </c>
      <c r="C994" s="6" t="s">
        <v>11</v>
      </c>
      <c r="D994" s="6" t="s">
        <v>17</v>
      </c>
      <c r="E994" s="6" t="s">
        <v>13</v>
      </c>
      <c r="F994" s="6" t="s">
        <v>27</v>
      </c>
      <c r="G994" s="7">
        <v>46235</v>
      </c>
      <c r="H994" s="6">
        <v>5</v>
      </c>
      <c r="I994" s="6"/>
      <c r="J994" s="7">
        <f t="shared" si="46"/>
        <v>46240</v>
      </c>
      <c r="K994" s="8">
        <v>110</v>
      </c>
      <c r="L994" s="9">
        <f t="shared" si="45"/>
        <v>19</v>
      </c>
      <c r="M994" s="9" t="str" cm="1">
        <f t="array" ref="M994">_xlfn.IFS(L994&gt;=10,"HIGH",L994=0,"LOW",L994&lt;=9,"MEDIUM")</f>
        <v>HIGH</v>
      </c>
      <c r="N994" s="9" cm="1">
        <f t="array" ref="N994">_xlfn.IFS(M994="HIGH",K994*L994,M994="MEDIUM",K994*L994,M994="LOW","NA")</f>
        <v>2090</v>
      </c>
      <c r="O994" s="18" t="str">
        <f t="shared" si="47"/>
        <v>still in yard</v>
      </c>
    </row>
    <row r="995" spans="1:15" x14ac:dyDescent="0.25">
      <c r="A995" s="17">
        <v>991</v>
      </c>
      <c r="B995" s="6" t="s">
        <v>1028</v>
      </c>
      <c r="C995" s="6" t="s">
        <v>16</v>
      </c>
      <c r="D995" s="6" t="s">
        <v>26</v>
      </c>
      <c r="E995" s="6" t="s">
        <v>35</v>
      </c>
      <c r="F995" s="6" t="s">
        <v>14</v>
      </c>
      <c r="G995" s="7">
        <v>46250</v>
      </c>
      <c r="H995" s="6">
        <v>4</v>
      </c>
      <c r="I995" s="7">
        <v>46256</v>
      </c>
      <c r="J995" s="7">
        <f t="shared" si="46"/>
        <v>46254</v>
      </c>
      <c r="K995" s="8">
        <v>60</v>
      </c>
      <c r="L995" s="9">
        <f t="shared" si="45"/>
        <v>2</v>
      </c>
      <c r="M995" s="9" t="str" cm="1">
        <f t="array" ref="M995">_xlfn.IFS(L995&gt;=10,"HIGH",L995=0,"LOW",L995&lt;=9,"MEDIUM")</f>
        <v>MEDIUM</v>
      </c>
      <c r="N995" s="9" cm="1">
        <f t="array" ref="N995">_xlfn.IFS(M995="HIGH",K995*L995,M995="MEDIUM",K995*L995,M995="LOW","NA")</f>
        <v>120</v>
      </c>
      <c r="O995" s="18" t="str">
        <f t="shared" si="47"/>
        <v>cleared</v>
      </c>
    </row>
    <row r="996" spans="1:15" x14ac:dyDescent="0.25">
      <c r="A996" s="17">
        <v>992</v>
      </c>
      <c r="B996" s="6" t="s">
        <v>1029</v>
      </c>
      <c r="C996" s="6" t="s">
        <v>37</v>
      </c>
      <c r="D996" s="6" t="s">
        <v>20</v>
      </c>
      <c r="E996" s="6" t="s">
        <v>44</v>
      </c>
      <c r="F996" s="6" t="s">
        <v>24</v>
      </c>
      <c r="G996" s="7">
        <v>46247</v>
      </c>
      <c r="H996" s="6">
        <v>4</v>
      </c>
      <c r="I996" s="7">
        <v>46249</v>
      </c>
      <c r="J996" s="7">
        <f t="shared" si="46"/>
        <v>46251</v>
      </c>
      <c r="K996" s="8">
        <v>130</v>
      </c>
      <c r="L996" s="9">
        <f t="shared" si="45"/>
        <v>0</v>
      </c>
      <c r="M996" s="9" t="str" cm="1">
        <f t="array" ref="M996">_xlfn.IFS(L996&gt;=10,"HIGH",L996=0,"LOW",L996&lt;=9,"MEDIUM")</f>
        <v>LOW</v>
      </c>
      <c r="N996" s="9" t="str" cm="1">
        <f t="array" ref="N996">_xlfn.IFS(M996="HIGH",K996*L996,M996="MEDIUM",K996*L996,M996="LOW","NA")</f>
        <v>NA</v>
      </c>
      <c r="O996" s="18" t="str">
        <f t="shared" si="47"/>
        <v>cleared</v>
      </c>
    </row>
    <row r="997" spans="1:15" x14ac:dyDescent="0.25">
      <c r="A997" s="17">
        <v>993</v>
      </c>
      <c r="B997" s="6" t="s">
        <v>1030</v>
      </c>
      <c r="C997" s="6" t="s">
        <v>11</v>
      </c>
      <c r="D997" s="6" t="s">
        <v>56</v>
      </c>
      <c r="E997" s="6" t="s">
        <v>44</v>
      </c>
      <c r="F997" s="6" t="s">
        <v>27</v>
      </c>
      <c r="G997" s="7">
        <v>46189</v>
      </c>
      <c r="H997" s="6">
        <v>7</v>
      </c>
      <c r="I997" s="6"/>
      <c r="J997" s="7">
        <f t="shared" si="46"/>
        <v>46196</v>
      </c>
      <c r="K997" s="8">
        <v>130</v>
      </c>
      <c r="L997" s="9">
        <f t="shared" si="45"/>
        <v>63</v>
      </c>
      <c r="M997" s="9" t="str" cm="1">
        <f t="array" ref="M997">_xlfn.IFS(L997&gt;=10,"HIGH",L997=0,"LOW",L997&lt;=9,"MEDIUM")</f>
        <v>HIGH</v>
      </c>
      <c r="N997" s="9" cm="1">
        <f t="array" ref="N997">_xlfn.IFS(M997="HIGH",K997*L997,M997="MEDIUM",K997*L997,M997="LOW","NA")</f>
        <v>8190</v>
      </c>
      <c r="O997" s="18" t="str">
        <f t="shared" si="47"/>
        <v>still in yard</v>
      </c>
    </row>
    <row r="998" spans="1:15" x14ac:dyDescent="0.25">
      <c r="A998" s="17">
        <v>994</v>
      </c>
      <c r="B998" s="6" t="s">
        <v>1031</v>
      </c>
      <c r="C998" s="6" t="s">
        <v>33</v>
      </c>
      <c r="D998" s="6" t="s">
        <v>34</v>
      </c>
      <c r="E998" s="6" t="s">
        <v>42</v>
      </c>
      <c r="F998" s="6" t="s">
        <v>24</v>
      </c>
      <c r="G998" s="7">
        <v>46170</v>
      </c>
      <c r="H998" s="6">
        <v>4</v>
      </c>
      <c r="I998" s="6"/>
      <c r="J998" s="7">
        <f t="shared" si="46"/>
        <v>46174</v>
      </c>
      <c r="K998" s="8">
        <v>60</v>
      </c>
      <c r="L998" s="9">
        <f t="shared" si="45"/>
        <v>85</v>
      </c>
      <c r="M998" s="9" t="str" cm="1">
        <f t="array" ref="M998">_xlfn.IFS(L998&gt;=10,"HIGH",L998=0,"LOW",L998&lt;=9,"MEDIUM")</f>
        <v>HIGH</v>
      </c>
      <c r="N998" s="9" cm="1">
        <f t="array" ref="N998">_xlfn.IFS(M998="HIGH",K998*L998,M998="MEDIUM",K998*L998,M998="LOW","NA")</f>
        <v>5100</v>
      </c>
      <c r="O998" s="18" t="str">
        <f t="shared" si="47"/>
        <v>still in yard</v>
      </c>
    </row>
    <row r="999" spans="1:15" x14ac:dyDescent="0.25">
      <c r="A999" s="17">
        <v>995</v>
      </c>
      <c r="B999" s="6" t="s">
        <v>1032</v>
      </c>
      <c r="C999" s="6" t="s">
        <v>11</v>
      </c>
      <c r="D999" s="6" t="s">
        <v>54</v>
      </c>
      <c r="E999" s="6" t="s">
        <v>18</v>
      </c>
      <c r="F999" s="6" t="s">
        <v>24</v>
      </c>
      <c r="G999" s="7">
        <v>46182</v>
      </c>
      <c r="H999" s="6">
        <v>7</v>
      </c>
      <c r="I999" s="7">
        <v>46196</v>
      </c>
      <c r="J999" s="7">
        <f t="shared" si="46"/>
        <v>46189</v>
      </c>
      <c r="K999" s="8">
        <v>60</v>
      </c>
      <c r="L999" s="9">
        <f t="shared" si="45"/>
        <v>7</v>
      </c>
      <c r="M999" s="9" t="str" cm="1">
        <f t="array" ref="M999">_xlfn.IFS(L999&gt;=10,"HIGH",L999=0,"LOW",L999&lt;=9,"MEDIUM")</f>
        <v>MEDIUM</v>
      </c>
      <c r="N999" s="9" cm="1">
        <f t="array" ref="N999">_xlfn.IFS(M999="HIGH",K999*L999,M999="MEDIUM",K999*L999,M999="LOW","NA")</f>
        <v>420</v>
      </c>
      <c r="O999" s="18" t="str">
        <f t="shared" si="47"/>
        <v>cleared</v>
      </c>
    </row>
    <row r="1000" spans="1:15" x14ac:dyDescent="0.25">
      <c r="A1000" s="17">
        <v>996</v>
      </c>
      <c r="B1000" s="6" t="s">
        <v>1033</v>
      </c>
      <c r="C1000" s="6" t="s">
        <v>33</v>
      </c>
      <c r="D1000" s="6" t="s">
        <v>20</v>
      </c>
      <c r="E1000" s="6" t="s">
        <v>21</v>
      </c>
      <c r="F1000" s="6" t="s">
        <v>29</v>
      </c>
      <c r="G1000" s="7">
        <v>46243</v>
      </c>
      <c r="H1000" s="6">
        <v>3</v>
      </c>
      <c r="I1000" s="6"/>
      <c r="J1000" s="7">
        <f t="shared" si="46"/>
        <v>46246</v>
      </c>
      <c r="K1000" s="8">
        <v>120</v>
      </c>
      <c r="L1000" s="9">
        <f t="shared" si="45"/>
        <v>13</v>
      </c>
      <c r="M1000" s="9" t="str" cm="1">
        <f t="array" ref="M1000">_xlfn.IFS(L1000&gt;=10,"HIGH",L1000=0,"LOW",L1000&lt;=9,"MEDIUM")</f>
        <v>HIGH</v>
      </c>
      <c r="N1000" s="9" cm="1">
        <f t="array" ref="N1000">_xlfn.IFS(M1000="HIGH",K1000*L1000,M1000="MEDIUM",K1000*L1000,M1000="LOW","NA")</f>
        <v>1560</v>
      </c>
      <c r="O1000" s="18" t="str">
        <f t="shared" si="47"/>
        <v>still in yard</v>
      </c>
    </row>
    <row r="1001" spans="1:15" x14ac:dyDescent="0.25">
      <c r="A1001" s="17">
        <v>997</v>
      </c>
      <c r="B1001" s="6" t="s">
        <v>1034</v>
      </c>
      <c r="C1001" s="6" t="s">
        <v>16</v>
      </c>
      <c r="D1001" s="6" t="s">
        <v>26</v>
      </c>
      <c r="E1001" s="6" t="s">
        <v>23</v>
      </c>
      <c r="F1001" s="6" t="s">
        <v>14</v>
      </c>
      <c r="G1001" s="7">
        <v>46257</v>
      </c>
      <c r="H1001" s="6">
        <v>4</v>
      </c>
      <c r="I1001" s="7">
        <v>46259</v>
      </c>
      <c r="J1001" s="7">
        <f t="shared" si="46"/>
        <v>46261</v>
      </c>
      <c r="K1001" s="8">
        <v>90</v>
      </c>
      <c r="L1001" s="9">
        <f t="shared" si="45"/>
        <v>0</v>
      </c>
      <c r="M1001" s="9" t="str" cm="1">
        <f t="array" ref="M1001">_xlfn.IFS(L1001&gt;=10,"HIGH",L1001=0,"LOW",L1001&lt;=9,"MEDIUM")</f>
        <v>LOW</v>
      </c>
      <c r="N1001" s="9" t="str" cm="1">
        <f t="array" ref="N1001">_xlfn.IFS(M1001="HIGH",K1001*L1001,M1001="MEDIUM",K1001*L1001,M1001="LOW","NA")</f>
        <v>NA</v>
      </c>
      <c r="O1001" s="18" t="str">
        <f t="shared" si="47"/>
        <v>cleared</v>
      </c>
    </row>
    <row r="1002" spans="1:15" x14ac:dyDescent="0.25">
      <c r="A1002" s="17">
        <v>998</v>
      </c>
      <c r="B1002" s="6" t="s">
        <v>1035</v>
      </c>
      <c r="C1002" s="6" t="s">
        <v>11</v>
      </c>
      <c r="D1002" s="6" t="s">
        <v>20</v>
      </c>
      <c r="E1002" s="6" t="s">
        <v>42</v>
      </c>
      <c r="F1002" s="6" t="s">
        <v>14</v>
      </c>
      <c r="G1002" s="7">
        <v>46215</v>
      </c>
      <c r="H1002" s="6">
        <v>5</v>
      </c>
      <c r="I1002" s="7">
        <v>46219</v>
      </c>
      <c r="J1002" s="7">
        <f t="shared" si="46"/>
        <v>46220</v>
      </c>
      <c r="K1002" s="8">
        <v>130</v>
      </c>
      <c r="L1002" s="9">
        <f t="shared" si="45"/>
        <v>0</v>
      </c>
      <c r="M1002" s="9" t="str" cm="1">
        <f t="array" ref="M1002">_xlfn.IFS(L1002&gt;=10,"HIGH",L1002=0,"LOW",L1002&lt;=9,"MEDIUM")</f>
        <v>LOW</v>
      </c>
      <c r="N1002" s="9" t="str" cm="1">
        <f t="array" ref="N1002">_xlfn.IFS(M1002="HIGH",K1002*L1002,M1002="MEDIUM",K1002*L1002,M1002="LOW","NA")</f>
        <v>NA</v>
      </c>
      <c r="O1002" s="18" t="str">
        <f t="shared" si="47"/>
        <v>cleared</v>
      </c>
    </row>
    <row r="1003" spans="1:15" x14ac:dyDescent="0.25">
      <c r="A1003" s="17">
        <v>999</v>
      </c>
      <c r="B1003" s="6" t="s">
        <v>1036</v>
      </c>
      <c r="C1003" s="6" t="s">
        <v>37</v>
      </c>
      <c r="D1003" s="6" t="s">
        <v>26</v>
      </c>
      <c r="E1003" s="6" t="s">
        <v>13</v>
      </c>
      <c r="F1003" s="6" t="s">
        <v>14</v>
      </c>
      <c r="G1003" s="7">
        <v>46244</v>
      </c>
      <c r="H1003" s="6">
        <v>4</v>
      </c>
      <c r="I1003" s="6"/>
      <c r="J1003" s="7">
        <f t="shared" si="46"/>
        <v>46248</v>
      </c>
      <c r="K1003" s="8">
        <v>60</v>
      </c>
      <c r="L1003" s="9">
        <f t="shared" si="45"/>
        <v>11</v>
      </c>
      <c r="M1003" s="9" t="str" cm="1">
        <f t="array" ref="M1003">_xlfn.IFS(L1003&gt;=10,"HIGH",L1003=0,"LOW",L1003&lt;=9,"MEDIUM")</f>
        <v>HIGH</v>
      </c>
      <c r="N1003" s="9" cm="1">
        <f t="array" ref="N1003">_xlfn.IFS(M1003="HIGH",K1003*L1003,M1003="MEDIUM",K1003*L1003,M1003="LOW","NA")</f>
        <v>660</v>
      </c>
      <c r="O1003" s="18" t="str">
        <f t="shared" si="47"/>
        <v>still in yard</v>
      </c>
    </row>
    <row r="1004" spans="1:15" x14ac:dyDescent="0.25">
      <c r="A1004" s="17">
        <v>1000</v>
      </c>
      <c r="B1004" s="6" t="s">
        <v>1037</v>
      </c>
      <c r="C1004" s="6" t="s">
        <v>16</v>
      </c>
      <c r="D1004" s="6" t="s">
        <v>56</v>
      </c>
      <c r="E1004" s="6" t="s">
        <v>46</v>
      </c>
      <c r="F1004" s="6" t="s">
        <v>24</v>
      </c>
      <c r="G1004" s="7">
        <v>46210</v>
      </c>
      <c r="H1004" s="6">
        <v>7</v>
      </c>
      <c r="I1004" s="7">
        <v>46216</v>
      </c>
      <c r="J1004" s="7">
        <f t="shared" si="46"/>
        <v>46217</v>
      </c>
      <c r="K1004" s="8">
        <v>110</v>
      </c>
      <c r="L1004" s="9">
        <f t="shared" si="45"/>
        <v>0</v>
      </c>
      <c r="M1004" s="9" t="str" cm="1">
        <f t="array" ref="M1004">_xlfn.IFS(L1004&gt;=10,"HIGH",L1004=0,"LOW",L1004&lt;=9,"MEDIUM")</f>
        <v>LOW</v>
      </c>
      <c r="N1004" s="9" t="str" cm="1">
        <f t="array" ref="N1004">_xlfn.IFS(M1004="HIGH",K1004*L1004,M1004="MEDIUM",K1004*L1004,M1004="LOW","NA")</f>
        <v>NA</v>
      </c>
      <c r="O1004" s="18" t="str">
        <f t="shared" si="47"/>
        <v>cleared</v>
      </c>
    </row>
    <row r="1005" spans="1:15" x14ac:dyDescent="0.25">
      <c r="A1005" s="17">
        <v>1001</v>
      </c>
      <c r="B1005" s="6" t="s">
        <v>1038</v>
      </c>
      <c r="C1005" s="6" t="s">
        <v>16</v>
      </c>
      <c r="D1005" s="6" t="s">
        <v>26</v>
      </c>
      <c r="E1005" s="6" t="s">
        <v>18</v>
      </c>
      <c r="F1005" s="6" t="s">
        <v>14</v>
      </c>
      <c r="G1005" s="7">
        <v>46186</v>
      </c>
      <c r="H1005" s="6">
        <v>6</v>
      </c>
      <c r="I1005" s="7">
        <v>46189</v>
      </c>
      <c r="J1005" s="7">
        <f t="shared" si="46"/>
        <v>46192</v>
      </c>
      <c r="K1005" s="8">
        <v>130</v>
      </c>
      <c r="L1005" s="9">
        <f t="shared" si="45"/>
        <v>0</v>
      </c>
      <c r="M1005" s="9" t="str" cm="1">
        <f t="array" ref="M1005">_xlfn.IFS(L1005&gt;=10,"HIGH",L1005=0,"LOW",L1005&lt;=9,"MEDIUM")</f>
        <v>LOW</v>
      </c>
      <c r="N1005" s="9" t="str" cm="1">
        <f t="array" ref="N1005">_xlfn.IFS(M1005="HIGH",K1005*L1005,M1005="MEDIUM",K1005*L1005,M1005="LOW","NA")</f>
        <v>NA</v>
      </c>
      <c r="O1005" s="18" t="str">
        <f t="shared" si="47"/>
        <v>cleared</v>
      </c>
    </row>
    <row r="1006" spans="1:15" x14ac:dyDescent="0.25">
      <c r="A1006" s="17">
        <v>1002</v>
      </c>
      <c r="B1006" s="6" t="s">
        <v>1039</v>
      </c>
      <c r="C1006" s="6" t="s">
        <v>33</v>
      </c>
      <c r="D1006" s="6" t="s">
        <v>26</v>
      </c>
      <c r="E1006" s="6" t="s">
        <v>13</v>
      </c>
      <c r="F1006" s="6" t="s">
        <v>27</v>
      </c>
      <c r="G1006" s="7">
        <v>46252</v>
      </c>
      <c r="H1006" s="6">
        <v>7</v>
      </c>
      <c r="I1006" s="7">
        <v>46259</v>
      </c>
      <c r="J1006" s="7">
        <f t="shared" si="46"/>
        <v>46259</v>
      </c>
      <c r="K1006" s="8">
        <v>130</v>
      </c>
      <c r="L1006" s="9">
        <f t="shared" si="45"/>
        <v>0</v>
      </c>
      <c r="M1006" s="9" t="str" cm="1">
        <f t="array" ref="M1006">_xlfn.IFS(L1006&gt;=10,"HIGH",L1006=0,"LOW",L1006&lt;=9,"MEDIUM")</f>
        <v>LOW</v>
      </c>
      <c r="N1006" s="9" t="str" cm="1">
        <f t="array" ref="N1006">_xlfn.IFS(M1006="HIGH",K1006*L1006,M1006="MEDIUM",K1006*L1006,M1006="LOW","NA")</f>
        <v>NA</v>
      </c>
      <c r="O1006" s="18" t="str">
        <f t="shared" si="47"/>
        <v>cleared</v>
      </c>
    </row>
    <row r="1007" spans="1:15" x14ac:dyDescent="0.25">
      <c r="A1007" s="17">
        <v>1003</v>
      </c>
      <c r="B1007" s="6" t="s">
        <v>1040</v>
      </c>
      <c r="C1007" s="6" t="s">
        <v>33</v>
      </c>
      <c r="D1007" s="6" t="s">
        <v>54</v>
      </c>
      <c r="E1007" s="6" t="s">
        <v>23</v>
      </c>
      <c r="F1007" s="6" t="s">
        <v>14</v>
      </c>
      <c r="G1007" s="7">
        <v>46194</v>
      </c>
      <c r="H1007" s="6">
        <v>5</v>
      </c>
      <c r="I1007" s="7">
        <v>46195</v>
      </c>
      <c r="J1007" s="7">
        <f t="shared" si="46"/>
        <v>46199</v>
      </c>
      <c r="K1007" s="8">
        <v>110</v>
      </c>
      <c r="L1007" s="9">
        <f t="shared" si="45"/>
        <v>0</v>
      </c>
      <c r="M1007" s="9" t="str" cm="1">
        <f t="array" ref="M1007">_xlfn.IFS(L1007&gt;=10,"HIGH",L1007=0,"LOW",L1007&lt;=9,"MEDIUM")</f>
        <v>LOW</v>
      </c>
      <c r="N1007" s="9" t="str" cm="1">
        <f t="array" ref="N1007">_xlfn.IFS(M1007="HIGH",K1007*L1007,M1007="MEDIUM",K1007*L1007,M1007="LOW","NA")</f>
        <v>NA</v>
      </c>
      <c r="O1007" s="18" t="str">
        <f t="shared" si="47"/>
        <v>cleared</v>
      </c>
    </row>
    <row r="1008" spans="1:15" x14ac:dyDescent="0.25">
      <c r="A1008" s="17">
        <v>1004</v>
      </c>
      <c r="B1008" s="6" t="s">
        <v>1041</v>
      </c>
      <c r="C1008" s="6" t="s">
        <v>16</v>
      </c>
      <c r="D1008" s="6" t="s">
        <v>31</v>
      </c>
      <c r="E1008" s="6" t="s">
        <v>42</v>
      </c>
      <c r="F1008" s="6" t="s">
        <v>24</v>
      </c>
      <c r="G1008" s="7">
        <v>46242</v>
      </c>
      <c r="H1008" s="6">
        <v>7</v>
      </c>
      <c r="I1008" s="6"/>
      <c r="J1008" s="7">
        <f t="shared" si="46"/>
        <v>46249</v>
      </c>
      <c r="K1008" s="8">
        <v>75</v>
      </c>
      <c r="L1008" s="9">
        <f t="shared" si="45"/>
        <v>10</v>
      </c>
      <c r="M1008" s="9" t="str" cm="1">
        <f t="array" ref="M1008">_xlfn.IFS(L1008&gt;=10,"HIGH",L1008=0,"LOW",L1008&lt;=9,"MEDIUM")</f>
        <v>HIGH</v>
      </c>
      <c r="N1008" s="9" cm="1">
        <f t="array" ref="N1008">_xlfn.IFS(M1008="HIGH",K1008*L1008,M1008="MEDIUM",K1008*L1008,M1008="LOW","NA")</f>
        <v>750</v>
      </c>
      <c r="O1008" s="18" t="str">
        <f t="shared" si="47"/>
        <v>still in yard</v>
      </c>
    </row>
    <row r="1009" spans="1:15" x14ac:dyDescent="0.25">
      <c r="A1009" s="17">
        <v>1005</v>
      </c>
      <c r="B1009" s="6" t="s">
        <v>1042</v>
      </c>
      <c r="C1009" s="6" t="s">
        <v>33</v>
      </c>
      <c r="D1009" s="6" t="s">
        <v>41</v>
      </c>
      <c r="E1009" s="6" t="s">
        <v>18</v>
      </c>
      <c r="F1009" s="6" t="s">
        <v>24</v>
      </c>
      <c r="G1009" s="7">
        <v>46216</v>
      </c>
      <c r="H1009" s="6">
        <v>5</v>
      </c>
      <c r="I1009" s="6"/>
      <c r="J1009" s="7">
        <f t="shared" si="46"/>
        <v>46221</v>
      </c>
      <c r="K1009" s="8">
        <v>90</v>
      </c>
      <c r="L1009" s="9">
        <f t="shared" si="45"/>
        <v>38</v>
      </c>
      <c r="M1009" s="9" t="str" cm="1">
        <f t="array" ref="M1009">_xlfn.IFS(L1009&gt;=10,"HIGH",L1009=0,"LOW",L1009&lt;=9,"MEDIUM")</f>
        <v>HIGH</v>
      </c>
      <c r="N1009" s="9" cm="1">
        <f t="array" ref="N1009">_xlfn.IFS(M1009="HIGH",K1009*L1009,M1009="MEDIUM",K1009*L1009,M1009="LOW","NA")</f>
        <v>3420</v>
      </c>
      <c r="O1009" s="18" t="str">
        <f t="shared" si="47"/>
        <v>still in yard</v>
      </c>
    </row>
    <row r="1010" spans="1:15" x14ac:dyDescent="0.25">
      <c r="A1010" s="17">
        <v>1006</v>
      </c>
      <c r="B1010" s="6" t="s">
        <v>1043</v>
      </c>
      <c r="C1010" s="6" t="s">
        <v>11</v>
      </c>
      <c r="D1010" s="6" t="s">
        <v>20</v>
      </c>
      <c r="E1010" s="6" t="s">
        <v>46</v>
      </c>
      <c r="F1010" s="6" t="s">
        <v>14</v>
      </c>
      <c r="G1010" s="7">
        <v>46183</v>
      </c>
      <c r="H1010" s="6">
        <v>7</v>
      </c>
      <c r="I1010" s="6"/>
      <c r="J1010" s="7">
        <f t="shared" si="46"/>
        <v>46190</v>
      </c>
      <c r="K1010" s="8">
        <v>90</v>
      </c>
      <c r="L1010" s="9">
        <f t="shared" si="45"/>
        <v>69</v>
      </c>
      <c r="M1010" s="9" t="str" cm="1">
        <f t="array" ref="M1010">_xlfn.IFS(L1010&gt;=10,"HIGH",L1010=0,"LOW",L1010&lt;=9,"MEDIUM")</f>
        <v>HIGH</v>
      </c>
      <c r="N1010" s="9" cm="1">
        <f t="array" ref="N1010">_xlfn.IFS(M1010="HIGH",K1010*L1010,M1010="MEDIUM",K1010*L1010,M1010="LOW","NA")</f>
        <v>6210</v>
      </c>
      <c r="O1010" s="18" t="str">
        <f t="shared" si="47"/>
        <v>still in yard</v>
      </c>
    </row>
    <row r="1011" spans="1:15" x14ac:dyDescent="0.25">
      <c r="A1011" s="17">
        <v>1007</v>
      </c>
      <c r="B1011" s="6" t="s">
        <v>1044</v>
      </c>
      <c r="C1011" s="6" t="s">
        <v>11</v>
      </c>
      <c r="D1011" s="6" t="s">
        <v>26</v>
      </c>
      <c r="E1011" s="6" t="s">
        <v>35</v>
      </c>
      <c r="F1011" s="6" t="s">
        <v>24</v>
      </c>
      <c r="G1011" s="7">
        <v>46171</v>
      </c>
      <c r="H1011" s="6">
        <v>5</v>
      </c>
      <c r="I1011" s="6"/>
      <c r="J1011" s="7">
        <f t="shared" si="46"/>
        <v>46176</v>
      </c>
      <c r="K1011" s="8">
        <v>90</v>
      </c>
      <c r="L1011" s="9">
        <f t="shared" si="45"/>
        <v>83</v>
      </c>
      <c r="M1011" s="9" t="str" cm="1">
        <f t="array" ref="M1011">_xlfn.IFS(L1011&gt;=10,"HIGH",L1011=0,"LOW",L1011&lt;=9,"MEDIUM")</f>
        <v>HIGH</v>
      </c>
      <c r="N1011" s="9" cm="1">
        <f t="array" ref="N1011">_xlfn.IFS(M1011="HIGH",K1011*L1011,M1011="MEDIUM",K1011*L1011,M1011="LOW","NA")</f>
        <v>7470</v>
      </c>
      <c r="O1011" s="18" t="str">
        <f t="shared" si="47"/>
        <v>still in yard</v>
      </c>
    </row>
    <row r="1012" spans="1:15" x14ac:dyDescent="0.25">
      <c r="A1012" s="17">
        <v>1008</v>
      </c>
      <c r="B1012" s="6" t="s">
        <v>1045</v>
      </c>
      <c r="C1012" s="6" t="s">
        <v>37</v>
      </c>
      <c r="D1012" s="6" t="s">
        <v>56</v>
      </c>
      <c r="E1012" s="6" t="s">
        <v>35</v>
      </c>
      <c r="F1012" s="6" t="s">
        <v>14</v>
      </c>
      <c r="G1012" s="7">
        <v>46244</v>
      </c>
      <c r="H1012" s="6">
        <v>5</v>
      </c>
      <c r="I1012" s="7">
        <v>46245</v>
      </c>
      <c r="J1012" s="7">
        <f t="shared" si="46"/>
        <v>46249</v>
      </c>
      <c r="K1012" s="8">
        <v>60</v>
      </c>
      <c r="L1012" s="9">
        <f t="shared" si="45"/>
        <v>0</v>
      </c>
      <c r="M1012" s="9" t="str" cm="1">
        <f t="array" ref="M1012">_xlfn.IFS(L1012&gt;=10,"HIGH",L1012=0,"LOW",L1012&lt;=9,"MEDIUM")</f>
        <v>LOW</v>
      </c>
      <c r="N1012" s="9" t="str" cm="1">
        <f t="array" ref="N1012">_xlfn.IFS(M1012="HIGH",K1012*L1012,M1012="MEDIUM",K1012*L1012,M1012="LOW","NA")</f>
        <v>NA</v>
      </c>
      <c r="O1012" s="18" t="str">
        <f t="shared" si="47"/>
        <v>cleared</v>
      </c>
    </row>
    <row r="1013" spans="1:15" x14ac:dyDescent="0.25">
      <c r="A1013" s="17">
        <v>1009</v>
      </c>
      <c r="B1013" s="6" t="s">
        <v>1046</v>
      </c>
      <c r="C1013" s="6" t="s">
        <v>11</v>
      </c>
      <c r="D1013" s="6" t="s">
        <v>26</v>
      </c>
      <c r="E1013" s="6" t="s">
        <v>35</v>
      </c>
      <c r="F1013" s="6" t="s">
        <v>29</v>
      </c>
      <c r="G1013" s="7">
        <v>46188</v>
      </c>
      <c r="H1013" s="6">
        <v>4</v>
      </c>
      <c r="I1013" s="7">
        <v>46189</v>
      </c>
      <c r="J1013" s="7">
        <f t="shared" si="46"/>
        <v>46192</v>
      </c>
      <c r="K1013" s="8">
        <v>150</v>
      </c>
      <c r="L1013" s="9">
        <f t="shared" si="45"/>
        <v>0</v>
      </c>
      <c r="M1013" s="9" t="str" cm="1">
        <f t="array" ref="M1013">_xlfn.IFS(L1013&gt;=10,"HIGH",L1013=0,"LOW",L1013&lt;=9,"MEDIUM")</f>
        <v>LOW</v>
      </c>
      <c r="N1013" s="9" t="str" cm="1">
        <f t="array" ref="N1013">_xlfn.IFS(M1013="HIGH",K1013*L1013,M1013="MEDIUM",K1013*L1013,M1013="LOW","NA")</f>
        <v>NA</v>
      </c>
      <c r="O1013" s="18" t="str">
        <f t="shared" si="47"/>
        <v>cleared</v>
      </c>
    </row>
    <row r="1014" spans="1:15" x14ac:dyDescent="0.25">
      <c r="A1014" s="17">
        <v>1010</v>
      </c>
      <c r="B1014" s="6" t="s">
        <v>1047</v>
      </c>
      <c r="C1014" s="6" t="s">
        <v>16</v>
      </c>
      <c r="D1014" s="6" t="s">
        <v>41</v>
      </c>
      <c r="E1014" s="6" t="s">
        <v>44</v>
      </c>
      <c r="F1014" s="6" t="s">
        <v>29</v>
      </c>
      <c r="G1014" s="7">
        <v>46208</v>
      </c>
      <c r="H1014" s="6">
        <v>3</v>
      </c>
      <c r="I1014" s="7">
        <v>46211</v>
      </c>
      <c r="J1014" s="7">
        <f t="shared" si="46"/>
        <v>46211</v>
      </c>
      <c r="K1014" s="8">
        <v>120</v>
      </c>
      <c r="L1014" s="9">
        <f t="shared" si="45"/>
        <v>0</v>
      </c>
      <c r="M1014" s="9" t="str" cm="1">
        <f t="array" ref="M1014">_xlfn.IFS(L1014&gt;=10,"HIGH",L1014=0,"LOW",L1014&lt;=9,"MEDIUM")</f>
        <v>LOW</v>
      </c>
      <c r="N1014" s="9" t="str" cm="1">
        <f t="array" ref="N1014">_xlfn.IFS(M1014="HIGH",K1014*L1014,M1014="MEDIUM",K1014*L1014,M1014="LOW","NA")</f>
        <v>NA</v>
      </c>
      <c r="O1014" s="18" t="str">
        <f t="shared" si="47"/>
        <v>cleared</v>
      </c>
    </row>
    <row r="1015" spans="1:15" x14ac:dyDescent="0.25">
      <c r="A1015" s="17">
        <v>1011</v>
      </c>
      <c r="B1015" s="6" t="s">
        <v>1048</v>
      </c>
      <c r="C1015" s="6" t="s">
        <v>16</v>
      </c>
      <c r="D1015" s="6" t="s">
        <v>26</v>
      </c>
      <c r="E1015" s="6" t="s">
        <v>44</v>
      </c>
      <c r="F1015" s="6" t="s">
        <v>29</v>
      </c>
      <c r="G1015" s="7">
        <v>46213</v>
      </c>
      <c r="H1015" s="6">
        <v>3</v>
      </c>
      <c r="I1015" s="7">
        <v>46216</v>
      </c>
      <c r="J1015" s="7">
        <f t="shared" si="46"/>
        <v>46216</v>
      </c>
      <c r="K1015" s="8">
        <v>180</v>
      </c>
      <c r="L1015" s="9">
        <f t="shared" si="45"/>
        <v>0</v>
      </c>
      <c r="M1015" s="9" t="str" cm="1">
        <f t="array" ref="M1015">_xlfn.IFS(L1015&gt;=10,"HIGH",L1015=0,"LOW",L1015&lt;=9,"MEDIUM")</f>
        <v>LOW</v>
      </c>
      <c r="N1015" s="9" t="str" cm="1">
        <f t="array" ref="N1015">_xlfn.IFS(M1015="HIGH",K1015*L1015,M1015="MEDIUM",K1015*L1015,M1015="LOW","NA")</f>
        <v>NA</v>
      </c>
      <c r="O1015" s="18" t="str">
        <f t="shared" si="47"/>
        <v>cleared</v>
      </c>
    </row>
    <row r="1016" spans="1:15" x14ac:dyDescent="0.25">
      <c r="A1016" s="17">
        <v>1012</v>
      </c>
      <c r="B1016" s="6" t="s">
        <v>1049</v>
      </c>
      <c r="C1016" s="6" t="s">
        <v>33</v>
      </c>
      <c r="D1016" s="6" t="s">
        <v>26</v>
      </c>
      <c r="E1016" s="6" t="s">
        <v>42</v>
      </c>
      <c r="F1016" s="6" t="s">
        <v>14</v>
      </c>
      <c r="G1016" s="7">
        <v>46254</v>
      </c>
      <c r="H1016" s="6">
        <v>6</v>
      </c>
      <c r="I1016" s="7">
        <v>46259</v>
      </c>
      <c r="J1016" s="7">
        <f t="shared" si="46"/>
        <v>46260</v>
      </c>
      <c r="K1016" s="8">
        <v>60</v>
      </c>
      <c r="L1016" s="9">
        <f t="shared" si="45"/>
        <v>0</v>
      </c>
      <c r="M1016" s="9" t="str" cm="1">
        <f t="array" ref="M1016">_xlfn.IFS(L1016&gt;=10,"HIGH",L1016=0,"LOW",L1016&lt;=9,"MEDIUM")</f>
        <v>LOW</v>
      </c>
      <c r="N1016" s="9" t="str" cm="1">
        <f t="array" ref="N1016">_xlfn.IFS(M1016="HIGH",K1016*L1016,M1016="MEDIUM",K1016*L1016,M1016="LOW","NA")</f>
        <v>NA</v>
      </c>
      <c r="O1016" s="18" t="str">
        <f t="shared" si="47"/>
        <v>cleared</v>
      </c>
    </row>
    <row r="1017" spans="1:15" x14ac:dyDescent="0.25">
      <c r="A1017" s="17">
        <v>1013</v>
      </c>
      <c r="B1017" s="6" t="s">
        <v>1050</v>
      </c>
      <c r="C1017" s="6" t="s">
        <v>37</v>
      </c>
      <c r="D1017" s="6" t="s">
        <v>54</v>
      </c>
      <c r="E1017" s="6" t="s">
        <v>39</v>
      </c>
      <c r="F1017" s="6" t="s">
        <v>14</v>
      </c>
      <c r="G1017" s="7">
        <v>46172</v>
      </c>
      <c r="H1017" s="6">
        <v>4</v>
      </c>
      <c r="I1017" s="7">
        <v>46179</v>
      </c>
      <c r="J1017" s="7">
        <f t="shared" si="46"/>
        <v>46176</v>
      </c>
      <c r="K1017" s="8">
        <v>60</v>
      </c>
      <c r="L1017" s="9">
        <f t="shared" si="45"/>
        <v>3</v>
      </c>
      <c r="M1017" s="9" t="str" cm="1">
        <f t="array" ref="M1017">_xlfn.IFS(L1017&gt;=10,"HIGH",L1017=0,"LOW",L1017&lt;=9,"MEDIUM")</f>
        <v>MEDIUM</v>
      </c>
      <c r="N1017" s="9" cm="1">
        <f t="array" ref="N1017">_xlfn.IFS(M1017="HIGH",K1017*L1017,M1017="MEDIUM",K1017*L1017,M1017="LOW","NA")</f>
        <v>180</v>
      </c>
      <c r="O1017" s="18" t="str">
        <f t="shared" si="47"/>
        <v>cleared</v>
      </c>
    </row>
    <row r="1018" spans="1:15" x14ac:dyDescent="0.25">
      <c r="A1018" s="17">
        <v>1014</v>
      </c>
      <c r="B1018" s="6" t="s">
        <v>1051</v>
      </c>
      <c r="C1018" s="6" t="s">
        <v>11</v>
      </c>
      <c r="D1018" s="6" t="s">
        <v>41</v>
      </c>
      <c r="E1018" s="6" t="s">
        <v>13</v>
      </c>
      <c r="F1018" s="6" t="s">
        <v>24</v>
      </c>
      <c r="G1018" s="7">
        <v>46172</v>
      </c>
      <c r="H1018" s="6">
        <v>5</v>
      </c>
      <c r="I1018" s="6"/>
      <c r="J1018" s="7">
        <f t="shared" si="46"/>
        <v>46177</v>
      </c>
      <c r="K1018" s="8">
        <v>130</v>
      </c>
      <c r="L1018" s="9">
        <f t="shared" si="45"/>
        <v>82</v>
      </c>
      <c r="M1018" s="9" t="str" cm="1">
        <f t="array" ref="M1018">_xlfn.IFS(L1018&gt;=10,"HIGH",L1018=0,"LOW",L1018&lt;=9,"MEDIUM")</f>
        <v>HIGH</v>
      </c>
      <c r="N1018" s="9" cm="1">
        <f t="array" ref="N1018">_xlfn.IFS(M1018="HIGH",K1018*L1018,M1018="MEDIUM",K1018*L1018,M1018="LOW","NA")</f>
        <v>10660</v>
      </c>
      <c r="O1018" s="18" t="str">
        <f t="shared" si="47"/>
        <v>still in yard</v>
      </c>
    </row>
    <row r="1019" spans="1:15" x14ac:dyDescent="0.25">
      <c r="A1019" s="17">
        <v>1015</v>
      </c>
      <c r="B1019" s="6" t="s">
        <v>1052</v>
      </c>
      <c r="C1019" s="6" t="s">
        <v>11</v>
      </c>
      <c r="D1019" s="6" t="s">
        <v>54</v>
      </c>
      <c r="E1019" s="6" t="s">
        <v>42</v>
      </c>
      <c r="F1019" s="6" t="s">
        <v>14</v>
      </c>
      <c r="G1019" s="7">
        <v>46187</v>
      </c>
      <c r="H1019" s="6">
        <v>7</v>
      </c>
      <c r="I1019" s="7">
        <v>46199</v>
      </c>
      <c r="J1019" s="7">
        <f t="shared" si="46"/>
        <v>46194</v>
      </c>
      <c r="K1019" s="8">
        <v>60</v>
      </c>
      <c r="L1019" s="9">
        <f t="shared" si="45"/>
        <v>5</v>
      </c>
      <c r="M1019" s="9" t="str" cm="1">
        <f t="array" ref="M1019">_xlfn.IFS(L1019&gt;=10,"HIGH",L1019=0,"LOW",L1019&lt;=9,"MEDIUM")</f>
        <v>MEDIUM</v>
      </c>
      <c r="N1019" s="9" cm="1">
        <f t="array" ref="N1019">_xlfn.IFS(M1019="HIGH",K1019*L1019,M1019="MEDIUM",K1019*L1019,M1019="LOW","NA")</f>
        <v>300</v>
      </c>
      <c r="O1019" s="18" t="str">
        <f t="shared" si="47"/>
        <v>cleared</v>
      </c>
    </row>
    <row r="1020" spans="1:15" x14ac:dyDescent="0.25">
      <c r="A1020" s="17">
        <v>1016</v>
      </c>
      <c r="B1020" s="6" t="s">
        <v>1053</v>
      </c>
      <c r="C1020" s="6" t="s">
        <v>11</v>
      </c>
      <c r="D1020" s="6" t="s">
        <v>12</v>
      </c>
      <c r="E1020" s="6" t="s">
        <v>39</v>
      </c>
      <c r="F1020" s="6" t="s">
        <v>27</v>
      </c>
      <c r="G1020" s="7">
        <v>46199</v>
      </c>
      <c r="H1020" s="6">
        <v>4</v>
      </c>
      <c r="I1020" s="7">
        <v>46204</v>
      </c>
      <c r="J1020" s="7">
        <f t="shared" si="46"/>
        <v>46203</v>
      </c>
      <c r="K1020" s="8">
        <v>75</v>
      </c>
      <c r="L1020" s="9">
        <f t="shared" si="45"/>
        <v>1</v>
      </c>
      <c r="M1020" s="9" t="str" cm="1">
        <f t="array" ref="M1020">_xlfn.IFS(L1020&gt;=10,"HIGH",L1020=0,"LOW",L1020&lt;=9,"MEDIUM")</f>
        <v>MEDIUM</v>
      </c>
      <c r="N1020" s="9" cm="1">
        <f t="array" ref="N1020">_xlfn.IFS(M1020="HIGH",K1020*L1020,M1020="MEDIUM",K1020*L1020,M1020="LOW","NA")</f>
        <v>75</v>
      </c>
      <c r="O1020" s="18" t="str">
        <f t="shared" si="47"/>
        <v>cleared</v>
      </c>
    </row>
    <row r="1021" spans="1:15" x14ac:dyDescent="0.25">
      <c r="A1021" s="17">
        <v>1017</v>
      </c>
      <c r="B1021" s="6" t="s">
        <v>1054</v>
      </c>
      <c r="C1021" s="6" t="s">
        <v>16</v>
      </c>
      <c r="D1021" s="6" t="s">
        <v>56</v>
      </c>
      <c r="E1021" s="6" t="s">
        <v>21</v>
      </c>
      <c r="F1021" s="6" t="s">
        <v>29</v>
      </c>
      <c r="G1021" s="7">
        <v>46212</v>
      </c>
      <c r="H1021" s="6">
        <v>4</v>
      </c>
      <c r="I1021" s="7">
        <v>46213</v>
      </c>
      <c r="J1021" s="7">
        <f t="shared" si="46"/>
        <v>46216</v>
      </c>
      <c r="K1021" s="8">
        <v>150</v>
      </c>
      <c r="L1021" s="9">
        <f t="shared" si="45"/>
        <v>0</v>
      </c>
      <c r="M1021" s="9" t="str" cm="1">
        <f t="array" ref="M1021">_xlfn.IFS(L1021&gt;=10,"HIGH",L1021=0,"LOW",L1021&lt;=9,"MEDIUM")</f>
        <v>LOW</v>
      </c>
      <c r="N1021" s="9" t="str" cm="1">
        <f t="array" ref="N1021">_xlfn.IFS(M1021="HIGH",K1021*L1021,M1021="MEDIUM",K1021*L1021,M1021="LOW","NA")</f>
        <v>NA</v>
      </c>
      <c r="O1021" s="18" t="str">
        <f t="shared" si="47"/>
        <v>cleared</v>
      </c>
    </row>
    <row r="1022" spans="1:15" x14ac:dyDescent="0.25">
      <c r="A1022" s="17">
        <v>1018</v>
      </c>
      <c r="B1022" s="6" t="s">
        <v>1055</v>
      </c>
      <c r="C1022" s="6" t="s">
        <v>37</v>
      </c>
      <c r="D1022" s="6" t="s">
        <v>17</v>
      </c>
      <c r="E1022" s="6" t="s">
        <v>23</v>
      </c>
      <c r="F1022" s="6" t="s">
        <v>29</v>
      </c>
      <c r="G1022" s="7">
        <v>46189</v>
      </c>
      <c r="H1022" s="6">
        <v>4</v>
      </c>
      <c r="I1022" s="6"/>
      <c r="J1022" s="7">
        <f t="shared" si="46"/>
        <v>46193</v>
      </c>
      <c r="K1022" s="8">
        <v>150</v>
      </c>
      <c r="L1022" s="9">
        <f t="shared" si="45"/>
        <v>66</v>
      </c>
      <c r="M1022" s="9" t="str" cm="1">
        <f t="array" ref="M1022">_xlfn.IFS(L1022&gt;=10,"HIGH",L1022=0,"LOW",L1022&lt;=9,"MEDIUM")</f>
        <v>HIGH</v>
      </c>
      <c r="N1022" s="9" cm="1">
        <f t="array" ref="N1022">_xlfn.IFS(M1022="HIGH",K1022*L1022,M1022="MEDIUM",K1022*L1022,M1022="LOW","NA")</f>
        <v>9900</v>
      </c>
      <c r="O1022" s="18" t="str">
        <f t="shared" si="47"/>
        <v>still in yard</v>
      </c>
    </row>
    <row r="1023" spans="1:15" x14ac:dyDescent="0.25">
      <c r="A1023" s="17">
        <v>1019</v>
      </c>
      <c r="B1023" s="6" t="s">
        <v>1056</v>
      </c>
      <c r="C1023" s="6" t="s">
        <v>37</v>
      </c>
      <c r="D1023" s="6" t="s">
        <v>41</v>
      </c>
      <c r="E1023" s="6" t="s">
        <v>21</v>
      </c>
      <c r="F1023" s="6" t="s">
        <v>24</v>
      </c>
      <c r="G1023" s="7">
        <v>46205</v>
      </c>
      <c r="H1023" s="6">
        <v>5</v>
      </c>
      <c r="I1023" s="7">
        <v>46210</v>
      </c>
      <c r="J1023" s="7">
        <f t="shared" si="46"/>
        <v>46210</v>
      </c>
      <c r="K1023" s="8">
        <v>110</v>
      </c>
      <c r="L1023" s="9">
        <f t="shared" si="45"/>
        <v>0</v>
      </c>
      <c r="M1023" s="9" t="str" cm="1">
        <f t="array" ref="M1023">_xlfn.IFS(L1023&gt;=10,"HIGH",L1023=0,"LOW",L1023&lt;=9,"MEDIUM")</f>
        <v>LOW</v>
      </c>
      <c r="N1023" s="9" t="str" cm="1">
        <f t="array" ref="N1023">_xlfn.IFS(M1023="HIGH",K1023*L1023,M1023="MEDIUM",K1023*L1023,M1023="LOW","NA")</f>
        <v>NA</v>
      </c>
      <c r="O1023" s="18" t="str">
        <f t="shared" si="47"/>
        <v>cleared</v>
      </c>
    </row>
    <row r="1024" spans="1:15" x14ac:dyDescent="0.25">
      <c r="A1024" s="17">
        <v>1020</v>
      </c>
      <c r="B1024" s="6" t="s">
        <v>1057</v>
      </c>
      <c r="C1024" s="6" t="s">
        <v>11</v>
      </c>
      <c r="D1024" s="6" t="s">
        <v>49</v>
      </c>
      <c r="E1024" s="6" t="s">
        <v>42</v>
      </c>
      <c r="F1024" s="6" t="s">
        <v>24</v>
      </c>
      <c r="G1024" s="7">
        <v>46197</v>
      </c>
      <c r="H1024" s="6">
        <v>4</v>
      </c>
      <c r="I1024" s="6"/>
      <c r="J1024" s="7">
        <f t="shared" si="46"/>
        <v>46201</v>
      </c>
      <c r="K1024" s="8">
        <v>90</v>
      </c>
      <c r="L1024" s="9">
        <f t="shared" si="45"/>
        <v>58</v>
      </c>
      <c r="M1024" s="9" t="str" cm="1">
        <f t="array" ref="M1024">_xlfn.IFS(L1024&gt;=10,"HIGH",L1024=0,"LOW",L1024&lt;=9,"MEDIUM")</f>
        <v>HIGH</v>
      </c>
      <c r="N1024" s="9" cm="1">
        <f t="array" ref="N1024">_xlfn.IFS(M1024="HIGH",K1024*L1024,M1024="MEDIUM",K1024*L1024,M1024="LOW","NA")</f>
        <v>5220</v>
      </c>
      <c r="O1024" s="18" t="str">
        <f t="shared" si="47"/>
        <v>still in yard</v>
      </c>
    </row>
    <row r="1025" spans="1:15" x14ac:dyDescent="0.25">
      <c r="A1025" s="17">
        <v>1021</v>
      </c>
      <c r="B1025" s="6" t="s">
        <v>1058</v>
      </c>
      <c r="C1025" s="6" t="s">
        <v>16</v>
      </c>
      <c r="D1025" s="6" t="s">
        <v>56</v>
      </c>
      <c r="E1025" s="6" t="s">
        <v>42</v>
      </c>
      <c r="F1025" s="6" t="s">
        <v>29</v>
      </c>
      <c r="G1025" s="7">
        <v>46239</v>
      </c>
      <c r="H1025" s="6">
        <v>4</v>
      </c>
      <c r="I1025" s="6"/>
      <c r="J1025" s="7">
        <f t="shared" si="46"/>
        <v>46243</v>
      </c>
      <c r="K1025" s="8">
        <v>180</v>
      </c>
      <c r="L1025" s="9">
        <f t="shared" si="45"/>
        <v>16</v>
      </c>
      <c r="M1025" s="9" t="str" cm="1">
        <f t="array" ref="M1025">_xlfn.IFS(L1025&gt;=10,"HIGH",L1025=0,"LOW",L1025&lt;=9,"MEDIUM")</f>
        <v>HIGH</v>
      </c>
      <c r="N1025" s="9" cm="1">
        <f t="array" ref="N1025">_xlfn.IFS(M1025="HIGH",K1025*L1025,M1025="MEDIUM",K1025*L1025,M1025="LOW","NA")</f>
        <v>2880</v>
      </c>
      <c r="O1025" s="18" t="str">
        <f t="shared" si="47"/>
        <v>still in yard</v>
      </c>
    </row>
    <row r="1026" spans="1:15" x14ac:dyDescent="0.25">
      <c r="A1026" s="17">
        <v>1022</v>
      </c>
      <c r="B1026" s="6" t="s">
        <v>1059</v>
      </c>
      <c r="C1026" s="6" t="s">
        <v>33</v>
      </c>
      <c r="D1026" s="6" t="s">
        <v>41</v>
      </c>
      <c r="E1026" s="6" t="s">
        <v>18</v>
      </c>
      <c r="F1026" s="6" t="s">
        <v>27</v>
      </c>
      <c r="G1026" s="7">
        <v>46249</v>
      </c>
      <c r="H1026" s="6">
        <v>6</v>
      </c>
      <c r="I1026" s="6"/>
      <c r="J1026" s="7">
        <f t="shared" si="46"/>
        <v>46255</v>
      </c>
      <c r="K1026" s="8">
        <v>90</v>
      </c>
      <c r="L1026" s="9">
        <f t="shared" si="45"/>
        <v>4</v>
      </c>
      <c r="M1026" s="9" t="str" cm="1">
        <f t="array" ref="M1026">_xlfn.IFS(L1026&gt;=10,"HIGH",L1026=0,"LOW",L1026&lt;=9,"MEDIUM")</f>
        <v>MEDIUM</v>
      </c>
      <c r="N1026" s="9" cm="1">
        <f t="array" ref="N1026">_xlfn.IFS(M1026="HIGH",K1026*L1026,M1026="MEDIUM",K1026*L1026,M1026="LOW","NA")</f>
        <v>360</v>
      </c>
      <c r="O1026" s="18" t="str">
        <f t="shared" si="47"/>
        <v>still in yard</v>
      </c>
    </row>
    <row r="1027" spans="1:15" x14ac:dyDescent="0.25">
      <c r="A1027" s="17">
        <v>1023</v>
      </c>
      <c r="B1027" s="6" t="s">
        <v>1060</v>
      </c>
      <c r="C1027" s="6" t="s">
        <v>11</v>
      </c>
      <c r="D1027" s="6" t="s">
        <v>56</v>
      </c>
      <c r="E1027" s="6" t="s">
        <v>21</v>
      </c>
      <c r="F1027" s="6" t="s">
        <v>29</v>
      </c>
      <c r="G1027" s="7">
        <v>46195</v>
      </c>
      <c r="H1027" s="6">
        <v>3</v>
      </c>
      <c r="I1027" s="7">
        <v>46200</v>
      </c>
      <c r="J1027" s="7">
        <f t="shared" si="46"/>
        <v>46198</v>
      </c>
      <c r="K1027" s="8">
        <v>180</v>
      </c>
      <c r="L1027" s="9">
        <f t="shared" si="45"/>
        <v>2</v>
      </c>
      <c r="M1027" s="9" t="str" cm="1">
        <f t="array" ref="M1027">_xlfn.IFS(L1027&gt;=10,"HIGH",L1027=0,"LOW",L1027&lt;=9,"MEDIUM")</f>
        <v>MEDIUM</v>
      </c>
      <c r="N1027" s="9" cm="1">
        <f t="array" ref="N1027">_xlfn.IFS(M1027="HIGH",K1027*L1027,M1027="MEDIUM",K1027*L1027,M1027="LOW","NA")</f>
        <v>360</v>
      </c>
      <c r="O1027" s="18" t="str">
        <f t="shared" si="47"/>
        <v>cleared</v>
      </c>
    </row>
    <row r="1028" spans="1:15" x14ac:dyDescent="0.25">
      <c r="A1028" s="17">
        <v>1024</v>
      </c>
      <c r="B1028" s="6" t="s">
        <v>1061</v>
      </c>
      <c r="C1028" s="6" t="s">
        <v>16</v>
      </c>
      <c r="D1028" s="6" t="s">
        <v>34</v>
      </c>
      <c r="E1028" s="6" t="s">
        <v>13</v>
      </c>
      <c r="F1028" s="6" t="s">
        <v>14</v>
      </c>
      <c r="G1028" s="7">
        <v>46226</v>
      </c>
      <c r="H1028" s="6">
        <v>7</v>
      </c>
      <c r="I1028" s="7">
        <v>46231</v>
      </c>
      <c r="J1028" s="7">
        <f t="shared" si="46"/>
        <v>46233</v>
      </c>
      <c r="K1028" s="8">
        <v>75</v>
      </c>
      <c r="L1028" s="9">
        <f t="shared" si="45"/>
        <v>0</v>
      </c>
      <c r="M1028" s="9" t="str" cm="1">
        <f t="array" ref="M1028">_xlfn.IFS(L1028&gt;=10,"HIGH",L1028=0,"LOW",L1028&lt;=9,"MEDIUM")</f>
        <v>LOW</v>
      </c>
      <c r="N1028" s="9" t="str" cm="1">
        <f t="array" ref="N1028">_xlfn.IFS(M1028="HIGH",K1028*L1028,M1028="MEDIUM",K1028*L1028,M1028="LOW","NA")</f>
        <v>NA</v>
      </c>
      <c r="O1028" s="18" t="str">
        <f t="shared" si="47"/>
        <v>cleared</v>
      </c>
    </row>
    <row r="1029" spans="1:15" x14ac:dyDescent="0.25">
      <c r="A1029" s="17">
        <v>1025</v>
      </c>
      <c r="B1029" s="6" t="s">
        <v>1062</v>
      </c>
      <c r="C1029" s="6" t="s">
        <v>11</v>
      </c>
      <c r="D1029" s="6" t="s">
        <v>41</v>
      </c>
      <c r="E1029" s="6" t="s">
        <v>42</v>
      </c>
      <c r="F1029" s="6" t="s">
        <v>27</v>
      </c>
      <c r="G1029" s="7">
        <v>46181</v>
      </c>
      <c r="H1029" s="6">
        <v>5</v>
      </c>
      <c r="I1029" s="6"/>
      <c r="J1029" s="7">
        <f t="shared" si="46"/>
        <v>46186</v>
      </c>
      <c r="K1029" s="8">
        <v>130</v>
      </c>
      <c r="L1029" s="9">
        <f t="shared" ref="L1029:L1092" si="48">MAX(0, IF(I1029="", $C$2-J1029, I1029-J1029))</f>
        <v>73</v>
      </c>
      <c r="M1029" s="9" t="str" cm="1">
        <f t="array" ref="M1029">_xlfn.IFS(L1029&gt;=10,"HIGH",L1029=0,"LOW",L1029&lt;=9,"MEDIUM")</f>
        <v>HIGH</v>
      </c>
      <c r="N1029" s="9" cm="1">
        <f t="array" ref="N1029">_xlfn.IFS(M1029="HIGH",K1029*L1029,M1029="MEDIUM",K1029*L1029,M1029="LOW","NA")</f>
        <v>9490</v>
      </c>
      <c r="O1029" s="18" t="str">
        <f t="shared" si="47"/>
        <v>still in yard</v>
      </c>
    </row>
    <row r="1030" spans="1:15" x14ac:dyDescent="0.25">
      <c r="A1030" s="17">
        <v>1026</v>
      </c>
      <c r="B1030" s="6" t="s">
        <v>1063</v>
      </c>
      <c r="C1030" s="6" t="s">
        <v>37</v>
      </c>
      <c r="D1030" s="6" t="s">
        <v>31</v>
      </c>
      <c r="E1030" s="6" t="s">
        <v>44</v>
      </c>
      <c r="F1030" s="6" t="s">
        <v>29</v>
      </c>
      <c r="G1030" s="7">
        <v>46211</v>
      </c>
      <c r="H1030" s="6">
        <v>4</v>
      </c>
      <c r="I1030" s="7">
        <v>46213</v>
      </c>
      <c r="J1030" s="7">
        <f t="shared" ref="J1030:J1093" si="49">G1030+H1030</f>
        <v>46215</v>
      </c>
      <c r="K1030" s="8">
        <v>180</v>
      </c>
      <c r="L1030" s="9">
        <f t="shared" si="48"/>
        <v>0</v>
      </c>
      <c r="M1030" s="9" t="str" cm="1">
        <f t="array" ref="M1030">_xlfn.IFS(L1030&gt;=10,"HIGH",L1030=0,"LOW",L1030&lt;=9,"MEDIUM")</f>
        <v>LOW</v>
      </c>
      <c r="N1030" s="9" t="str" cm="1">
        <f t="array" ref="N1030">_xlfn.IFS(M1030="HIGH",K1030*L1030,M1030="MEDIUM",K1030*L1030,M1030="LOW","NA")</f>
        <v>NA</v>
      </c>
      <c r="O1030" s="18" t="str">
        <f t="shared" ref="O1030:O1093" si="50">IF(I1030="","still in yard","cleared")</f>
        <v>cleared</v>
      </c>
    </row>
    <row r="1031" spans="1:15" x14ac:dyDescent="0.25">
      <c r="A1031" s="17">
        <v>1027</v>
      </c>
      <c r="B1031" s="6" t="s">
        <v>1064</v>
      </c>
      <c r="C1031" s="6" t="s">
        <v>11</v>
      </c>
      <c r="D1031" s="6" t="s">
        <v>41</v>
      </c>
      <c r="E1031" s="6" t="s">
        <v>13</v>
      </c>
      <c r="F1031" s="6" t="s">
        <v>29</v>
      </c>
      <c r="G1031" s="7">
        <v>46250</v>
      </c>
      <c r="H1031" s="6">
        <v>3</v>
      </c>
      <c r="I1031" s="7">
        <v>46251</v>
      </c>
      <c r="J1031" s="7">
        <f t="shared" si="49"/>
        <v>46253</v>
      </c>
      <c r="K1031" s="8">
        <v>150</v>
      </c>
      <c r="L1031" s="9">
        <f t="shared" si="48"/>
        <v>0</v>
      </c>
      <c r="M1031" s="9" t="str" cm="1">
        <f t="array" ref="M1031">_xlfn.IFS(L1031&gt;=10,"HIGH",L1031=0,"LOW",L1031&lt;=9,"MEDIUM")</f>
        <v>LOW</v>
      </c>
      <c r="N1031" s="9" t="str" cm="1">
        <f t="array" ref="N1031">_xlfn.IFS(M1031="HIGH",K1031*L1031,M1031="MEDIUM",K1031*L1031,M1031="LOW","NA")</f>
        <v>NA</v>
      </c>
      <c r="O1031" s="18" t="str">
        <f t="shared" si="50"/>
        <v>cleared</v>
      </c>
    </row>
    <row r="1032" spans="1:15" x14ac:dyDescent="0.25">
      <c r="A1032" s="17">
        <v>1028</v>
      </c>
      <c r="B1032" s="6" t="s">
        <v>1065</v>
      </c>
      <c r="C1032" s="6" t="s">
        <v>11</v>
      </c>
      <c r="D1032" s="6" t="s">
        <v>20</v>
      </c>
      <c r="E1032" s="6" t="s">
        <v>44</v>
      </c>
      <c r="F1032" s="6" t="s">
        <v>24</v>
      </c>
      <c r="G1032" s="7">
        <v>46256</v>
      </c>
      <c r="H1032" s="6">
        <v>7</v>
      </c>
      <c r="I1032" s="7">
        <v>46258</v>
      </c>
      <c r="J1032" s="7">
        <f t="shared" si="49"/>
        <v>46263</v>
      </c>
      <c r="K1032" s="8">
        <v>90</v>
      </c>
      <c r="L1032" s="9">
        <f t="shared" si="48"/>
        <v>0</v>
      </c>
      <c r="M1032" s="9" t="str" cm="1">
        <f t="array" ref="M1032">_xlfn.IFS(L1032&gt;=10,"HIGH",L1032=0,"LOW",L1032&lt;=9,"MEDIUM")</f>
        <v>LOW</v>
      </c>
      <c r="N1032" s="9" t="str" cm="1">
        <f t="array" ref="N1032">_xlfn.IFS(M1032="HIGH",K1032*L1032,M1032="MEDIUM",K1032*L1032,M1032="LOW","NA")</f>
        <v>NA</v>
      </c>
      <c r="O1032" s="18" t="str">
        <f t="shared" si="50"/>
        <v>cleared</v>
      </c>
    </row>
    <row r="1033" spans="1:15" x14ac:dyDescent="0.25">
      <c r="A1033" s="17">
        <v>1029</v>
      </c>
      <c r="B1033" s="6" t="s">
        <v>1066</v>
      </c>
      <c r="C1033" s="6" t="s">
        <v>11</v>
      </c>
      <c r="D1033" s="6" t="s">
        <v>26</v>
      </c>
      <c r="E1033" s="6" t="s">
        <v>61</v>
      </c>
      <c r="F1033" s="6" t="s">
        <v>27</v>
      </c>
      <c r="G1033" s="7">
        <v>46245</v>
      </c>
      <c r="H1033" s="6">
        <v>4</v>
      </c>
      <c r="I1033" s="7">
        <v>46253</v>
      </c>
      <c r="J1033" s="7">
        <f t="shared" si="49"/>
        <v>46249</v>
      </c>
      <c r="K1033" s="8">
        <v>110</v>
      </c>
      <c r="L1033" s="9">
        <f t="shared" si="48"/>
        <v>4</v>
      </c>
      <c r="M1033" s="9" t="str" cm="1">
        <f t="array" ref="M1033">_xlfn.IFS(L1033&gt;=10,"HIGH",L1033=0,"LOW",L1033&lt;=9,"MEDIUM")</f>
        <v>MEDIUM</v>
      </c>
      <c r="N1033" s="9" cm="1">
        <f t="array" ref="N1033">_xlfn.IFS(M1033="HIGH",K1033*L1033,M1033="MEDIUM",K1033*L1033,M1033="LOW","NA")</f>
        <v>440</v>
      </c>
      <c r="O1033" s="18" t="str">
        <f t="shared" si="50"/>
        <v>cleared</v>
      </c>
    </row>
    <row r="1034" spans="1:15" x14ac:dyDescent="0.25">
      <c r="A1034" s="17">
        <v>1030</v>
      </c>
      <c r="B1034" s="6" t="s">
        <v>1067</v>
      </c>
      <c r="C1034" s="6" t="s">
        <v>37</v>
      </c>
      <c r="D1034" s="6" t="s">
        <v>34</v>
      </c>
      <c r="E1034" s="6" t="s">
        <v>46</v>
      </c>
      <c r="F1034" s="6" t="s">
        <v>14</v>
      </c>
      <c r="G1034" s="7">
        <v>46182</v>
      </c>
      <c r="H1034" s="6">
        <v>5</v>
      </c>
      <c r="I1034" s="6"/>
      <c r="J1034" s="7">
        <f t="shared" si="49"/>
        <v>46187</v>
      </c>
      <c r="K1034" s="8">
        <v>75</v>
      </c>
      <c r="L1034" s="9">
        <f t="shared" si="48"/>
        <v>72</v>
      </c>
      <c r="M1034" s="9" t="str" cm="1">
        <f t="array" ref="M1034">_xlfn.IFS(L1034&gt;=10,"HIGH",L1034=0,"LOW",L1034&lt;=9,"MEDIUM")</f>
        <v>HIGH</v>
      </c>
      <c r="N1034" s="9" cm="1">
        <f t="array" ref="N1034">_xlfn.IFS(M1034="HIGH",K1034*L1034,M1034="MEDIUM",K1034*L1034,M1034="LOW","NA")</f>
        <v>5400</v>
      </c>
      <c r="O1034" s="18" t="str">
        <f t="shared" si="50"/>
        <v>still in yard</v>
      </c>
    </row>
    <row r="1035" spans="1:15" x14ac:dyDescent="0.25">
      <c r="A1035" s="17">
        <v>1031</v>
      </c>
      <c r="B1035" s="6" t="s">
        <v>1068</v>
      </c>
      <c r="C1035" s="6" t="s">
        <v>33</v>
      </c>
      <c r="D1035" s="6" t="s">
        <v>49</v>
      </c>
      <c r="E1035" s="6" t="s">
        <v>46</v>
      </c>
      <c r="F1035" s="6" t="s">
        <v>24</v>
      </c>
      <c r="G1035" s="7">
        <v>46191</v>
      </c>
      <c r="H1035" s="6">
        <v>5</v>
      </c>
      <c r="I1035" s="7">
        <v>46198</v>
      </c>
      <c r="J1035" s="7">
        <f t="shared" si="49"/>
        <v>46196</v>
      </c>
      <c r="K1035" s="8">
        <v>90</v>
      </c>
      <c r="L1035" s="9">
        <f t="shared" si="48"/>
        <v>2</v>
      </c>
      <c r="M1035" s="9" t="str" cm="1">
        <f t="array" ref="M1035">_xlfn.IFS(L1035&gt;=10,"HIGH",L1035=0,"LOW",L1035&lt;=9,"MEDIUM")</f>
        <v>MEDIUM</v>
      </c>
      <c r="N1035" s="9" cm="1">
        <f t="array" ref="N1035">_xlfn.IFS(M1035="HIGH",K1035*L1035,M1035="MEDIUM",K1035*L1035,M1035="LOW","NA")</f>
        <v>180</v>
      </c>
      <c r="O1035" s="18" t="str">
        <f t="shared" si="50"/>
        <v>cleared</v>
      </c>
    </row>
    <row r="1036" spans="1:15" x14ac:dyDescent="0.25">
      <c r="A1036" s="17">
        <v>1032</v>
      </c>
      <c r="B1036" s="6" t="s">
        <v>1069</v>
      </c>
      <c r="C1036" s="6" t="s">
        <v>37</v>
      </c>
      <c r="D1036" s="6" t="s">
        <v>54</v>
      </c>
      <c r="E1036" s="6" t="s">
        <v>61</v>
      </c>
      <c r="F1036" s="6" t="s">
        <v>14</v>
      </c>
      <c r="G1036" s="7">
        <v>46195</v>
      </c>
      <c r="H1036" s="6">
        <v>4</v>
      </c>
      <c r="I1036" s="6"/>
      <c r="J1036" s="7">
        <f t="shared" si="49"/>
        <v>46199</v>
      </c>
      <c r="K1036" s="8">
        <v>90</v>
      </c>
      <c r="L1036" s="9">
        <f t="shared" si="48"/>
        <v>60</v>
      </c>
      <c r="M1036" s="9" t="str" cm="1">
        <f t="array" ref="M1036">_xlfn.IFS(L1036&gt;=10,"HIGH",L1036=0,"LOW",L1036&lt;=9,"MEDIUM")</f>
        <v>HIGH</v>
      </c>
      <c r="N1036" s="9" cm="1">
        <f t="array" ref="N1036">_xlfn.IFS(M1036="HIGH",K1036*L1036,M1036="MEDIUM",K1036*L1036,M1036="LOW","NA")</f>
        <v>5400</v>
      </c>
      <c r="O1036" s="18" t="str">
        <f t="shared" si="50"/>
        <v>still in yard</v>
      </c>
    </row>
    <row r="1037" spans="1:15" x14ac:dyDescent="0.25">
      <c r="A1037" s="17">
        <v>1033</v>
      </c>
      <c r="B1037" s="6" t="s">
        <v>1070</v>
      </c>
      <c r="C1037" s="6" t="s">
        <v>33</v>
      </c>
      <c r="D1037" s="6" t="s">
        <v>54</v>
      </c>
      <c r="E1037" s="6" t="s">
        <v>18</v>
      </c>
      <c r="F1037" s="6" t="s">
        <v>27</v>
      </c>
      <c r="G1037" s="7">
        <v>46251</v>
      </c>
      <c r="H1037" s="6">
        <v>5</v>
      </c>
      <c r="I1037" s="7">
        <v>46255</v>
      </c>
      <c r="J1037" s="7">
        <f t="shared" si="49"/>
        <v>46256</v>
      </c>
      <c r="K1037" s="8">
        <v>90</v>
      </c>
      <c r="L1037" s="9">
        <f t="shared" si="48"/>
        <v>0</v>
      </c>
      <c r="M1037" s="9" t="str" cm="1">
        <f t="array" ref="M1037">_xlfn.IFS(L1037&gt;=10,"HIGH",L1037=0,"LOW",L1037&lt;=9,"MEDIUM")</f>
        <v>LOW</v>
      </c>
      <c r="N1037" s="9" t="str" cm="1">
        <f t="array" ref="N1037">_xlfn.IFS(M1037="HIGH",K1037*L1037,M1037="MEDIUM",K1037*L1037,M1037="LOW","NA")</f>
        <v>NA</v>
      </c>
      <c r="O1037" s="18" t="str">
        <f t="shared" si="50"/>
        <v>cleared</v>
      </c>
    </row>
    <row r="1038" spans="1:15" x14ac:dyDescent="0.25">
      <c r="A1038" s="17">
        <v>1034</v>
      </c>
      <c r="B1038" s="6" t="s">
        <v>1071</v>
      </c>
      <c r="C1038" s="6" t="s">
        <v>37</v>
      </c>
      <c r="D1038" s="6" t="s">
        <v>34</v>
      </c>
      <c r="E1038" s="6" t="s">
        <v>18</v>
      </c>
      <c r="F1038" s="6" t="s">
        <v>29</v>
      </c>
      <c r="G1038" s="7">
        <v>46178</v>
      </c>
      <c r="H1038" s="6">
        <v>4</v>
      </c>
      <c r="I1038" s="7">
        <v>46179</v>
      </c>
      <c r="J1038" s="7">
        <f t="shared" si="49"/>
        <v>46182</v>
      </c>
      <c r="K1038" s="8">
        <v>150</v>
      </c>
      <c r="L1038" s="9">
        <f t="shared" si="48"/>
        <v>0</v>
      </c>
      <c r="M1038" s="9" t="str" cm="1">
        <f t="array" ref="M1038">_xlfn.IFS(L1038&gt;=10,"HIGH",L1038=0,"LOW",L1038&lt;=9,"MEDIUM")</f>
        <v>LOW</v>
      </c>
      <c r="N1038" s="9" t="str" cm="1">
        <f t="array" ref="N1038">_xlfn.IFS(M1038="HIGH",K1038*L1038,M1038="MEDIUM",K1038*L1038,M1038="LOW","NA")</f>
        <v>NA</v>
      </c>
      <c r="O1038" s="18" t="str">
        <f t="shared" si="50"/>
        <v>cleared</v>
      </c>
    </row>
    <row r="1039" spans="1:15" x14ac:dyDescent="0.25">
      <c r="A1039" s="17">
        <v>1035</v>
      </c>
      <c r="B1039" s="6" t="s">
        <v>1072</v>
      </c>
      <c r="C1039" s="6" t="s">
        <v>16</v>
      </c>
      <c r="D1039" s="6" t="s">
        <v>34</v>
      </c>
      <c r="E1039" s="6" t="s">
        <v>35</v>
      </c>
      <c r="F1039" s="6" t="s">
        <v>27</v>
      </c>
      <c r="G1039" s="7">
        <v>46221</v>
      </c>
      <c r="H1039" s="6">
        <v>6</v>
      </c>
      <c r="I1039" s="7">
        <v>46228</v>
      </c>
      <c r="J1039" s="7">
        <f t="shared" si="49"/>
        <v>46227</v>
      </c>
      <c r="K1039" s="8">
        <v>90</v>
      </c>
      <c r="L1039" s="9">
        <f t="shared" si="48"/>
        <v>1</v>
      </c>
      <c r="M1039" s="9" t="str" cm="1">
        <f t="array" ref="M1039">_xlfn.IFS(L1039&gt;=10,"HIGH",L1039=0,"LOW",L1039&lt;=9,"MEDIUM")</f>
        <v>MEDIUM</v>
      </c>
      <c r="N1039" s="9" cm="1">
        <f t="array" ref="N1039">_xlfn.IFS(M1039="HIGH",K1039*L1039,M1039="MEDIUM",K1039*L1039,M1039="LOW","NA")</f>
        <v>90</v>
      </c>
      <c r="O1039" s="18" t="str">
        <f t="shared" si="50"/>
        <v>cleared</v>
      </c>
    </row>
    <row r="1040" spans="1:15" x14ac:dyDescent="0.25">
      <c r="A1040" s="17">
        <v>1036</v>
      </c>
      <c r="B1040" s="6" t="s">
        <v>1073</v>
      </c>
      <c r="C1040" s="6" t="s">
        <v>16</v>
      </c>
      <c r="D1040" s="6" t="s">
        <v>26</v>
      </c>
      <c r="E1040" s="6" t="s">
        <v>23</v>
      </c>
      <c r="F1040" s="6" t="s">
        <v>24</v>
      </c>
      <c r="G1040" s="7">
        <v>46209</v>
      </c>
      <c r="H1040" s="6">
        <v>5</v>
      </c>
      <c r="I1040" s="7">
        <v>46214</v>
      </c>
      <c r="J1040" s="7">
        <f t="shared" si="49"/>
        <v>46214</v>
      </c>
      <c r="K1040" s="8">
        <v>130</v>
      </c>
      <c r="L1040" s="9">
        <f t="shared" si="48"/>
        <v>0</v>
      </c>
      <c r="M1040" s="9" t="str" cm="1">
        <f t="array" ref="M1040">_xlfn.IFS(L1040&gt;=10,"HIGH",L1040=0,"LOW",L1040&lt;=9,"MEDIUM")</f>
        <v>LOW</v>
      </c>
      <c r="N1040" s="9" t="str" cm="1">
        <f t="array" ref="N1040">_xlfn.IFS(M1040="HIGH",K1040*L1040,M1040="MEDIUM",K1040*L1040,M1040="LOW","NA")</f>
        <v>NA</v>
      </c>
      <c r="O1040" s="18" t="str">
        <f t="shared" si="50"/>
        <v>cleared</v>
      </c>
    </row>
    <row r="1041" spans="1:15" x14ac:dyDescent="0.25">
      <c r="A1041" s="17">
        <v>1037</v>
      </c>
      <c r="B1041" s="6" t="s">
        <v>1074</v>
      </c>
      <c r="C1041" s="6" t="s">
        <v>37</v>
      </c>
      <c r="D1041" s="6" t="s">
        <v>41</v>
      </c>
      <c r="E1041" s="6" t="s">
        <v>61</v>
      </c>
      <c r="F1041" s="6" t="s">
        <v>29</v>
      </c>
      <c r="G1041" s="7">
        <v>46188</v>
      </c>
      <c r="H1041" s="6">
        <v>4</v>
      </c>
      <c r="I1041" s="7">
        <v>46189</v>
      </c>
      <c r="J1041" s="7">
        <f t="shared" si="49"/>
        <v>46192</v>
      </c>
      <c r="K1041" s="8">
        <v>120</v>
      </c>
      <c r="L1041" s="9">
        <f t="shared" si="48"/>
        <v>0</v>
      </c>
      <c r="M1041" s="9" t="str" cm="1">
        <f t="array" ref="M1041">_xlfn.IFS(L1041&gt;=10,"HIGH",L1041=0,"LOW",L1041&lt;=9,"MEDIUM")</f>
        <v>LOW</v>
      </c>
      <c r="N1041" s="9" t="str" cm="1">
        <f t="array" ref="N1041">_xlfn.IFS(M1041="HIGH",K1041*L1041,M1041="MEDIUM",K1041*L1041,M1041="LOW","NA")</f>
        <v>NA</v>
      </c>
      <c r="O1041" s="18" t="str">
        <f t="shared" si="50"/>
        <v>cleared</v>
      </c>
    </row>
    <row r="1042" spans="1:15" x14ac:dyDescent="0.25">
      <c r="A1042" s="17">
        <v>1038</v>
      </c>
      <c r="B1042" s="6" t="s">
        <v>1075</v>
      </c>
      <c r="C1042" s="6" t="s">
        <v>37</v>
      </c>
      <c r="D1042" s="6" t="s">
        <v>17</v>
      </c>
      <c r="E1042" s="6" t="s">
        <v>61</v>
      </c>
      <c r="F1042" s="6" t="s">
        <v>14</v>
      </c>
      <c r="G1042" s="7">
        <v>46207</v>
      </c>
      <c r="H1042" s="6">
        <v>6</v>
      </c>
      <c r="I1042" s="6"/>
      <c r="J1042" s="7">
        <f t="shared" si="49"/>
        <v>46213</v>
      </c>
      <c r="K1042" s="8">
        <v>110</v>
      </c>
      <c r="L1042" s="9">
        <f t="shared" si="48"/>
        <v>46</v>
      </c>
      <c r="M1042" s="9" t="str" cm="1">
        <f t="array" ref="M1042">_xlfn.IFS(L1042&gt;=10,"HIGH",L1042=0,"LOW",L1042&lt;=9,"MEDIUM")</f>
        <v>HIGH</v>
      </c>
      <c r="N1042" s="9" cm="1">
        <f t="array" ref="N1042">_xlfn.IFS(M1042="HIGH",K1042*L1042,M1042="MEDIUM",K1042*L1042,M1042="LOW","NA")</f>
        <v>5060</v>
      </c>
      <c r="O1042" s="18" t="str">
        <f t="shared" si="50"/>
        <v>still in yard</v>
      </c>
    </row>
    <row r="1043" spans="1:15" x14ac:dyDescent="0.25">
      <c r="A1043" s="17">
        <v>1039</v>
      </c>
      <c r="B1043" s="6" t="s">
        <v>1076</v>
      </c>
      <c r="C1043" s="6" t="s">
        <v>37</v>
      </c>
      <c r="D1043" s="6" t="s">
        <v>54</v>
      </c>
      <c r="E1043" s="6" t="s">
        <v>61</v>
      </c>
      <c r="F1043" s="6" t="s">
        <v>27</v>
      </c>
      <c r="G1043" s="7">
        <v>46225</v>
      </c>
      <c r="H1043" s="6">
        <v>7</v>
      </c>
      <c r="I1043" s="7">
        <v>46226</v>
      </c>
      <c r="J1043" s="7">
        <f t="shared" si="49"/>
        <v>46232</v>
      </c>
      <c r="K1043" s="8">
        <v>110</v>
      </c>
      <c r="L1043" s="9">
        <f t="shared" si="48"/>
        <v>0</v>
      </c>
      <c r="M1043" s="9" t="str" cm="1">
        <f t="array" ref="M1043">_xlfn.IFS(L1043&gt;=10,"HIGH",L1043=0,"LOW",L1043&lt;=9,"MEDIUM")</f>
        <v>LOW</v>
      </c>
      <c r="N1043" s="9" t="str" cm="1">
        <f t="array" ref="N1043">_xlfn.IFS(M1043="HIGH",K1043*L1043,M1043="MEDIUM",K1043*L1043,M1043="LOW","NA")</f>
        <v>NA</v>
      </c>
      <c r="O1043" s="18" t="str">
        <f t="shared" si="50"/>
        <v>cleared</v>
      </c>
    </row>
    <row r="1044" spans="1:15" x14ac:dyDescent="0.25">
      <c r="A1044" s="17">
        <v>1040</v>
      </c>
      <c r="B1044" s="6" t="s">
        <v>1077</v>
      </c>
      <c r="C1044" s="6" t="s">
        <v>33</v>
      </c>
      <c r="D1044" s="6" t="s">
        <v>49</v>
      </c>
      <c r="E1044" s="6" t="s">
        <v>39</v>
      </c>
      <c r="F1044" s="6" t="s">
        <v>29</v>
      </c>
      <c r="G1044" s="7">
        <v>46192</v>
      </c>
      <c r="H1044" s="6">
        <v>4</v>
      </c>
      <c r="I1044" s="6"/>
      <c r="J1044" s="7">
        <f t="shared" si="49"/>
        <v>46196</v>
      </c>
      <c r="K1044" s="8">
        <v>180</v>
      </c>
      <c r="L1044" s="9">
        <f t="shared" si="48"/>
        <v>63</v>
      </c>
      <c r="M1044" s="9" t="str" cm="1">
        <f t="array" ref="M1044">_xlfn.IFS(L1044&gt;=10,"HIGH",L1044=0,"LOW",L1044&lt;=9,"MEDIUM")</f>
        <v>HIGH</v>
      </c>
      <c r="N1044" s="9" cm="1">
        <f t="array" ref="N1044">_xlfn.IFS(M1044="HIGH",K1044*L1044,M1044="MEDIUM",K1044*L1044,M1044="LOW","NA")</f>
        <v>11340</v>
      </c>
      <c r="O1044" s="18" t="str">
        <f t="shared" si="50"/>
        <v>still in yard</v>
      </c>
    </row>
    <row r="1045" spans="1:15" x14ac:dyDescent="0.25">
      <c r="A1045" s="17">
        <v>1041</v>
      </c>
      <c r="B1045" s="6" t="s">
        <v>1078</v>
      </c>
      <c r="C1045" s="6" t="s">
        <v>37</v>
      </c>
      <c r="D1045" s="6" t="s">
        <v>12</v>
      </c>
      <c r="E1045" s="6" t="s">
        <v>61</v>
      </c>
      <c r="F1045" s="6" t="s">
        <v>24</v>
      </c>
      <c r="G1045" s="7">
        <v>46234</v>
      </c>
      <c r="H1045" s="6">
        <v>5</v>
      </c>
      <c r="I1045" s="6"/>
      <c r="J1045" s="7">
        <f t="shared" si="49"/>
        <v>46239</v>
      </c>
      <c r="K1045" s="8">
        <v>90</v>
      </c>
      <c r="L1045" s="9">
        <f t="shared" si="48"/>
        <v>20</v>
      </c>
      <c r="M1045" s="9" t="str" cm="1">
        <f t="array" ref="M1045">_xlfn.IFS(L1045&gt;=10,"HIGH",L1045=0,"LOW",L1045&lt;=9,"MEDIUM")</f>
        <v>HIGH</v>
      </c>
      <c r="N1045" s="9" cm="1">
        <f t="array" ref="N1045">_xlfn.IFS(M1045="HIGH",K1045*L1045,M1045="MEDIUM",K1045*L1045,M1045="LOW","NA")</f>
        <v>1800</v>
      </c>
      <c r="O1045" s="18" t="str">
        <f t="shared" si="50"/>
        <v>still in yard</v>
      </c>
    </row>
    <row r="1046" spans="1:15" x14ac:dyDescent="0.25">
      <c r="A1046" s="17">
        <v>1042</v>
      </c>
      <c r="B1046" s="6" t="s">
        <v>1079</v>
      </c>
      <c r="C1046" s="6" t="s">
        <v>37</v>
      </c>
      <c r="D1046" s="6" t="s">
        <v>31</v>
      </c>
      <c r="E1046" s="6" t="s">
        <v>13</v>
      </c>
      <c r="F1046" s="6" t="s">
        <v>27</v>
      </c>
      <c r="G1046" s="7">
        <v>46218</v>
      </c>
      <c r="H1046" s="6">
        <v>7</v>
      </c>
      <c r="I1046" s="7">
        <v>46223</v>
      </c>
      <c r="J1046" s="7">
        <f t="shared" si="49"/>
        <v>46225</v>
      </c>
      <c r="K1046" s="8">
        <v>110</v>
      </c>
      <c r="L1046" s="9">
        <f t="shared" si="48"/>
        <v>0</v>
      </c>
      <c r="M1046" s="9" t="str" cm="1">
        <f t="array" ref="M1046">_xlfn.IFS(L1046&gt;=10,"HIGH",L1046=0,"LOW",L1046&lt;=9,"MEDIUM")</f>
        <v>LOW</v>
      </c>
      <c r="N1046" s="9" t="str" cm="1">
        <f t="array" ref="N1046">_xlfn.IFS(M1046="HIGH",K1046*L1046,M1046="MEDIUM",K1046*L1046,M1046="LOW","NA")</f>
        <v>NA</v>
      </c>
      <c r="O1046" s="18" t="str">
        <f t="shared" si="50"/>
        <v>cleared</v>
      </c>
    </row>
    <row r="1047" spans="1:15" x14ac:dyDescent="0.25">
      <c r="A1047" s="17">
        <v>1043</v>
      </c>
      <c r="B1047" s="6" t="s">
        <v>1080</v>
      </c>
      <c r="C1047" s="6" t="s">
        <v>11</v>
      </c>
      <c r="D1047" s="6" t="s">
        <v>31</v>
      </c>
      <c r="E1047" s="6" t="s">
        <v>18</v>
      </c>
      <c r="F1047" s="6" t="s">
        <v>29</v>
      </c>
      <c r="G1047" s="7">
        <v>46184</v>
      </c>
      <c r="H1047" s="6">
        <v>4</v>
      </c>
      <c r="I1047" s="7">
        <v>46193</v>
      </c>
      <c r="J1047" s="7">
        <f t="shared" si="49"/>
        <v>46188</v>
      </c>
      <c r="K1047" s="8">
        <v>180</v>
      </c>
      <c r="L1047" s="9">
        <f t="shared" si="48"/>
        <v>5</v>
      </c>
      <c r="M1047" s="9" t="str" cm="1">
        <f t="array" ref="M1047">_xlfn.IFS(L1047&gt;=10,"HIGH",L1047=0,"LOW",L1047&lt;=9,"MEDIUM")</f>
        <v>MEDIUM</v>
      </c>
      <c r="N1047" s="9" cm="1">
        <f t="array" ref="N1047">_xlfn.IFS(M1047="HIGH",K1047*L1047,M1047="MEDIUM",K1047*L1047,M1047="LOW","NA")</f>
        <v>900</v>
      </c>
      <c r="O1047" s="18" t="str">
        <f t="shared" si="50"/>
        <v>cleared</v>
      </c>
    </row>
    <row r="1048" spans="1:15" x14ac:dyDescent="0.25">
      <c r="A1048" s="17">
        <v>1044</v>
      </c>
      <c r="B1048" s="6" t="s">
        <v>1081</v>
      </c>
      <c r="C1048" s="6" t="s">
        <v>33</v>
      </c>
      <c r="D1048" s="6" t="s">
        <v>49</v>
      </c>
      <c r="E1048" s="6" t="s">
        <v>42</v>
      </c>
      <c r="F1048" s="6" t="s">
        <v>24</v>
      </c>
      <c r="G1048" s="7">
        <v>46244</v>
      </c>
      <c r="H1048" s="6">
        <v>6</v>
      </c>
      <c r="I1048" s="6"/>
      <c r="J1048" s="7">
        <f t="shared" si="49"/>
        <v>46250</v>
      </c>
      <c r="K1048" s="8">
        <v>75</v>
      </c>
      <c r="L1048" s="9">
        <f t="shared" si="48"/>
        <v>9</v>
      </c>
      <c r="M1048" s="9" t="str" cm="1">
        <f t="array" ref="M1048">_xlfn.IFS(L1048&gt;=10,"HIGH",L1048=0,"LOW",L1048&lt;=9,"MEDIUM")</f>
        <v>MEDIUM</v>
      </c>
      <c r="N1048" s="9" cm="1">
        <f t="array" ref="N1048">_xlfn.IFS(M1048="HIGH",K1048*L1048,M1048="MEDIUM",K1048*L1048,M1048="LOW","NA")</f>
        <v>675</v>
      </c>
      <c r="O1048" s="18" t="str">
        <f t="shared" si="50"/>
        <v>still in yard</v>
      </c>
    </row>
    <row r="1049" spans="1:15" x14ac:dyDescent="0.25">
      <c r="A1049" s="17">
        <v>1045</v>
      </c>
      <c r="B1049" s="6" t="s">
        <v>1082</v>
      </c>
      <c r="C1049" s="6" t="s">
        <v>37</v>
      </c>
      <c r="D1049" s="6" t="s">
        <v>34</v>
      </c>
      <c r="E1049" s="6" t="s">
        <v>18</v>
      </c>
      <c r="F1049" s="6" t="s">
        <v>27</v>
      </c>
      <c r="G1049" s="7">
        <v>46227</v>
      </c>
      <c r="H1049" s="6">
        <v>5</v>
      </c>
      <c r="I1049" s="7">
        <v>46229</v>
      </c>
      <c r="J1049" s="7">
        <f t="shared" si="49"/>
        <v>46232</v>
      </c>
      <c r="K1049" s="8">
        <v>90</v>
      </c>
      <c r="L1049" s="9">
        <f t="shared" si="48"/>
        <v>0</v>
      </c>
      <c r="M1049" s="9" t="str" cm="1">
        <f t="array" ref="M1049">_xlfn.IFS(L1049&gt;=10,"HIGH",L1049=0,"LOW",L1049&lt;=9,"MEDIUM")</f>
        <v>LOW</v>
      </c>
      <c r="N1049" s="9" t="str" cm="1">
        <f t="array" ref="N1049">_xlfn.IFS(M1049="HIGH",K1049*L1049,M1049="MEDIUM",K1049*L1049,M1049="LOW","NA")</f>
        <v>NA</v>
      </c>
      <c r="O1049" s="18" t="str">
        <f t="shared" si="50"/>
        <v>cleared</v>
      </c>
    </row>
    <row r="1050" spans="1:15" x14ac:dyDescent="0.25">
      <c r="A1050" s="17">
        <v>1046</v>
      </c>
      <c r="B1050" s="6" t="s">
        <v>1083</v>
      </c>
      <c r="C1050" s="6" t="s">
        <v>16</v>
      </c>
      <c r="D1050" s="6" t="s">
        <v>56</v>
      </c>
      <c r="E1050" s="6" t="s">
        <v>35</v>
      </c>
      <c r="F1050" s="6" t="s">
        <v>29</v>
      </c>
      <c r="G1050" s="7">
        <v>46181</v>
      </c>
      <c r="H1050" s="6">
        <v>4</v>
      </c>
      <c r="I1050" s="7">
        <v>46182</v>
      </c>
      <c r="J1050" s="7">
        <f t="shared" si="49"/>
        <v>46185</v>
      </c>
      <c r="K1050" s="8">
        <v>180</v>
      </c>
      <c r="L1050" s="9">
        <f t="shared" si="48"/>
        <v>0</v>
      </c>
      <c r="M1050" s="9" t="str" cm="1">
        <f t="array" ref="M1050">_xlfn.IFS(L1050&gt;=10,"HIGH",L1050=0,"LOW",L1050&lt;=9,"MEDIUM")</f>
        <v>LOW</v>
      </c>
      <c r="N1050" s="9" t="str" cm="1">
        <f t="array" ref="N1050">_xlfn.IFS(M1050="HIGH",K1050*L1050,M1050="MEDIUM",K1050*L1050,M1050="LOW","NA")</f>
        <v>NA</v>
      </c>
      <c r="O1050" s="18" t="str">
        <f t="shared" si="50"/>
        <v>cleared</v>
      </c>
    </row>
    <row r="1051" spans="1:15" x14ac:dyDescent="0.25">
      <c r="A1051" s="17">
        <v>1047</v>
      </c>
      <c r="B1051" s="6" t="s">
        <v>1084</v>
      </c>
      <c r="C1051" s="6" t="s">
        <v>16</v>
      </c>
      <c r="D1051" s="6" t="s">
        <v>34</v>
      </c>
      <c r="E1051" s="6" t="s">
        <v>35</v>
      </c>
      <c r="F1051" s="6" t="s">
        <v>24</v>
      </c>
      <c r="G1051" s="7">
        <v>46244</v>
      </c>
      <c r="H1051" s="6">
        <v>4</v>
      </c>
      <c r="I1051" s="6"/>
      <c r="J1051" s="7">
        <f t="shared" si="49"/>
        <v>46248</v>
      </c>
      <c r="K1051" s="8">
        <v>60</v>
      </c>
      <c r="L1051" s="9">
        <f t="shared" si="48"/>
        <v>11</v>
      </c>
      <c r="M1051" s="9" t="str" cm="1">
        <f t="array" ref="M1051">_xlfn.IFS(L1051&gt;=10,"HIGH",L1051=0,"LOW",L1051&lt;=9,"MEDIUM")</f>
        <v>HIGH</v>
      </c>
      <c r="N1051" s="9" cm="1">
        <f t="array" ref="N1051">_xlfn.IFS(M1051="HIGH",K1051*L1051,M1051="MEDIUM",K1051*L1051,M1051="LOW","NA")</f>
        <v>660</v>
      </c>
      <c r="O1051" s="18" t="str">
        <f t="shared" si="50"/>
        <v>still in yard</v>
      </c>
    </row>
    <row r="1052" spans="1:15" x14ac:dyDescent="0.25">
      <c r="A1052" s="17">
        <v>1048</v>
      </c>
      <c r="B1052" s="6" t="s">
        <v>1085</v>
      </c>
      <c r="C1052" s="6" t="s">
        <v>11</v>
      </c>
      <c r="D1052" s="6" t="s">
        <v>31</v>
      </c>
      <c r="E1052" s="6" t="s">
        <v>39</v>
      </c>
      <c r="F1052" s="6" t="s">
        <v>24</v>
      </c>
      <c r="G1052" s="7">
        <v>46256</v>
      </c>
      <c r="H1052" s="6">
        <v>5</v>
      </c>
      <c r="I1052" s="7">
        <v>46259</v>
      </c>
      <c r="J1052" s="7">
        <f t="shared" si="49"/>
        <v>46261</v>
      </c>
      <c r="K1052" s="8">
        <v>75</v>
      </c>
      <c r="L1052" s="9">
        <f t="shared" si="48"/>
        <v>0</v>
      </c>
      <c r="M1052" s="9" t="str" cm="1">
        <f t="array" ref="M1052">_xlfn.IFS(L1052&gt;=10,"HIGH",L1052=0,"LOW",L1052&lt;=9,"MEDIUM")</f>
        <v>LOW</v>
      </c>
      <c r="N1052" s="9" t="str" cm="1">
        <f t="array" ref="N1052">_xlfn.IFS(M1052="HIGH",K1052*L1052,M1052="MEDIUM",K1052*L1052,M1052="LOW","NA")</f>
        <v>NA</v>
      </c>
      <c r="O1052" s="18" t="str">
        <f t="shared" si="50"/>
        <v>cleared</v>
      </c>
    </row>
    <row r="1053" spans="1:15" x14ac:dyDescent="0.25">
      <c r="A1053" s="17">
        <v>1049</v>
      </c>
      <c r="B1053" s="6" t="s">
        <v>1086</v>
      </c>
      <c r="C1053" s="6" t="s">
        <v>11</v>
      </c>
      <c r="D1053" s="6" t="s">
        <v>41</v>
      </c>
      <c r="E1053" s="6" t="s">
        <v>23</v>
      </c>
      <c r="F1053" s="6" t="s">
        <v>29</v>
      </c>
      <c r="G1053" s="7">
        <v>46255</v>
      </c>
      <c r="H1053" s="6">
        <v>3</v>
      </c>
      <c r="I1053" s="6"/>
      <c r="J1053" s="7">
        <f t="shared" si="49"/>
        <v>46258</v>
      </c>
      <c r="K1053" s="8">
        <v>150</v>
      </c>
      <c r="L1053" s="9">
        <f t="shared" si="48"/>
        <v>1</v>
      </c>
      <c r="M1053" s="9" t="str" cm="1">
        <f t="array" ref="M1053">_xlfn.IFS(L1053&gt;=10,"HIGH",L1053=0,"LOW",L1053&lt;=9,"MEDIUM")</f>
        <v>MEDIUM</v>
      </c>
      <c r="N1053" s="9" cm="1">
        <f t="array" ref="N1053">_xlfn.IFS(M1053="HIGH",K1053*L1053,M1053="MEDIUM",K1053*L1053,M1053="LOW","NA")</f>
        <v>150</v>
      </c>
      <c r="O1053" s="18" t="str">
        <f t="shared" si="50"/>
        <v>still in yard</v>
      </c>
    </row>
    <row r="1054" spans="1:15" x14ac:dyDescent="0.25">
      <c r="A1054" s="17">
        <v>1050</v>
      </c>
      <c r="B1054" s="6" t="s">
        <v>1087</v>
      </c>
      <c r="C1054" s="6" t="s">
        <v>11</v>
      </c>
      <c r="D1054" s="6" t="s">
        <v>26</v>
      </c>
      <c r="E1054" s="6" t="s">
        <v>46</v>
      </c>
      <c r="F1054" s="6" t="s">
        <v>24</v>
      </c>
      <c r="G1054" s="7">
        <v>46203</v>
      </c>
      <c r="H1054" s="6">
        <v>5</v>
      </c>
      <c r="I1054" s="7">
        <v>46211</v>
      </c>
      <c r="J1054" s="7">
        <f t="shared" si="49"/>
        <v>46208</v>
      </c>
      <c r="K1054" s="8">
        <v>75</v>
      </c>
      <c r="L1054" s="9">
        <f t="shared" si="48"/>
        <v>3</v>
      </c>
      <c r="M1054" s="9" t="str" cm="1">
        <f t="array" ref="M1054">_xlfn.IFS(L1054&gt;=10,"HIGH",L1054=0,"LOW",L1054&lt;=9,"MEDIUM")</f>
        <v>MEDIUM</v>
      </c>
      <c r="N1054" s="9" cm="1">
        <f t="array" ref="N1054">_xlfn.IFS(M1054="HIGH",K1054*L1054,M1054="MEDIUM",K1054*L1054,M1054="LOW","NA")</f>
        <v>225</v>
      </c>
      <c r="O1054" s="18" t="str">
        <f t="shared" si="50"/>
        <v>cleared</v>
      </c>
    </row>
    <row r="1055" spans="1:15" x14ac:dyDescent="0.25">
      <c r="A1055" s="17">
        <v>1051</v>
      </c>
      <c r="B1055" s="6" t="s">
        <v>1088</v>
      </c>
      <c r="C1055" s="6" t="s">
        <v>33</v>
      </c>
      <c r="D1055" s="6" t="s">
        <v>31</v>
      </c>
      <c r="E1055" s="6" t="s">
        <v>18</v>
      </c>
      <c r="F1055" s="6" t="s">
        <v>14</v>
      </c>
      <c r="G1055" s="7">
        <v>46223</v>
      </c>
      <c r="H1055" s="6">
        <v>6</v>
      </c>
      <c r="I1055" s="7">
        <v>46231</v>
      </c>
      <c r="J1055" s="7">
        <f t="shared" si="49"/>
        <v>46229</v>
      </c>
      <c r="K1055" s="8">
        <v>130</v>
      </c>
      <c r="L1055" s="9">
        <f t="shared" si="48"/>
        <v>2</v>
      </c>
      <c r="M1055" s="9" t="str" cm="1">
        <f t="array" ref="M1055">_xlfn.IFS(L1055&gt;=10,"HIGH",L1055=0,"LOW",L1055&lt;=9,"MEDIUM")</f>
        <v>MEDIUM</v>
      </c>
      <c r="N1055" s="9" cm="1">
        <f t="array" ref="N1055">_xlfn.IFS(M1055="HIGH",K1055*L1055,M1055="MEDIUM",K1055*L1055,M1055="LOW","NA")</f>
        <v>260</v>
      </c>
      <c r="O1055" s="18" t="str">
        <f t="shared" si="50"/>
        <v>cleared</v>
      </c>
    </row>
    <row r="1056" spans="1:15" x14ac:dyDescent="0.25">
      <c r="A1056" s="17">
        <v>1052</v>
      </c>
      <c r="B1056" s="6" t="s">
        <v>1089</v>
      </c>
      <c r="C1056" s="6" t="s">
        <v>11</v>
      </c>
      <c r="D1056" s="6" t="s">
        <v>54</v>
      </c>
      <c r="E1056" s="6" t="s">
        <v>42</v>
      </c>
      <c r="F1056" s="6" t="s">
        <v>27</v>
      </c>
      <c r="G1056" s="7">
        <v>46176</v>
      </c>
      <c r="H1056" s="6">
        <v>5</v>
      </c>
      <c r="I1056" s="7">
        <v>46178</v>
      </c>
      <c r="J1056" s="7">
        <f t="shared" si="49"/>
        <v>46181</v>
      </c>
      <c r="K1056" s="8">
        <v>90</v>
      </c>
      <c r="L1056" s="9">
        <f t="shared" si="48"/>
        <v>0</v>
      </c>
      <c r="M1056" s="9" t="str" cm="1">
        <f t="array" ref="M1056">_xlfn.IFS(L1056&gt;=10,"HIGH",L1056=0,"LOW",L1056&lt;=9,"MEDIUM")</f>
        <v>LOW</v>
      </c>
      <c r="N1056" s="9" t="str" cm="1">
        <f t="array" ref="N1056">_xlfn.IFS(M1056="HIGH",K1056*L1056,M1056="MEDIUM",K1056*L1056,M1056="LOW","NA")</f>
        <v>NA</v>
      </c>
      <c r="O1056" s="18" t="str">
        <f t="shared" si="50"/>
        <v>cleared</v>
      </c>
    </row>
    <row r="1057" spans="1:15" x14ac:dyDescent="0.25">
      <c r="A1057" s="17">
        <v>1053</v>
      </c>
      <c r="B1057" s="6" t="s">
        <v>1090</v>
      </c>
      <c r="C1057" s="6" t="s">
        <v>16</v>
      </c>
      <c r="D1057" s="6" t="s">
        <v>56</v>
      </c>
      <c r="E1057" s="6" t="s">
        <v>23</v>
      </c>
      <c r="F1057" s="6" t="s">
        <v>29</v>
      </c>
      <c r="G1057" s="7">
        <v>46192</v>
      </c>
      <c r="H1057" s="6">
        <v>4</v>
      </c>
      <c r="I1057" s="6"/>
      <c r="J1057" s="7">
        <f t="shared" si="49"/>
        <v>46196</v>
      </c>
      <c r="K1057" s="8">
        <v>120</v>
      </c>
      <c r="L1057" s="9">
        <f t="shared" si="48"/>
        <v>63</v>
      </c>
      <c r="M1057" s="9" t="str" cm="1">
        <f t="array" ref="M1057">_xlfn.IFS(L1057&gt;=10,"HIGH",L1057=0,"LOW",L1057&lt;=9,"MEDIUM")</f>
        <v>HIGH</v>
      </c>
      <c r="N1057" s="9" cm="1">
        <f t="array" ref="N1057">_xlfn.IFS(M1057="HIGH",K1057*L1057,M1057="MEDIUM",K1057*L1057,M1057="LOW","NA")</f>
        <v>7560</v>
      </c>
      <c r="O1057" s="18" t="str">
        <f t="shared" si="50"/>
        <v>still in yard</v>
      </c>
    </row>
    <row r="1058" spans="1:15" x14ac:dyDescent="0.25">
      <c r="A1058" s="17">
        <v>1054</v>
      </c>
      <c r="B1058" s="6" t="s">
        <v>1091</v>
      </c>
      <c r="C1058" s="6" t="s">
        <v>11</v>
      </c>
      <c r="D1058" s="6" t="s">
        <v>20</v>
      </c>
      <c r="E1058" s="6" t="s">
        <v>44</v>
      </c>
      <c r="F1058" s="6" t="s">
        <v>27</v>
      </c>
      <c r="G1058" s="7">
        <v>46231</v>
      </c>
      <c r="H1058" s="6">
        <v>5</v>
      </c>
      <c r="I1058" s="6"/>
      <c r="J1058" s="7">
        <f t="shared" si="49"/>
        <v>46236</v>
      </c>
      <c r="K1058" s="8">
        <v>60</v>
      </c>
      <c r="L1058" s="9">
        <f t="shared" si="48"/>
        <v>23</v>
      </c>
      <c r="M1058" s="9" t="str" cm="1">
        <f t="array" ref="M1058">_xlfn.IFS(L1058&gt;=10,"HIGH",L1058=0,"LOW",L1058&lt;=9,"MEDIUM")</f>
        <v>HIGH</v>
      </c>
      <c r="N1058" s="9" cm="1">
        <f t="array" ref="N1058">_xlfn.IFS(M1058="HIGH",K1058*L1058,M1058="MEDIUM",K1058*L1058,M1058="LOW","NA")</f>
        <v>1380</v>
      </c>
      <c r="O1058" s="18" t="str">
        <f t="shared" si="50"/>
        <v>still in yard</v>
      </c>
    </row>
    <row r="1059" spans="1:15" x14ac:dyDescent="0.25">
      <c r="A1059" s="17">
        <v>1055</v>
      </c>
      <c r="B1059" s="6" t="s">
        <v>1092</v>
      </c>
      <c r="C1059" s="6" t="s">
        <v>33</v>
      </c>
      <c r="D1059" s="6" t="s">
        <v>34</v>
      </c>
      <c r="E1059" s="6" t="s">
        <v>42</v>
      </c>
      <c r="F1059" s="6" t="s">
        <v>29</v>
      </c>
      <c r="G1059" s="7">
        <v>46218</v>
      </c>
      <c r="H1059" s="6">
        <v>4</v>
      </c>
      <c r="I1059" s="7">
        <v>46227</v>
      </c>
      <c r="J1059" s="7">
        <f t="shared" si="49"/>
        <v>46222</v>
      </c>
      <c r="K1059" s="8">
        <v>180</v>
      </c>
      <c r="L1059" s="9">
        <f t="shared" si="48"/>
        <v>5</v>
      </c>
      <c r="M1059" s="9" t="str" cm="1">
        <f t="array" ref="M1059">_xlfn.IFS(L1059&gt;=10,"HIGH",L1059=0,"LOW",L1059&lt;=9,"MEDIUM")</f>
        <v>MEDIUM</v>
      </c>
      <c r="N1059" s="9" cm="1">
        <f t="array" ref="N1059">_xlfn.IFS(M1059="HIGH",K1059*L1059,M1059="MEDIUM",K1059*L1059,M1059="LOW","NA")</f>
        <v>900</v>
      </c>
      <c r="O1059" s="18" t="str">
        <f t="shared" si="50"/>
        <v>cleared</v>
      </c>
    </row>
    <row r="1060" spans="1:15" x14ac:dyDescent="0.25">
      <c r="A1060" s="17">
        <v>1056</v>
      </c>
      <c r="B1060" s="6" t="s">
        <v>1093</v>
      </c>
      <c r="C1060" s="6" t="s">
        <v>16</v>
      </c>
      <c r="D1060" s="6" t="s">
        <v>49</v>
      </c>
      <c r="E1060" s="6" t="s">
        <v>21</v>
      </c>
      <c r="F1060" s="6" t="s">
        <v>24</v>
      </c>
      <c r="G1060" s="7">
        <v>46253</v>
      </c>
      <c r="H1060" s="6">
        <v>5</v>
      </c>
      <c r="I1060" s="7">
        <v>46259</v>
      </c>
      <c r="J1060" s="7">
        <f t="shared" si="49"/>
        <v>46258</v>
      </c>
      <c r="K1060" s="8">
        <v>110</v>
      </c>
      <c r="L1060" s="9">
        <f t="shared" si="48"/>
        <v>1</v>
      </c>
      <c r="M1060" s="9" t="str" cm="1">
        <f t="array" ref="M1060">_xlfn.IFS(L1060&gt;=10,"HIGH",L1060=0,"LOW",L1060&lt;=9,"MEDIUM")</f>
        <v>MEDIUM</v>
      </c>
      <c r="N1060" s="9" cm="1">
        <f t="array" ref="N1060">_xlfn.IFS(M1060="HIGH",K1060*L1060,M1060="MEDIUM",K1060*L1060,M1060="LOW","NA")</f>
        <v>110</v>
      </c>
      <c r="O1060" s="18" t="str">
        <f t="shared" si="50"/>
        <v>cleared</v>
      </c>
    </row>
    <row r="1061" spans="1:15" x14ac:dyDescent="0.25">
      <c r="A1061" s="17">
        <v>1057</v>
      </c>
      <c r="B1061" s="6" t="s">
        <v>1094</v>
      </c>
      <c r="C1061" s="6" t="s">
        <v>16</v>
      </c>
      <c r="D1061" s="6" t="s">
        <v>17</v>
      </c>
      <c r="E1061" s="6" t="s">
        <v>18</v>
      </c>
      <c r="F1061" s="6" t="s">
        <v>14</v>
      </c>
      <c r="G1061" s="7">
        <v>46241</v>
      </c>
      <c r="H1061" s="6">
        <v>5</v>
      </c>
      <c r="I1061" s="7">
        <v>46242</v>
      </c>
      <c r="J1061" s="7">
        <f t="shared" si="49"/>
        <v>46246</v>
      </c>
      <c r="K1061" s="8">
        <v>75</v>
      </c>
      <c r="L1061" s="9">
        <f t="shared" si="48"/>
        <v>0</v>
      </c>
      <c r="M1061" s="9" t="str" cm="1">
        <f t="array" ref="M1061">_xlfn.IFS(L1061&gt;=10,"HIGH",L1061=0,"LOW",L1061&lt;=9,"MEDIUM")</f>
        <v>LOW</v>
      </c>
      <c r="N1061" s="9" t="str" cm="1">
        <f t="array" ref="N1061">_xlfn.IFS(M1061="HIGH",K1061*L1061,M1061="MEDIUM",K1061*L1061,M1061="LOW","NA")</f>
        <v>NA</v>
      </c>
      <c r="O1061" s="18" t="str">
        <f t="shared" si="50"/>
        <v>cleared</v>
      </c>
    </row>
    <row r="1062" spans="1:15" x14ac:dyDescent="0.25">
      <c r="A1062" s="17">
        <v>1058</v>
      </c>
      <c r="B1062" s="6" t="s">
        <v>1095</v>
      </c>
      <c r="C1062" s="6" t="s">
        <v>37</v>
      </c>
      <c r="D1062" s="6" t="s">
        <v>26</v>
      </c>
      <c r="E1062" s="6" t="s">
        <v>42</v>
      </c>
      <c r="F1062" s="6" t="s">
        <v>29</v>
      </c>
      <c r="G1062" s="7">
        <v>46192</v>
      </c>
      <c r="H1062" s="6">
        <v>3</v>
      </c>
      <c r="I1062" s="6"/>
      <c r="J1062" s="7">
        <f t="shared" si="49"/>
        <v>46195</v>
      </c>
      <c r="K1062" s="8">
        <v>150</v>
      </c>
      <c r="L1062" s="9">
        <f t="shared" si="48"/>
        <v>64</v>
      </c>
      <c r="M1062" s="9" t="str" cm="1">
        <f t="array" ref="M1062">_xlfn.IFS(L1062&gt;=10,"HIGH",L1062=0,"LOW",L1062&lt;=9,"MEDIUM")</f>
        <v>HIGH</v>
      </c>
      <c r="N1062" s="9" cm="1">
        <f t="array" ref="N1062">_xlfn.IFS(M1062="HIGH",K1062*L1062,M1062="MEDIUM",K1062*L1062,M1062="LOW","NA")</f>
        <v>9600</v>
      </c>
      <c r="O1062" s="18" t="str">
        <f t="shared" si="50"/>
        <v>still in yard</v>
      </c>
    </row>
    <row r="1063" spans="1:15" x14ac:dyDescent="0.25">
      <c r="A1063" s="17">
        <v>1059</v>
      </c>
      <c r="B1063" s="6" t="s">
        <v>1096</v>
      </c>
      <c r="C1063" s="6" t="s">
        <v>16</v>
      </c>
      <c r="D1063" s="6" t="s">
        <v>20</v>
      </c>
      <c r="E1063" s="6" t="s">
        <v>35</v>
      </c>
      <c r="F1063" s="6" t="s">
        <v>14</v>
      </c>
      <c r="G1063" s="7">
        <v>46231</v>
      </c>
      <c r="H1063" s="6">
        <v>4</v>
      </c>
      <c r="I1063" s="7">
        <v>46234</v>
      </c>
      <c r="J1063" s="7">
        <f t="shared" si="49"/>
        <v>46235</v>
      </c>
      <c r="K1063" s="8">
        <v>60</v>
      </c>
      <c r="L1063" s="9">
        <f t="shared" si="48"/>
        <v>0</v>
      </c>
      <c r="M1063" s="9" t="str" cm="1">
        <f t="array" ref="M1063">_xlfn.IFS(L1063&gt;=10,"HIGH",L1063=0,"LOW",L1063&lt;=9,"MEDIUM")</f>
        <v>LOW</v>
      </c>
      <c r="N1063" s="9" t="str" cm="1">
        <f t="array" ref="N1063">_xlfn.IFS(M1063="HIGH",K1063*L1063,M1063="MEDIUM",K1063*L1063,M1063="LOW","NA")</f>
        <v>NA</v>
      </c>
      <c r="O1063" s="18" t="str">
        <f t="shared" si="50"/>
        <v>cleared</v>
      </c>
    </row>
    <row r="1064" spans="1:15" x14ac:dyDescent="0.25">
      <c r="A1064" s="17">
        <v>1060</v>
      </c>
      <c r="B1064" s="6" t="s">
        <v>1097</v>
      </c>
      <c r="C1064" s="6" t="s">
        <v>33</v>
      </c>
      <c r="D1064" s="6" t="s">
        <v>20</v>
      </c>
      <c r="E1064" s="6" t="s">
        <v>44</v>
      </c>
      <c r="F1064" s="6" t="s">
        <v>29</v>
      </c>
      <c r="G1064" s="7">
        <v>46236</v>
      </c>
      <c r="H1064" s="6">
        <v>4</v>
      </c>
      <c r="I1064" s="7">
        <v>46237</v>
      </c>
      <c r="J1064" s="7">
        <f t="shared" si="49"/>
        <v>46240</v>
      </c>
      <c r="K1064" s="8">
        <v>180</v>
      </c>
      <c r="L1064" s="9">
        <f t="shared" si="48"/>
        <v>0</v>
      </c>
      <c r="M1064" s="9" t="str" cm="1">
        <f t="array" ref="M1064">_xlfn.IFS(L1064&gt;=10,"HIGH",L1064=0,"LOW",L1064&lt;=9,"MEDIUM")</f>
        <v>LOW</v>
      </c>
      <c r="N1064" s="9" t="str" cm="1">
        <f t="array" ref="N1064">_xlfn.IFS(M1064="HIGH",K1064*L1064,M1064="MEDIUM",K1064*L1064,M1064="LOW","NA")</f>
        <v>NA</v>
      </c>
      <c r="O1064" s="18" t="str">
        <f t="shared" si="50"/>
        <v>cleared</v>
      </c>
    </row>
    <row r="1065" spans="1:15" x14ac:dyDescent="0.25">
      <c r="A1065" s="17">
        <v>1061</v>
      </c>
      <c r="B1065" s="6" t="s">
        <v>1098</v>
      </c>
      <c r="C1065" s="6" t="s">
        <v>11</v>
      </c>
      <c r="D1065" s="6" t="s">
        <v>41</v>
      </c>
      <c r="E1065" s="6" t="s">
        <v>44</v>
      </c>
      <c r="F1065" s="6" t="s">
        <v>29</v>
      </c>
      <c r="G1065" s="7">
        <v>46211</v>
      </c>
      <c r="H1065" s="6">
        <v>4</v>
      </c>
      <c r="I1065" s="7">
        <v>46212</v>
      </c>
      <c r="J1065" s="7">
        <f t="shared" si="49"/>
        <v>46215</v>
      </c>
      <c r="K1065" s="8">
        <v>180</v>
      </c>
      <c r="L1065" s="9">
        <f t="shared" si="48"/>
        <v>0</v>
      </c>
      <c r="M1065" s="9" t="str" cm="1">
        <f t="array" ref="M1065">_xlfn.IFS(L1065&gt;=10,"HIGH",L1065=0,"LOW",L1065&lt;=9,"MEDIUM")</f>
        <v>LOW</v>
      </c>
      <c r="N1065" s="9" t="str" cm="1">
        <f t="array" ref="N1065">_xlfn.IFS(M1065="HIGH",K1065*L1065,M1065="MEDIUM",K1065*L1065,M1065="LOW","NA")</f>
        <v>NA</v>
      </c>
      <c r="O1065" s="18" t="str">
        <f t="shared" si="50"/>
        <v>cleared</v>
      </c>
    </row>
    <row r="1066" spans="1:15" x14ac:dyDescent="0.25">
      <c r="A1066" s="17">
        <v>1062</v>
      </c>
      <c r="B1066" s="6" t="s">
        <v>1099</v>
      </c>
      <c r="C1066" s="6" t="s">
        <v>37</v>
      </c>
      <c r="D1066" s="6" t="s">
        <v>31</v>
      </c>
      <c r="E1066" s="6" t="s">
        <v>35</v>
      </c>
      <c r="F1066" s="6" t="s">
        <v>14</v>
      </c>
      <c r="G1066" s="7">
        <v>46243</v>
      </c>
      <c r="H1066" s="6">
        <v>5</v>
      </c>
      <c r="I1066" s="7">
        <v>46250</v>
      </c>
      <c r="J1066" s="7">
        <f t="shared" si="49"/>
        <v>46248</v>
      </c>
      <c r="K1066" s="8">
        <v>130</v>
      </c>
      <c r="L1066" s="9">
        <f t="shared" si="48"/>
        <v>2</v>
      </c>
      <c r="M1066" s="9" t="str" cm="1">
        <f t="array" ref="M1066">_xlfn.IFS(L1066&gt;=10,"HIGH",L1066=0,"LOW",L1066&lt;=9,"MEDIUM")</f>
        <v>MEDIUM</v>
      </c>
      <c r="N1066" s="9" cm="1">
        <f t="array" ref="N1066">_xlfn.IFS(M1066="HIGH",K1066*L1066,M1066="MEDIUM",K1066*L1066,M1066="LOW","NA")</f>
        <v>260</v>
      </c>
      <c r="O1066" s="18" t="str">
        <f t="shared" si="50"/>
        <v>cleared</v>
      </c>
    </row>
    <row r="1067" spans="1:15" x14ac:dyDescent="0.25">
      <c r="A1067" s="17">
        <v>1063</v>
      </c>
      <c r="B1067" s="6" t="s">
        <v>1100</v>
      </c>
      <c r="C1067" s="6" t="s">
        <v>33</v>
      </c>
      <c r="D1067" s="6" t="s">
        <v>49</v>
      </c>
      <c r="E1067" s="6" t="s">
        <v>46</v>
      </c>
      <c r="F1067" s="6" t="s">
        <v>29</v>
      </c>
      <c r="G1067" s="7">
        <v>46175</v>
      </c>
      <c r="H1067" s="6">
        <v>4</v>
      </c>
      <c r="I1067" s="7">
        <v>46176</v>
      </c>
      <c r="J1067" s="7">
        <f t="shared" si="49"/>
        <v>46179</v>
      </c>
      <c r="K1067" s="8">
        <v>120</v>
      </c>
      <c r="L1067" s="9">
        <f t="shared" si="48"/>
        <v>0</v>
      </c>
      <c r="M1067" s="9" t="str" cm="1">
        <f t="array" ref="M1067">_xlfn.IFS(L1067&gt;=10,"HIGH",L1067=0,"LOW",L1067&lt;=9,"MEDIUM")</f>
        <v>LOW</v>
      </c>
      <c r="N1067" s="9" t="str" cm="1">
        <f t="array" ref="N1067">_xlfn.IFS(M1067="HIGH",K1067*L1067,M1067="MEDIUM",K1067*L1067,M1067="LOW","NA")</f>
        <v>NA</v>
      </c>
      <c r="O1067" s="18" t="str">
        <f t="shared" si="50"/>
        <v>cleared</v>
      </c>
    </row>
    <row r="1068" spans="1:15" x14ac:dyDescent="0.25">
      <c r="A1068" s="17">
        <v>1064</v>
      </c>
      <c r="B1068" s="6" t="s">
        <v>1101</v>
      </c>
      <c r="C1068" s="6" t="s">
        <v>16</v>
      </c>
      <c r="D1068" s="6" t="s">
        <v>54</v>
      </c>
      <c r="E1068" s="6" t="s">
        <v>18</v>
      </c>
      <c r="F1068" s="6" t="s">
        <v>29</v>
      </c>
      <c r="G1068" s="7">
        <v>46181</v>
      </c>
      <c r="H1068" s="6">
        <v>3</v>
      </c>
      <c r="I1068" s="7">
        <v>46184</v>
      </c>
      <c r="J1068" s="7">
        <f t="shared" si="49"/>
        <v>46184</v>
      </c>
      <c r="K1068" s="8">
        <v>180</v>
      </c>
      <c r="L1068" s="9">
        <f t="shared" si="48"/>
        <v>0</v>
      </c>
      <c r="M1068" s="9" t="str" cm="1">
        <f t="array" ref="M1068">_xlfn.IFS(L1068&gt;=10,"HIGH",L1068=0,"LOW",L1068&lt;=9,"MEDIUM")</f>
        <v>LOW</v>
      </c>
      <c r="N1068" s="9" t="str" cm="1">
        <f t="array" ref="N1068">_xlfn.IFS(M1068="HIGH",K1068*L1068,M1068="MEDIUM",K1068*L1068,M1068="LOW","NA")</f>
        <v>NA</v>
      </c>
      <c r="O1068" s="18" t="str">
        <f t="shared" si="50"/>
        <v>cleared</v>
      </c>
    </row>
    <row r="1069" spans="1:15" x14ac:dyDescent="0.25">
      <c r="A1069" s="17">
        <v>1065</v>
      </c>
      <c r="B1069" s="6" t="s">
        <v>1102</v>
      </c>
      <c r="C1069" s="6" t="s">
        <v>37</v>
      </c>
      <c r="D1069" s="6" t="s">
        <v>56</v>
      </c>
      <c r="E1069" s="6" t="s">
        <v>23</v>
      </c>
      <c r="F1069" s="6" t="s">
        <v>24</v>
      </c>
      <c r="G1069" s="7">
        <v>46172</v>
      </c>
      <c r="H1069" s="6">
        <v>6</v>
      </c>
      <c r="I1069" s="7">
        <v>46178</v>
      </c>
      <c r="J1069" s="7">
        <f t="shared" si="49"/>
        <v>46178</v>
      </c>
      <c r="K1069" s="8">
        <v>60</v>
      </c>
      <c r="L1069" s="9">
        <f t="shared" si="48"/>
        <v>0</v>
      </c>
      <c r="M1069" s="9" t="str" cm="1">
        <f t="array" ref="M1069">_xlfn.IFS(L1069&gt;=10,"HIGH",L1069=0,"LOW",L1069&lt;=9,"MEDIUM")</f>
        <v>LOW</v>
      </c>
      <c r="N1069" s="9" t="str" cm="1">
        <f t="array" ref="N1069">_xlfn.IFS(M1069="HIGH",K1069*L1069,M1069="MEDIUM",K1069*L1069,M1069="LOW","NA")</f>
        <v>NA</v>
      </c>
      <c r="O1069" s="18" t="str">
        <f t="shared" si="50"/>
        <v>cleared</v>
      </c>
    </row>
    <row r="1070" spans="1:15" x14ac:dyDescent="0.25">
      <c r="A1070" s="17">
        <v>1066</v>
      </c>
      <c r="B1070" s="6" t="s">
        <v>1103</v>
      </c>
      <c r="C1070" s="6" t="s">
        <v>11</v>
      </c>
      <c r="D1070" s="6" t="s">
        <v>17</v>
      </c>
      <c r="E1070" s="6" t="s">
        <v>42</v>
      </c>
      <c r="F1070" s="6" t="s">
        <v>29</v>
      </c>
      <c r="G1070" s="7">
        <v>46199</v>
      </c>
      <c r="H1070" s="6">
        <v>3</v>
      </c>
      <c r="I1070" s="7">
        <v>46201</v>
      </c>
      <c r="J1070" s="7">
        <f t="shared" si="49"/>
        <v>46202</v>
      </c>
      <c r="K1070" s="8">
        <v>180</v>
      </c>
      <c r="L1070" s="9">
        <f t="shared" si="48"/>
        <v>0</v>
      </c>
      <c r="M1070" s="9" t="str" cm="1">
        <f t="array" ref="M1070">_xlfn.IFS(L1070&gt;=10,"HIGH",L1070=0,"LOW",L1070&lt;=9,"MEDIUM")</f>
        <v>LOW</v>
      </c>
      <c r="N1070" s="9" t="str" cm="1">
        <f t="array" ref="N1070">_xlfn.IFS(M1070="HIGH",K1070*L1070,M1070="MEDIUM",K1070*L1070,M1070="LOW","NA")</f>
        <v>NA</v>
      </c>
      <c r="O1070" s="18" t="str">
        <f t="shared" si="50"/>
        <v>cleared</v>
      </c>
    </row>
    <row r="1071" spans="1:15" x14ac:dyDescent="0.25">
      <c r="A1071" s="17">
        <v>1067</v>
      </c>
      <c r="B1071" s="6" t="s">
        <v>1104</v>
      </c>
      <c r="C1071" s="6" t="s">
        <v>33</v>
      </c>
      <c r="D1071" s="6" t="s">
        <v>56</v>
      </c>
      <c r="E1071" s="6" t="s">
        <v>61</v>
      </c>
      <c r="F1071" s="6" t="s">
        <v>29</v>
      </c>
      <c r="G1071" s="7">
        <v>46213</v>
      </c>
      <c r="H1071" s="6">
        <v>4</v>
      </c>
      <c r="I1071" s="6"/>
      <c r="J1071" s="7">
        <f t="shared" si="49"/>
        <v>46217</v>
      </c>
      <c r="K1071" s="8">
        <v>120</v>
      </c>
      <c r="L1071" s="9">
        <f t="shared" si="48"/>
        <v>42</v>
      </c>
      <c r="M1071" s="9" t="str" cm="1">
        <f t="array" ref="M1071">_xlfn.IFS(L1071&gt;=10,"HIGH",L1071=0,"LOW",L1071&lt;=9,"MEDIUM")</f>
        <v>HIGH</v>
      </c>
      <c r="N1071" s="9" cm="1">
        <f t="array" ref="N1071">_xlfn.IFS(M1071="HIGH",K1071*L1071,M1071="MEDIUM",K1071*L1071,M1071="LOW","NA")</f>
        <v>5040</v>
      </c>
      <c r="O1071" s="18" t="str">
        <f t="shared" si="50"/>
        <v>still in yard</v>
      </c>
    </row>
    <row r="1072" spans="1:15" x14ac:dyDescent="0.25">
      <c r="A1072" s="17">
        <v>1068</v>
      </c>
      <c r="B1072" s="6" t="s">
        <v>1105</v>
      </c>
      <c r="C1072" s="6" t="s">
        <v>37</v>
      </c>
      <c r="D1072" s="6" t="s">
        <v>34</v>
      </c>
      <c r="E1072" s="6" t="s">
        <v>35</v>
      </c>
      <c r="F1072" s="6" t="s">
        <v>27</v>
      </c>
      <c r="G1072" s="7">
        <v>46197</v>
      </c>
      <c r="H1072" s="6">
        <v>5</v>
      </c>
      <c r="I1072" s="7">
        <v>46200</v>
      </c>
      <c r="J1072" s="7">
        <f t="shared" si="49"/>
        <v>46202</v>
      </c>
      <c r="K1072" s="8">
        <v>75</v>
      </c>
      <c r="L1072" s="9">
        <f t="shared" si="48"/>
        <v>0</v>
      </c>
      <c r="M1072" s="9" t="str" cm="1">
        <f t="array" ref="M1072">_xlfn.IFS(L1072&gt;=10,"HIGH",L1072=0,"LOW",L1072&lt;=9,"MEDIUM")</f>
        <v>LOW</v>
      </c>
      <c r="N1072" s="9" t="str" cm="1">
        <f t="array" ref="N1072">_xlfn.IFS(M1072="HIGH",K1072*L1072,M1072="MEDIUM",K1072*L1072,M1072="LOW","NA")</f>
        <v>NA</v>
      </c>
      <c r="O1072" s="18" t="str">
        <f t="shared" si="50"/>
        <v>cleared</v>
      </c>
    </row>
    <row r="1073" spans="1:15" x14ac:dyDescent="0.25">
      <c r="A1073" s="17">
        <v>1069</v>
      </c>
      <c r="B1073" s="6" t="s">
        <v>1106</v>
      </c>
      <c r="C1073" s="6" t="s">
        <v>37</v>
      </c>
      <c r="D1073" s="6" t="s">
        <v>34</v>
      </c>
      <c r="E1073" s="6" t="s">
        <v>21</v>
      </c>
      <c r="F1073" s="6" t="s">
        <v>27</v>
      </c>
      <c r="G1073" s="7">
        <v>46201</v>
      </c>
      <c r="H1073" s="6">
        <v>6</v>
      </c>
      <c r="I1073" s="7">
        <v>46209</v>
      </c>
      <c r="J1073" s="7">
        <f t="shared" si="49"/>
        <v>46207</v>
      </c>
      <c r="K1073" s="8">
        <v>110</v>
      </c>
      <c r="L1073" s="9">
        <f t="shared" si="48"/>
        <v>2</v>
      </c>
      <c r="M1073" s="9" t="str" cm="1">
        <f t="array" ref="M1073">_xlfn.IFS(L1073&gt;=10,"HIGH",L1073=0,"LOW",L1073&lt;=9,"MEDIUM")</f>
        <v>MEDIUM</v>
      </c>
      <c r="N1073" s="9" cm="1">
        <f t="array" ref="N1073">_xlfn.IFS(M1073="HIGH",K1073*L1073,M1073="MEDIUM",K1073*L1073,M1073="LOW","NA")</f>
        <v>220</v>
      </c>
      <c r="O1073" s="18" t="str">
        <f t="shared" si="50"/>
        <v>cleared</v>
      </c>
    </row>
    <row r="1074" spans="1:15" x14ac:dyDescent="0.25">
      <c r="A1074" s="17">
        <v>1070</v>
      </c>
      <c r="B1074" s="6" t="s">
        <v>1107</v>
      </c>
      <c r="C1074" s="6" t="s">
        <v>33</v>
      </c>
      <c r="D1074" s="6" t="s">
        <v>20</v>
      </c>
      <c r="E1074" s="6" t="s">
        <v>35</v>
      </c>
      <c r="F1074" s="6" t="s">
        <v>29</v>
      </c>
      <c r="G1074" s="7">
        <v>46198</v>
      </c>
      <c r="H1074" s="6">
        <v>4</v>
      </c>
      <c r="I1074" s="7">
        <v>46199</v>
      </c>
      <c r="J1074" s="7">
        <f t="shared" si="49"/>
        <v>46202</v>
      </c>
      <c r="K1074" s="8">
        <v>180</v>
      </c>
      <c r="L1074" s="9">
        <f t="shared" si="48"/>
        <v>0</v>
      </c>
      <c r="M1074" s="9" t="str" cm="1">
        <f t="array" ref="M1074">_xlfn.IFS(L1074&gt;=10,"HIGH",L1074=0,"LOW",L1074&lt;=9,"MEDIUM")</f>
        <v>LOW</v>
      </c>
      <c r="N1074" s="9" t="str" cm="1">
        <f t="array" ref="N1074">_xlfn.IFS(M1074="HIGH",K1074*L1074,M1074="MEDIUM",K1074*L1074,M1074="LOW","NA")</f>
        <v>NA</v>
      </c>
      <c r="O1074" s="18" t="str">
        <f t="shared" si="50"/>
        <v>cleared</v>
      </c>
    </row>
    <row r="1075" spans="1:15" x14ac:dyDescent="0.25">
      <c r="A1075" s="17">
        <v>1071</v>
      </c>
      <c r="B1075" s="6" t="s">
        <v>1108</v>
      </c>
      <c r="C1075" s="6" t="s">
        <v>33</v>
      </c>
      <c r="D1075" s="6" t="s">
        <v>54</v>
      </c>
      <c r="E1075" s="6" t="s">
        <v>18</v>
      </c>
      <c r="F1075" s="6" t="s">
        <v>24</v>
      </c>
      <c r="G1075" s="7">
        <v>46222</v>
      </c>
      <c r="H1075" s="6">
        <v>7</v>
      </c>
      <c r="I1075" s="6"/>
      <c r="J1075" s="7">
        <f t="shared" si="49"/>
        <v>46229</v>
      </c>
      <c r="K1075" s="8">
        <v>75</v>
      </c>
      <c r="L1075" s="9">
        <f t="shared" si="48"/>
        <v>30</v>
      </c>
      <c r="M1075" s="9" t="str" cm="1">
        <f t="array" ref="M1075">_xlfn.IFS(L1075&gt;=10,"HIGH",L1075=0,"LOW",L1075&lt;=9,"MEDIUM")</f>
        <v>HIGH</v>
      </c>
      <c r="N1075" s="9" cm="1">
        <f t="array" ref="N1075">_xlfn.IFS(M1075="HIGH",K1075*L1075,M1075="MEDIUM",K1075*L1075,M1075="LOW","NA")</f>
        <v>2250</v>
      </c>
      <c r="O1075" s="18" t="str">
        <f t="shared" si="50"/>
        <v>still in yard</v>
      </c>
    </row>
    <row r="1076" spans="1:15" x14ac:dyDescent="0.25">
      <c r="A1076" s="17">
        <v>1072</v>
      </c>
      <c r="B1076" s="6" t="s">
        <v>1109</v>
      </c>
      <c r="C1076" s="6" t="s">
        <v>37</v>
      </c>
      <c r="D1076" s="6" t="s">
        <v>56</v>
      </c>
      <c r="E1076" s="6" t="s">
        <v>42</v>
      </c>
      <c r="F1076" s="6" t="s">
        <v>27</v>
      </c>
      <c r="G1076" s="7">
        <v>46213</v>
      </c>
      <c r="H1076" s="6">
        <v>5</v>
      </c>
      <c r="I1076" s="7">
        <v>46219</v>
      </c>
      <c r="J1076" s="7">
        <f t="shared" si="49"/>
        <v>46218</v>
      </c>
      <c r="K1076" s="8">
        <v>90</v>
      </c>
      <c r="L1076" s="9">
        <f t="shared" si="48"/>
        <v>1</v>
      </c>
      <c r="M1076" s="9" t="str" cm="1">
        <f t="array" ref="M1076">_xlfn.IFS(L1076&gt;=10,"HIGH",L1076=0,"LOW",L1076&lt;=9,"MEDIUM")</f>
        <v>MEDIUM</v>
      </c>
      <c r="N1076" s="9" cm="1">
        <f t="array" ref="N1076">_xlfn.IFS(M1076="HIGH",K1076*L1076,M1076="MEDIUM",K1076*L1076,M1076="LOW","NA")</f>
        <v>90</v>
      </c>
      <c r="O1076" s="18" t="str">
        <f t="shared" si="50"/>
        <v>cleared</v>
      </c>
    </row>
    <row r="1077" spans="1:15" x14ac:dyDescent="0.25">
      <c r="A1077" s="17">
        <v>1073</v>
      </c>
      <c r="B1077" s="6" t="s">
        <v>1110</v>
      </c>
      <c r="C1077" s="6" t="s">
        <v>11</v>
      </c>
      <c r="D1077" s="6" t="s">
        <v>12</v>
      </c>
      <c r="E1077" s="6" t="s">
        <v>46</v>
      </c>
      <c r="F1077" s="6" t="s">
        <v>27</v>
      </c>
      <c r="G1077" s="7">
        <v>46202</v>
      </c>
      <c r="H1077" s="6">
        <v>7</v>
      </c>
      <c r="I1077" s="6"/>
      <c r="J1077" s="7">
        <f t="shared" si="49"/>
        <v>46209</v>
      </c>
      <c r="K1077" s="8">
        <v>130</v>
      </c>
      <c r="L1077" s="9">
        <f t="shared" si="48"/>
        <v>50</v>
      </c>
      <c r="M1077" s="9" t="str" cm="1">
        <f t="array" ref="M1077">_xlfn.IFS(L1077&gt;=10,"HIGH",L1077=0,"LOW",L1077&lt;=9,"MEDIUM")</f>
        <v>HIGH</v>
      </c>
      <c r="N1077" s="9" cm="1">
        <f t="array" ref="N1077">_xlfn.IFS(M1077="HIGH",K1077*L1077,M1077="MEDIUM",K1077*L1077,M1077="LOW","NA")</f>
        <v>6500</v>
      </c>
      <c r="O1077" s="18" t="str">
        <f t="shared" si="50"/>
        <v>still in yard</v>
      </c>
    </row>
    <row r="1078" spans="1:15" x14ac:dyDescent="0.25">
      <c r="A1078" s="17">
        <v>1074</v>
      </c>
      <c r="B1078" s="6" t="s">
        <v>1111</v>
      </c>
      <c r="C1078" s="6" t="s">
        <v>16</v>
      </c>
      <c r="D1078" s="6" t="s">
        <v>56</v>
      </c>
      <c r="E1078" s="6" t="s">
        <v>61</v>
      </c>
      <c r="F1078" s="6" t="s">
        <v>14</v>
      </c>
      <c r="G1078" s="7">
        <v>46176</v>
      </c>
      <c r="H1078" s="6">
        <v>7</v>
      </c>
      <c r="I1078" s="6"/>
      <c r="J1078" s="7">
        <f t="shared" si="49"/>
        <v>46183</v>
      </c>
      <c r="K1078" s="8">
        <v>130</v>
      </c>
      <c r="L1078" s="9">
        <f t="shared" si="48"/>
        <v>76</v>
      </c>
      <c r="M1078" s="9" t="str" cm="1">
        <f t="array" ref="M1078">_xlfn.IFS(L1078&gt;=10,"HIGH",L1078=0,"LOW",L1078&lt;=9,"MEDIUM")</f>
        <v>HIGH</v>
      </c>
      <c r="N1078" s="9" cm="1">
        <f t="array" ref="N1078">_xlfn.IFS(M1078="HIGH",K1078*L1078,M1078="MEDIUM",K1078*L1078,M1078="LOW","NA")</f>
        <v>9880</v>
      </c>
      <c r="O1078" s="18" t="str">
        <f t="shared" si="50"/>
        <v>still in yard</v>
      </c>
    </row>
    <row r="1079" spans="1:15" x14ac:dyDescent="0.25">
      <c r="A1079" s="17">
        <v>1075</v>
      </c>
      <c r="B1079" s="6" t="s">
        <v>1112</v>
      </c>
      <c r="C1079" s="6" t="s">
        <v>33</v>
      </c>
      <c r="D1079" s="6" t="s">
        <v>31</v>
      </c>
      <c r="E1079" s="6" t="s">
        <v>61</v>
      </c>
      <c r="F1079" s="6" t="s">
        <v>27</v>
      </c>
      <c r="G1079" s="7">
        <v>46181</v>
      </c>
      <c r="H1079" s="6">
        <v>7</v>
      </c>
      <c r="I1079" s="6"/>
      <c r="J1079" s="7">
        <f t="shared" si="49"/>
        <v>46188</v>
      </c>
      <c r="K1079" s="8">
        <v>75</v>
      </c>
      <c r="L1079" s="9">
        <f t="shared" si="48"/>
        <v>71</v>
      </c>
      <c r="M1079" s="9" t="str" cm="1">
        <f t="array" ref="M1079">_xlfn.IFS(L1079&gt;=10,"HIGH",L1079=0,"LOW",L1079&lt;=9,"MEDIUM")</f>
        <v>HIGH</v>
      </c>
      <c r="N1079" s="9" cm="1">
        <f t="array" ref="N1079">_xlfn.IFS(M1079="HIGH",K1079*L1079,M1079="MEDIUM",K1079*L1079,M1079="LOW","NA")</f>
        <v>5325</v>
      </c>
      <c r="O1079" s="18" t="str">
        <f t="shared" si="50"/>
        <v>still in yard</v>
      </c>
    </row>
    <row r="1080" spans="1:15" x14ac:dyDescent="0.25">
      <c r="A1080" s="17">
        <v>1076</v>
      </c>
      <c r="B1080" s="6" t="s">
        <v>1113</v>
      </c>
      <c r="C1080" s="6" t="s">
        <v>16</v>
      </c>
      <c r="D1080" s="6" t="s">
        <v>12</v>
      </c>
      <c r="E1080" s="6" t="s">
        <v>42</v>
      </c>
      <c r="F1080" s="6" t="s">
        <v>29</v>
      </c>
      <c r="G1080" s="7">
        <v>46254</v>
      </c>
      <c r="H1080" s="6">
        <v>4</v>
      </c>
      <c r="I1080" s="7">
        <v>46259</v>
      </c>
      <c r="J1080" s="7">
        <f t="shared" si="49"/>
        <v>46258</v>
      </c>
      <c r="K1080" s="8">
        <v>180</v>
      </c>
      <c r="L1080" s="9">
        <f t="shared" si="48"/>
        <v>1</v>
      </c>
      <c r="M1080" s="9" t="str" cm="1">
        <f t="array" ref="M1080">_xlfn.IFS(L1080&gt;=10,"HIGH",L1080=0,"LOW",L1080&lt;=9,"MEDIUM")</f>
        <v>MEDIUM</v>
      </c>
      <c r="N1080" s="9" cm="1">
        <f t="array" ref="N1080">_xlfn.IFS(M1080="HIGH",K1080*L1080,M1080="MEDIUM",K1080*L1080,M1080="LOW","NA")</f>
        <v>180</v>
      </c>
      <c r="O1080" s="18" t="str">
        <f t="shared" si="50"/>
        <v>cleared</v>
      </c>
    </row>
    <row r="1081" spans="1:15" x14ac:dyDescent="0.25">
      <c r="A1081" s="17">
        <v>1077</v>
      </c>
      <c r="B1081" s="6" t="s">
        <v>1114</v>
      </c>
      <c r="C1081" s="6" t="s">
        <v>16</v>
      </c>
      <c r="D1081" s="6" t="s">
        <v>17</v>
      </c>
      <c r="E1081" s="6" t="s">
        <v>46</v>
      </c>
      <c r="F1081" s="6" t="s">
        <v>14</v>
      </c>
      <c r="G1081" s="7">
        <v>46179</v>
      </c>
      <c r="H1081" s="6">
        <v>6</v>
      </c>
      <c r="I1081" s="6"/>
      <c r="J1081" s="7">
        <f t="shared" si="49"/>
        <v>46185</v>
      </c>
      <c r="K1081" s="8">
        <v>60</v>
      </c>
      <c r="L1081" s="9">
        <f t="shared" si="48"/>
        <v>74</v>
      </c>
      <c r="M1081" s="9" t="str" cm="1">
        <f t="array" ref="M1081">_xlfn.IFS(L1081&gt;=10,"HIGH",L1081=0,"LOW",L1081&lt;=9,"MEDIUM")</f>
        <v>HIGH</v>
      </c>
      <c r="N1081" s="9" cm="1">
        <f t="array" ref="N1081">_xlfn.IFS(M1081="HIGH",K1081*L1081,M1081="MEDIUM",K1081*L1081,M1081="LOW","NA")</f>
        <v>4440</v>
      </c>
      <c r="O1081" s="18" t="str">
        <f t="shared" si="50"/>
        <v>still in yard</v>
      </c>
    </row>
    <row r="1082" spans="1:15" x14ac:dyDescent="0.25">
      <c r="A1082" s="17">
        <v>1078</v>
      </c>
      <c r="B1082" s="6" t="s">
        <v>1115</v>
      </c>
      <c r="C1082" s="6" t="s">
        <v>37</v>
      </c>
      <c r="D1082" s="6" t="s">
        <v>12</v>
      </c>
      <c r="E1082" s="6" t="s">
        <v>35</v>
      </c>
      <c r="F1082" s="6" t="s">
        <v>27</v>
      </c>
      <c r="G1082" s="7">
        <v>46257</v>
      </c>
      <c r="H1082" s="6">
        <v>5</v>
      </c>
      <c r="I1082" s="7">
        <v>46259</v>
      </c>
      <c r="J1082" s="7">
        <f t="shared" si="49"/>
        <v>46262</v>
      </c>
      <c r="K1082" s="8">
        <v>130</v>
      </c>
      <c r="L1082" s="9">
        <f t="shared" si="48"/>
        <v>0</v>
      </c>
      <c r="M1082" s="9" t="str" cm="1">
        <f t="array" ref="M1082">_xlfn.IFS(L1082&gt;=10,"HIGH",L1082=0,"LOW",L1082&lt;=9,"MEDIUM")</f>
        <v>LOW</v>
      </c>
      <c r="N1082" s="9" t="str" cm="1">
        <f t="array" ref="N1082">_xlfn.IFS(M1082="HIGH",K1082*L1082,M1082="MEDIUM",K1082*L1082,M1082="LOW","NA")</f>
        <v>NA</v>
      </c>
      <c r="O1082" s="18" t="str">
        <f t="shared" si="50"/>
        <v>cleared</v>
      </c>
    </row>
    <row r="1083" spans="1:15" x14ac:dyDescent="0.25">
      <c r="A1083" s="17">
        <v>1079</v>
      </c>
      <c r="B1083" s="6" t="s">
        <v>1116</v>
      </c>
      <c r="C1083" s="6" t="s">
        <v>16</v>
      </c>
      <c r="D1083" s="6" t="s">
        <v>12</v>
      </c>
      <c r="E1083" s="6" t="s">
        <v>18</v>
      </c>
      <c r="F1083" s="6" t="s">
        <v>14</v>
      </c>
      <c r="G1083" s="7">
        <v>46254</v>
      </c>
      <c r="H1083" s="6">
        <v>4</v>
      </c>
      <c r="I1083" s="6"/>
      <c r="J1083" s="7">
        <f t="shared" si="49"/>
        <v>46258</v>
      </c>
      <c r="K1083" s="8">
        <v>90</v>
      </c>
      <c r="L1083" s="9">
        <f t="shared" si="48"/>
        <v>1</v>
      </c>
      <c r="M1083" s="9" t="str" cm="1">
        <f t="array" ref="M1083">_xlfn.IFS(L1083&gt;=10,"HIGH",L1083=0,"LOW",L1083&lt;=9,"MEDIUM")</f>
        <v>MEDIUM</v>
      </c>
      <c r="N1083" s="9" cm="1">
        <f t="array" ref="N1083">_xlfn.IFS(M1083="HIGH",K1083*L1083,M1083="MEDIUM",K1083*L1083,M1083="LOW","NA")</f>
        <v>90</v>
      </c>
      <c r="O1083" s="18" t="str">
        <f t="shared" si="50"/>
        <v>still in yard</v>
      </c>
    </row>
    <row r="1084" spans="1:15" x14ac:dyDescent="0.25">
      <c r="A1084" s="17">
        <v>1080</v>
      </c>
      <c r="B1084" s="6" t="s">
        <v>1117</v>
      </c>
      <c r="C1084" s="6" t="s">
        <v>16</v>
      </c>
      <c r="D1084" s="6" t="s">
        <v>56</v>
      </c>
      <c r="E1084" s="6" t="s">
        <v>18</v>
      </c>
      <c r="F1084" s="6" t="s">
        <v>24</v>
      </c>
      <c r="G1084" s="7">
        <v>46218</v>
      </c>
      <c r="H1084" s="6">
        <v>4</v>
      </c>
      <c r="I1084" s="7">
        <v>46219</v>
      </c>
      <c r="J1084" s="7">
        <f t="shared" si="49"/>
        <v>46222</v>
      </c>
      <c r="K1084" s="8">
        <v>75</v>
      </c>
      <c r="L1084" s="9">
        <f t="shared" si="48"/>
        <v>0</v>
      </c>
      <c r="M1084" s="9" t="str" cm="1">
        <f t="array" ref="M1084">_xlfn.IFS(L1084&gt;=10,"HIGH",L1084=0,"LOW",L1084&lt;=9,"MEDIUM")</f>
        <v>LOW</v>
      </c>
      <c r="N1084" s="9" t="str" cm="1">
        <f t="array" ref="N1084">_xlfn.IFS(M1084="HIGH",K1084*L1084,M1084="MEDIUM",K1084*L1084,M1084="LOW","NA")</f>
        <v>NA</v>
      </c>
      <c r="O1084" s="18" t="str">
        <f t="shared" si="50"/>
        <v>cleared</v>
      </c>
    </row>
    <row r="1085" spans="1:15" x14ac:dyDescent="0.25">
      <c r="A1085" s="17">
        <v>1081</v>
      </c>
      <c r="B1085" s="6" t="s">
        <v>1118</v>
      </c>
      <c r="C1085" s="6" t="s">
        <v>11</v>
      </c>
      <c r="D1085" s="6" t="s">
        <v>41</v>
      </c>
      <c r="E1085" s="6" t="s">
        <v>42</v>
      </c>
      <c r="F1085" s="6" t="s">
        <v>29</v>
      </c>
      <c r="G1085" s="7">
        <v>46193</v>
      </c>
      <c r="H1085" s="6">
        <v>3</v>
      </c>
      <c r="I1085" s="6"/>
      <c r="J1085" s="7">
        <f t="shared" si="49"/>
        <v>46196</v>
      </c>
      <c r="K1085" s="8">
        <v>120</v>
      </c>
      <c r="L1085" s="9">
        <f t="shared" si="48"/>
        <v>63</v>
      </c>
      <c r="M1085" s="9" t="str" cm="1">
        <f t="array" ref="M1085">_xlfn.IFS(L1085&gt;=10,"HIGH",L1085=0,"LOW",L1085&lt;=9,"MEDIUM")</f>
        <v>HIGH</v>
      </c>
      <c r="N1085" s="9" cm="1">
        <f t="array" ref="N1085">_xlfn.IFS(M1085="HIGH",K1085*L1085,M1085="MEDIUM",K1085*L1085,M1085="LOW","NA")</f>
        <v>7560</v>
      </c>
      <c r="O1085" s="18" t="str">
        <f t="shared" si="50"/>
        <v>still in yard</v>
      </c>
    </row>
    <row r="1086" spans="1:15" x14ac:dyDescent="0.25">
      <c r="A1086" s="17">
        <v>1082</v>
      </c>
      <c r="B1086" s="6" t="s">
        <v>1119</v>
      </c>
      <c r="C1086" s="6" t="s">
        <v>37</v>
      </c>
      <c r="D1086" s="6" t="s">
        <v>26</v>
      </c>
      <c r="E1086" s="6" t="s">
        <v>61</v>
      </c>
      <c r="F1086" s="6" t="s">
        <v>27</v>
      </c>
      <c r="G1086" s="7">
        <v>46237</v>
      </c>
      <c r="H1086" s="6">
        <v>5</v>
      </c>
      <c r="I1086" s="7">
        <v>46242</v>
      </c>
      <c r="J1086" s="7">
        <f t="shared" si="49"/>
        <v>46242</v>
      </c>
      <c r="K1086" s="8">
        <v>130</v>
      </c>
      <c r="L1086" s="9">
        <f t="shared" si="48"/>
        <v>0</v>
      </c>
      <c r="M1086" s="9" t="str" cm="1">
        <f t="array" ref="M1086">_xlfn.IFS(L1086&gt;=10,"HIGH",L1086=0,"LOW",L1086&lt;=9,"MEDIUM")</f>
        <v>LOW</v>
      </c>
      <c r="N1086" s="9" t="str" cm="1">
        <f t="array" ref="N1086">_xlfn.IFS(M1086="HIGH",K1086*L1086,M1086="MEDIUM",K1086*L1086,M1086="LOW","NA")</f>
        <v>NA</v>
      </c>
      <c r="O1086" s="18" t="str">
        <f t="shared" si="50"/>
        <v>cleared</v>
      </c>
    </row>
    <row r="1087" spans="1:15" x14ac:dyDescent="0.25">
      <c r="A1087" s="17">
        <v>1083</v>
      </c>
      <c r="B1087" s="6" t="s">
        <v>1120</v>
      </c>
      <c r="C1087" s="6" t="s">
        <v>16</v>
      </c>
      <c r="D1087" s="6" t="s">
        <v>34</v>
      </c>
      <c r="E1087" s="6" t="s">
        <v>42</v>
      </c>
      <c r="F1087" s="6" t="s">
        <v>24</v>
      </c>
      <c r="G1087" s="7">
        <v>46185</v>
      </c>
      <c r="H1087" s="6">
        <v>5</v>
      </c>
      <c r="I1087" s="6"/>
      <c r="J1087" s="7">
        <f t="shared" si="49"/>
        <v>46190</v>
      </c>
      <c r="K1087" s="8">
        <v>90</v>
      </c>
      <c r="L1087" s="9">
        <f t="shared" si="48"/>
        <v>69</v>
      </c>
      <c r="M1087" s="9" t="str" cm="1">
        <f t="array" ref="M1087">_xlfn.IFS(L1087&gt;=10,"HIGH",L1087=0,"LOW",L1087&lt;=9,"MEDIUM")</f>
        <v>HIGH</v>
      </c>
      <c r="N1087" s="9" cm="1">
        <f t="array" ref="N1087">_xlfn.IFS(M1087="HIGH",K1087*L1087,M1087="MEDIUM",K1087*L1087,M1087="LOW","NA")</f>
        <v>6210</v>
      </c>
      <c r="O1087" s="18" t="str">
        <f t="shared" si="50"/>
        <v>still in yard</v>
      </c>
    </row>
    <row r="1088" spans="1:15" x14ac:dyDescent="0.25">
      <c r="A1088" s="17">
        <v>1084</v>
      </c>
      <c r="B1088" s="6" t="s">
        <v>1121</v>
      </c>
      <c r="C1088" s="6" t="s">
        <v>11</v>
      </c>
      <c r="D1088" s="6" t="s">
        <v>20</v>
      </c>
      <c r="E1088" s="6" t="s">
        <v>13</v>
      </c>
      <c r="F1088" s="6" t="s">
        <v>24</v>
      </c>
      <c r="G1088" s="7">
        <v>46241</v>
      </c>
      <c r="H1088" s="6">
        <v>5</v>
      </c>
      <c r="I1088" s="7">
        <v>46248</v>
      </c>
      <c r="J1088" s="7">
        <f t="shared" si="49"/>
        <v>46246</v>
      </c>
      <c r="K1088" s="8">
        <v>60</v>
      </c>
      <c r="L1088" s="9">
        <f t="shared" si="48"/>
        <v>2</v>
      </c>
      <c r="M1088" s="9" t="str" cm="1">
        <f t="array" ref="M1088">_xlfn.IFS(L1088&gt;=10,"HIGH",L1088=0,"LOW",L1088&lt;=9,"MEDIUM")</f>
        <v>MEDIUM</v>
      </c>
      <c r="N1088" s="9" cm="1">
        <f t="array" ref="N1088">_xlfn.IFS(M1088="HIGH",K1088*L1088,M1088="MEDIUM",K1088*L1088,M1088="LOW","NA")</f>
        <v>120</v>
      </c>
      <c r="O1088" s="18" t="str">
        <f t="shared" si="50"/>
        <v>cleared</v>
      </c>
    </row>
    <row r="1089" spans="1:15" x14ac:dyDescent="0.25">
      <c r="A1089" s="17">
        <v>1085</v>
      </c>
      <c r="B1089" s="6" t="s">
        <v>1122</v>
      </c>
      <c r="C1089" s="6" t="s">
        <v>37</v>
      </c>
      <c r="D1089" s="6" t="s">
        <v>17</v>
      </c>
      <c r="E1089" s="6" t="s">
        <v>46</v>
      </c>
      <c r="F1089" s="6" t="s">
        <v>14</v>
      </c>
      <c r="G1089" s="7">
        <v>46216</v>
      </c>
      <c r="H1089" s="6">
        <v>4</v>
      </c>
      <c r="I1089" s="7">
        <v>46217</v>
      </c>
      <c r="J1089" s="7">
        <f t="shared" si="49"/>
        <v>46220</v>
      </c>
      <c r="K1089" s="8">
        <v>60</v>
      </c>
      <c r="L1089" s="9">
        <f t="shared" si="48"/>
        <v>0</v>
      </c>
      <c r="M1089" s="9" t="str" cm="1">
        <f t="array" ref="M1089">_xlfn.IFS(L1089&gt;=10,"HIGH",L1089=0,"LOW",L1089&lt;=9,"MEDIUM")</f>
        <v>LOW</v>
      </c>
      <c r="N1089" s="9" t="str" cm="1">
        <f t="array" ref="N1089">_xlfn.IFS(M1089="HIGH",K1089*L1089,M1089="MEDIUM",K1089*L1089,M1089="LOW","NA")</f>
        <v>NA</v>
      </c>
      <c r="O1089" s="18" t="str">
        <f t="shared" si="50"/>
        <v>cleared</v>
      </c>
    </row>
    <row r="1090" spans="1:15" x14ac:dyDescent="0.25">
      <c r="A1090" s="17">
        <v>1086</v>
      </c>
      <c r="B1090" s="6" t="s">
        <v>1123</v>
      </c>
      <c r="C1090" s="6" t="s">
        <v>37</v>
      </c>
      <c r="D1090" s="6" t="s">
        <v>31</v>
      </c>
      <c r="E1090" s="6" t="s">
        <v>21</v>
      </c>
      <c r="F1090" s="6" t="s">
        <v>24</v>
      </c>
      <c r="G1090" s="7">
        <v>46196</v>
      </c>
      <c r="H1090" s="6">
        <v>5</v>
      </c>
      <c r="I1090" s="6"/>
      <c r="J1090" s="7">
        <f t="shared" si="49"/>
        <v>46201</v>
      </c>
      <c r="K1090" s="8">
        <v>110</v>
      </c>
      <c r="L1090" s="9">
        <f t="shared" si="48"/>
        <v>58</v>
      </c>
      <c r="M1090" s="9" t="str" cm="1">
        <f t="array" ref="M1090">_xlfn.IFS(L1090&gt;=10,"HIGH",L1090=0,"LOW",L1090&lt;=9,"MEDIUM")</f>
        <v>HIGH</v>
      </c>
      <c r="N1090" s="9" cm="1">
        <f t="array" ref="N1090">_xlfn.IFS(M1090="HIGH",K1090*L1090,M1090="MEDIUM",K1090*L1090,M1090="LOW","NA")</f>
        <v>6380</v>
      </c>
      <c r="O1090" s="18" t="str">
        <f t="shared" si="50"/>
        <v>still in yard</v>
      </c>
    </row>
    <row r="1091" spans="1:15" x14ac:dyDescent="0.25">
      <c r="A1091" s="17">
        <v>1087</v>
      </c>
      <c r="B1091" s="6" t="s">
        <v>1124</v>
      </c>
      <c r="C1091" s="6" t="s">
        <v>11</v>
      </c>
      <c r="D1091" s="6" t="s">
        <v>54</v>
      </c>
      <c r="E1091" s="6" t="s">
        <v>46</v>
      </c>
      <c r="F1091" s="6" t="s">
        <v>24</v>
      </c>
      <c r="G1091" s="7">
        <v>46188</v>
      </c>
      <c r="H1091" s="6">
        <v>4</v>
      </c>
      <c r="I1091" s="7">
        <v>46192</v>
      </c>
      <c r="J1091" s="7">
        <f t="shared" si="49"/>
        <v>46192</v>
      </c>
      <c r="K1091" s="8">
        <v>60</v>
      </c>
      <c r="L1091" s="9">
        <f t="shared" si="48"/>
        <v>0</v>
      </c>
      <c r="M1091" s="9" t="str" cm="1">
        <f t="array" ref="M1091">_xlfn.IFS(L1091&gt;=10,"HIGH",L1091=0,"LOW",L1091&lt;=9,"MEDIUM")</f>
        <v>LOW</v>
      </c>
      <c r="N1091" s="9" t="str" cm="1">
        <f t="array" ref="N1091">_xlfn.IFS(M1091="HIGH",K1091*L1091,M1091="MEDIUM",K1091*L1091,M1091="LOW","NA")</f>
        <v>NA</v>
      </c>
      <c r="O1091" s="18" t="str">
        <f t="shared" si="50"/>
        <v>cleared</v>
      </c>
    </row>
    <row r="1092" spans="1:15" x14ac:dyDescent="0.25">
      <c r="A1092" s="17">
        <v>1088</v>
      </c>
      <c r="B1092" s="6" t="s">
        <v>1125</v>
      </c>
      <c r="C1092" s="6" t="s">
        <v>33</v>
      </c>
      <c r="D1092" s="6" t="s">
        <v>41</v>
      </c>
      <c r="E1092" s="6" t="s">
        <v>46</v>
      </c>
      <c r="F1092" s="6" t="s">
        <v>29</v>
      </c>
      <c r="G1092" s="7">
        <v>46249</v>
      </c>
      <c r="H1092" s="6">
        <v>3</v>
      </c>
      <c r="I1092" s="7">
        <v>46254</v>
      </c>
      <c r="J1092" s="7">
        <f t="shared" si="49"/>
        <v>46252</v>
      </c>
      <c r="K1092" s="8">
        <v>180</v>
      </c>
      <c r="L1092" s="9">
        <f t="shared" si="48"/>
        <v>2</v>
      </c>
      <c r="M1092" s="9" t="str" cm="1">
        <f t="array" ref="M1092">_xlfn.IFS(L1092&gt;=10,"HIGH",L1092=0,"LOW",L1092&lt;=9,"MEDIUM")</f>
        <v>MEDIUM</v>
      </c>
      <c r="N1092" s="9" cm="1">
        <f t="array" ref="N1092">_xlfn.IFS(M1092="HIGH",K1092*L1092,M1092="MEDIUM",K1092*L1092,M1092="LOW","NA")</f>
        <v>360</v>
      </c>
      <c r="O1092" s="18" t="str">
        <f t="shared" si="50"/>
        <v>cleared</v>
      </c>
    </row>
    <row r="1093" spans="1:15" x14ac:dyDescent="0.25">
      <c r="A1093" s="17">
        <v>1089</v>
      </c>
      <c r="B1093" s="6" t="s">
        <v>1126</v>
      </c>
      <c r="C1093" s="6" t="s">
        <v>16</v>
      </c>
      <c r="D1093" s="6" t="s">
        <v>49</v>
      </c>
      <c r="E1093" s="6" t="s">
        <v>44</v>
      </c>
      <c r="F1093" s="6" t="s">
        <v>14</v>
      </c>
      <c r="G1093" s="7">
        <v>46226</v>
      </c>
      <c r="H1093" s="6">
        <v>5</v>
      </c>
      <c r="I1093" s="6"/>
      <c r="J1093" s="7">
        <f t="shared" si="49"/>
        <v>46231</v>
      </c>
      <c r="K1093" s="8">
        <v>130</v>
      </c>
      <c r="L1093" s="9">
        <f t="shared" ref="L1093:L1156" si="51">MAX(0, IF(I1093="", $C$2-J1093, I1093-J1093))</f>
        <v>28</v>
      </c>
      <c r="M1093" s="9" t="str" cm="1">
        <f t="array" ref="M1093">_xlfn.IFS(L1093&gt;=10,"HIGH",L1093=0,"LOW",L1093&lt;=9,"MEDIUM")</f>
        <v>HIGH</v>
      </c>
      <c r="N1093" s="9" cm="1">
        <f t="array" ref="N1093">_xlfn.IFS(M1093="HIGH",K1093*L1093,M1093="MEDIUM",K1093*L1093,M1093="LOW","NA")</f>
        <v>3640</v>
      </c>
      <c r="O1093" s="18" t="str">
        <f t="shared" si="50"/>
        <v>still in yard</v>
      </c>
    </row>
    <row r="1094" spans="1:15" x14ac:dyDescent="0.25">
      <c r="A1094" s="17">
        <v>1090</v>
      </c>
      <c r="B1094" s="6" t="s">
        <v>1127</v>
      </c>
      <c r="C1094" s="6" t="s">
        <v>37</v>
      </c>
      <c r="D1094" s="6" t="s">
        <v>41</v>
      </c>
      <c r="E1094" s="6" t="s">
        <v>13</v>
      </c>
      <c r="F1094" s="6" t="s">
        <v>24</v>
      </c>
      <c r="G1094" s="7">
        <v>46185</v>
      </c>
      <c r="H1094" s="6">
        <v>5</v>
      </c>
      <c r="I1094" s="7">
        <v>46187</v>
      </c>
      <c r="J1094" s="7">
        <f t="shared" ref="J1094:J1157" si="52">G1094+H1094</f>
        <v>46190</v>
      </c>
      <c r="K1094" s="8">
        <v>110</v>
      </c>
      <c r="L1094" s="9">
        <f t="shared" si="51"/>
        <v>0</v>
      </c>
      <c r="M1094" s="9" t="str" cm="1">
        <f t="array" ref="M1094">_xlfn.IFS(L1094&gt;=10,"HIGH",L1094=0,"LOW",L1094&lt;=9,"MEDIUM")</f>
        <v>LOW</v>
      </c>
      <c r="N1094" s="9" t="str" cm="1">
        <f t="array" ref="N1094">_xlfn.IFS(M1094="HIGH",K1094*L1094,M1094="MEDIUM",K1094*L1094,M1094="LOW","NA")</f>
        <v>NA</v>
      </c>
      <c r="O1094" s="18" t="str">
        <f t="shared" ref="O1094:O1157" si="53">IF(I1094="","still in yard","cleared")</f>
        <v>cleared</v>
      </c>
    </row>
    <row r="1095" spans="1:15" x14ac:dyDescent="0.25">
      <c r="A1095" s="17">
        <v>1091</v>
      </c>
      <c r="B1095" s="6" t="s">
        <v>1128</v>
      </c>
      <c r="C1095" s="6" t="s">
        <v>33</v>
      </c>
      <c r="D1095" s="6" t="s">
        <v>17</v>
      </c>
      <c r="E1095" s="6" t="s">
        <v>61</v>
      </c>
      <c r="F1095" s="6" t="s">
        <v>27</v>
      </c>
      <c r="G1095" s="7">
        <v>46225</v>
      </c>
      <c r="H1095" s="6">
        <v>6</v>
      </c>
      <c r="I1095" s="7">
        <v>46234</v>
      </c>
      <c r="J1095" s="7">
        <f t="shared" si="52"/>
        <v>46231</v>
      </c>
      <c r="K1095" s="8">
        <v>60</v>
      </c>
      <c r="L1095" s="9">
        <f t="shared" si="51"/>
        <v>3</v>
      </c>
      <c r="M1095" s="9" t="str" cm="1">
        <f t="array" ref="M1095">_xlfn.IFS(L1095&gt;=10,"HIGH",L1095=0,"LOW",L1095&lt;=9,"MEDIUM")</f>
        <v>MEDIUM</v>
      </c>
      <c r="N1095" s="9" cm="1">
        <f t="array" ref="N1095">_xlfn.IFS(M1095="HIGH",K1095*L1095,M1095="MEDIUM",K1095*L1095,M1095="LOW","NA")</f>
        <v>180</v>
      </c>
      <c r="O1095" s="18" t="str">
        <f t="shared" si="53"/>
        <v>cleared</v>
      </c>
    </row>
    <row r="1096" spans="1:15" x14ac:dyDescent="0.25">
      <c r="A1096" s="17">
        <v>1092</v>
      </c>
      <c r="B1096" s="6" t="s">
        <v>1129</v>
      </c>
      <c r="C1096" s="6" t="s">
        <v>37</v>
      </c>
      <c r="D1096" s="6" t="s">
        <v>17</v>
      </c>
      <c r="E1096" s="6" t="s">
        <v>44</v>
      </c>
      <c r="F1096" s="6" t="s">
        <v>29</v>
      </c>
      <c r="G1096" s="7">
        <v>46221</v>
      </c>
      <c r="H1096" s="6">
        <v>4</v>
      </c>
      <c r="I1096" s="6"/>
      <c r="J1096" s="7">
        <f t="shared" si="52"/>
        <v>46225</v>
      </c>
      <c r="K1096" s="8">
        <v>150</v>
      </c>
      <c r="L1096" s="9">
        <f t="shared" si="51"/>
        <v>34</v>
      </c>
      <c r="M1096" s="9" t="str" cm="1">
        <f t="array" ref="M1096">_xlfn.IFS(L1096&gt;=10,"HIGH",L1096=0,"LOW",L1096&lt;=9,"MEDIUM")</f>
        <v>HIGH</v>
      </c>
      <c r="N1096" s="9" cm="1">
        <f t="array" ref="N1096">_xlfn.IFS(M1096="HIGH",K1096*L1096,M1096="MEDIUM",K1096*L1096,M1096="LOW","NA")</f>
        <v>5100</v>
      </c>
      <c r="O1096" s="18" t="str">
        <f t="shared" si="53"/>
        <v>still in yard</v>
      </c>
    </row>
    <row r="1097" spans="1:15" x14ac:dyDescent="0.25">
      <c r="A1097" s="17">
        <v>1093</v>
      </c>
      <c r="B1097" s="6" t="s">
        <v>1130</v>
      </c>
      <c r="C1097" s="6" t="s">
        <v>16</v>
      </c>
      <c r="D1097" s="6" t="s">
        <v>56</v>
      </c>
      <c r="E1097" s="6" t="s">
        <v>46</v>
      </c>
      <c r="F1097" s="6" t="s">
        <v>24</v>
      </c>
      <c r="G1097" s="7">
        <v>46200</v>
      </c>
      <c r="H1097" s="6">
        <v>5</v>
      </c>
      <c r="I1097" s="6"/>
      <c r="J1097" s="7">
        <f t="shared" si="52"/>
        <v>46205</v>
      </c>
      <c r="K1097" s="8">
        <v>130</v>
      </c>
      <c r="L1097" s="9">
        <f t="shared" si="51"/>
        <v>54</v>
      </c>
      <c r="M1097" s="9" t="str" cm="1">
        <f t="array" ref="M1097">_xlfn.IFS(L1097&gt;=10,"HIGH",L1097=0,"LOW",L1097&lt;=9,"MEDIUM")</f>
        <v>HIGH</v>
      </c>
      <c r="N1097" s="9" cm="1">
        <f t="array" ref="N1097">_xlfn.IFS(M1097="HIGH",K1097*L1097,M1097="MEDIUM",K1097*L1097,M1097="LOW","NA")</f>
        <v>7020</v>
      </c>
      <c r="O1097" s="18" t="str">
        <f t="shared" si="53"/>
        <v>still in yard</v>
      </c>
    </row>
    <row r="1098" spans="1:15" x14ac:dyDescent="0.25">
      <c r="A1098" s="17">
        <v>1094</v>
      </c>
      <c r="B1098" s="6" t="s">
        <v>1131</v>
      </c>
      <c r="C1098" s="6" t="s">
        <v>33</v>
      </c>
      <c r="D1098" s="6" t="s">
        <v>12</v>
      </c>
      <c r="E1098" s="6" t="s">
        <v>46</v>
      </c>
      <c r="F1098" s="6" t="s">
        <v>29</v>
      </c>
      <c r="G1098" s="7">
        <v>46211</v>
      </c>
      <c r="H1098" s="6">
        <v>4</v>
      </c>
      <c r="I1098" s="7">
        <v>46212</v>
      </c>
      <c r="J1098" s="7">
        <f t="shared" si="52"/>
        <v>46215</v>
      </c>
      <c r="K1098" s="8">
        <v>180</v>
      </c>
      <c r="L1098" s="9">
        <f t="shared" si="51"/>
        <v>0</v>
      </c>
      <c r="M1098" s="9" t="str" cm="1">
        <f t="array" ref="M1098">_xlfn.IFS(L1098&gt;=10,"HIGH",L1098=0,"LOW",L1098&lt;=9,"MEDIUM")</f>
        <v>LOW</v>
      </c>
      <c r="N1098" s="9" t="str" cm="1">
        <f t="array" ref="N1098">_xlfn.IFS(M1098="HIGH",K1098*L1098,M1098="MEDIUM",K1098*L1098,M1098="LOW","NA")</f>
        <v>NA</v>
      </c>
      <c r="O1098" s="18" t="str">
        <f t="shared" si="53"/>
        <v>cleared</v>
      </c>
    </row>
    <row r="1099" spans="1:15" x14ac:dyDescent="0.25">
      <c r="A1099" s="17">
        <v>1095</v>
      </c>
      <c r="B1099" s="6" t="s">
        <v>1132</v>
      </c>
      <c r="C1099" s="6" t="s">
        <v>11</v>
      </c>
      <c r="D1099" s="6" t="s">
        <v>54</v>
      </c>
      <c r="E1099" s="6" t="s">
        <v>42</v>
      </c>
      <c r="F1099" s="6" t="s">
        <v>14</v>
      </c>
      <c r="G1099" s="7">
        <v>46258</v>
      </c>
      <c r="H1099" s="6">
        <v>5</v>
      </c>
      <c r="I1099" s="7">
        <v>46259</v>
      </c>
      <c r="J1099" s="7">
        <f t="shared" si="52"/>
        <v>46263</v>
      </c>
      <c r="K1099" s="8">
        <v>130</v>
      </c>
      <c r="L1099" s="9">
        <f t="shared" si="51"/>
        <v>0</v>
      </c>
      <c r="M1099" s="9" t="str" cm="1">
        <f t="array" ref="M1099">_xlfn.IFS(L1099&gt;=10,"HIGH",L1099=0,"LOW",L1099&lt;=9,"MEDIUM")</f>
        <v>LOW</v>
      </c>
      <c r="N1099" s="9" t="str" cm="1">
        <f t="array" ref="N1099">_xlfn.IFS(M1099="HIGH",K1099*L1099,M1099="MEDIUM",K1099*L1099,M1099="LOW","NA")</f>
        <v>NA</v>
      </c>
      <c r="O1099" s="18" t="str">
        <f t="shared" si="53"/>
        <v>cleared</v>
      </c>
    </row>
    <row r="1100" spans="1:15" x14ac:dyDescent="0.25">
      <c r="A1100" s="17">
        <v>1096</v>
      </c>
      <c r="B1100" s="6" t="s">
        <v>1133</v>
      </c>
      <c r="C1100" s="6" t="s">
        <v>37</v>
      </c>
      <c r="D1100" s="6" t="s">
        <v>34</v>
      </c>
      <c r="E1100" s="6" t="s">
        <v>61</v>
      </c>
      <c r="F1100" s="6" t="s">
        <v>14</v>
      </c>
      <c r="G1100" s="7">
        <v>46253</v>
      </c>
      <c r="H1100" s="6">
        <v>4</v>
      </c>
      <c r="I1100" s="7">
        <v>46259</v>
      </c>
      <c r="J1100" s="7">
        <f t="shared" si="52"/>
        <v>46257</v>
      </c>
      <c r="K1100" s="8">
        <v>90</v>
      </c>
      <c r="L1100" s="9">
        <f t="shared" si="51"/>
        <v>2</v>
      </c>
      <c r="M1100" s="9" t="str" cm="1">
        <f t="array" ref="M1100">_xlfn.IFS(L1100&gt;=10,"HIGH",L1100=0,"LOW",L1100&lt;=9,"MEDIUM")</f>
        <v>MEDIUM</v>
      </c>
      <c r="N1100" s="9" cm="1">
        <f t="array" ref="N1100">_xlfn.IFS(M1100="HIGH",K1100*L1100,M1100="MEDIUM",K1100*L1100,M1100="LOW","NA")</f>
        <v>180</v>
      </c>
      <c r="O1100" s="18" t="str">
        <f t="shared" si="53"/>
        <v>cleared</v>
      </c>
    </row>
    <row r="1101" spans="1:15" x14ac:dyDescent="0.25">
      <c r="A1101" s="17">
        <v>1097</v>
      </c>
      <c r="B1101" s="6" t="s">
        <v>1134</v>
      </c>
      <c r="C1101" s="6" t="s">
        <v>37</v>
      </c>
      <c r="D1101" s="6" t="s">
        <v>12</v>
      </c>
      <c r="E1101" s="6" t="s">
        <v>39</v>
      </c>
      <c r="F1101" s="6" t="s">
        <v>29</v>
      </c>
      <c r="G1101" s="7">
        <v>46186</v>
      </c>
      <c r="H1101" s="6">
        <v>3</v>
      </c>
      <c r="I1101" s="6"/>
      <c r="J1101" s="7">
        <f t="shared" si="52"/>
        <v>46189</v>
      </c>
      <c r="K1101" s="8">
        <v>120</v>
      </c>
      <c r="L1101" s="9">
        <f t="shared" si="51"/>
        <v>70</v>
      </c>
      <c r="M1101" s="9" t="str" cm="1">
        <f t="array" ref="M1101">_xlfn.IFS(L1101&gt;=10,"HIGH",L1101=0,"LOW",L1101&lt;=9,"MEDIUM")</f>
        <v>HIGH</v>
      </c>
      <c r="N1101" s="9" cm="1">
        <f t="array" ref="N1101">_xlfn.IFS(M1101="HIGH",K1101*L1101,M1101="MEDIUM",K1101*L1101,M1101="LOW","NA")</f>
        <v>8400</v>
      </c>
      <c r="O1101" s="18" t="str">
        <f t="shared" si="53"/>
        <v>still in yard</v>
      </c>
    </row>
    <row r="1102" spans="1:15" x14ac:dyDescent="0.25">
      <c r="A1102" s="17">
        <v>1098</v>
      </c>
      <c r="B1102" s="6" t="s">
        <v>1135</v>
      </c>
      <c r="C1102" s="6" t="s">
        <v>33</v>
      </c>
      <c r="D1102" s="6" t="s">
        <v>56</v>
      </c>
      <c r="E1102" s="6" t="s">
        <v>44</v>
      </c>
      <c r="F1102" s="6" t="s">
        <v>14</v>
      </c>
      <c r="G1102" s="7">
        <v>46244</v>
      </c>
      <c r="H1102" s="6">
        <v>6</v>
      </c>
      <c r="I1102" s="7">
        <v>46249</v>
      </c>
      <c r="J1102" s="7">
        <f t="shared" si="52"/>
        <v>46250</v>
      </c>
      <c r="K1102" s="8">
        <v>90</v>
      </c>
      <c r="L1102" s="9">
        <f t="shared" si="51"/>
        <v>0</v>
      </c>
      <c r="M1102" s="9" t="str" cm="1">
        <f t="array" ref="M1102">_xlfn.IFS(L1102&gt;=10,"HIGH",L1102=0,"LOW",L1102&lt;=9,"MEDIUM")</f>
        <v>LOW</v>
      </c>
      <c r="N1102" s="9" t="str" cm="1">
        <f t="array" ref="N1102">_xlfn.IFS(M1102="HIGH",K1102*L1102,M1102="MEDIUM",K1102*L1102,M1102="LOW","NA")</f>
        <v>NA</v>
      </c>
      <c r="O1102" s="18" t="str">
        <f t="shared" si="53"/>
        <v>cleared</v>
      </c>
    </row>
    <row r="1103" spans="1:15" x14ac:dyDescent="0.25">
      <c r="A1103" s="17">
        <v>1099</v>
      </c>
      <c r="B1103" s="6" t="s">
        <v>1136</v>
      </c>
      <c r="C1103" s="6" t="s">
        <v>11</v>
      </c>
      <c r="D1103" s="6" t="s">
        <v>17</v>
      </c>
      <c r="E1103" s="6" t="s">
        <v>21</v>
      </c>
      <c r="F1103" s="6" t="s">
        <v>14</v>
      </c>
      <c r="G1103" s="7">
        <v>46180</v>
      </c>
      <c r="H1103" s="6">
        <v>7</v>
      </c>
      <c r="I1103" s="7">
        <v>46193</v>
      </c>
      <c r="J1103" s="7">
        <f t="shared" si="52"/>
        <v>46187</v>
      </c>
      <c r="K1103" s="8">
        <v>130</v>
      </c>
      <c r="L1103" s="9">
        <f t="shared" si="51"/>
        <v>6</v>
      </c>
      <c r="M1103" s="9" t="str" cm="1">
        <f t="array" ref="M1103">_xlfn.IFS(L1103&gt;=10,"HIGH",L1103=0,"LOW",L1103&lt;=9,"MEDIUM")</f>
        <v>MEDIUM</v>
      </c>
      <c r="N1103" s="9" cm="1">
        <f t="array" ref="N1103">_xlfn.IFS(M1103="HIGH",K1103*L1103,M1103="MEDIUM",K1103*L1103,M1103="LOW","NA")</f>
        <v>780</v>
      </c>
      <c r="O1103" s="18" t="str">
        <f t="shared" si="53"/>
        <v>cleared</v>
      </c>
    </row>
    <row r="1104" spans="1:15" x14ac:dyDescent="0.25">
      <c r="A1104" s="17">
        <v>1100</v>
      </c>
      <c r="B1104" s="6" t="s">
        <v>1137</v>
      </c>
      <c r="C1104" s="6" t="s">
        <v>11</v>
      </c>
      <c r="D1104" s="6" t="s">
        <v>31</v>
      </c>
      <c r="E1104" s="6" t="s">
        <v>46</v>
      </c>
      <c r="F1104" s="6" t="s">
        <v>29</v>
      </c>
      <c r="G1104" s="7">
        <v>46218</v>
      </c>
      <c r="H1104" s="6">
        <v>4</v>
      </c>
      <c r="I1104" s="7">
        <v>46222</v>
      </c>
      <c r="J1104" s="7">
        <f t="shared" si="52"/>
        <v>46222</v>
      </c>
      <c r="K1104" s="8">
        <v>180</v>
      </c>
      <c r="L1104" s="9">
        <f t="shared" si="51"/>
        <v>0</v>
      </c>
      <c r="M1104" s="9" t="str" cm="1">
        <f t="array" ref="M1104">_xlfn.IFS(L1104&gt;=10,"HIGH",L1104=0,"LOW",L1104&lt;=9,"MEDIUM")</f>
        <v>LOW</v>
      </c>
      <c r="N1104" s="9" t="str" cm="1">
        <f t="array" ref="N1104">_xlfn.IFS(M1104="HIGH",K1104*L1104,M1104="MEDIUM",K1104*L1104,M1104="LOW","NA")</f>
        <v>NA</v>
      </c>
      <c r="O1104" s="18" t="str">
        <f t="shared" si="53"/>
        <v>cleared</v>
      </c>
    </row>
    <row r="1105" spans="1:15" x14ac:dyDescent="0.25">
      <c r="A1105" s="17">
        <v>1101</v>
      </c>
      <c r="B1105" s="6" t="s">
        <v>1138</v>
      </c>
      <c r="C1105" s="6" t="s">
        <v>16</v>
      </c>
      <c r="D1105" s="6" t="s">
        <v>31</v>
      </c>
      <c r="E1105" s="6" t="s">
        <v>21</v>
      </c>
      <c r="F1105" s="6" t="s">
        <v>24</v>
      </c>
      <c r="G1105" s="7">
        <v>46213</v>
      </c>
      <c r="H1105" s="6">
        <v>4</v>
      </c>
      <c r="I1105" s="6"/>
      <c r="J1105" s="7">
        <f t="shared" si="52"/>
        <v>46217</v>
      </c>
      <c r="K1105" s="8">
        <v>90</v>
      </c>
      <c r="L1105" s="9">
        <f t="shared" si="51"/>
        <v>42</v>
      </c>
      <c r="M1105" s="9" t="str" cm="1">
        <f t="array" ref="M1105">_xlfn.IFS(L1105&gt;=10,"HIGH",L1105=0,"LOW",L1105&lt;=9,"MEDIUM")</f>
        <v>HIGH</v>
      </c>
      <c r="N1105" s="9" cm="1">
        <f t="array" ref="N1105">_xlfn.IFS(M1105="HIGH",K1105*L1105,M1105="MEDIUM",K1105*L1105,M1105="LOW","NA")</f>
        <v>3780</v>
      </c>
      <c r="O1105" s="18" t="str">
        <f t="shared" si="53"/>
        <v>still in yard</v>
      </c>
    </row>
    <row r="1106" spans="1:15" x14ac:dyDescent="0.25">
      <c r="A1106" s="17">
        <v>1102</v>
      </c>
      <c r="B1106" s="6" t="s">
        <v>1139</v>
      </c>
      <c r="C1106" s="6" t="s">
        <v>33</v>
      </c>
      <c r="D1106" s="6" t="s">
        <v>34</v>
      </c>
      <c r="E1106" s="6" t="s">
        <v>35</v>
      </c>
      <c r="F1106" s="6" t="s">
        <v>27</v>
      </c>
      <c r="G1106" s="7">
        <v>46190</v>
      </c>
      <c r="H1106" s="6">
        <v>7</v>
      </c>
      <c r="I1106" s="7">
        <v>46194</v>
      </c>
      <c r="J1106" s="7">
        <f t="shared" si="52"/>
        <v>46197</v>
      </c>
      <c r="K1106" s="8">
        <v>110</v>
      </c>
      <c r="L1106" s="9">
        <f t="shared" si="51"/>
        <v>0</v>
      </c>
      <c r="M1106" s="9" t="str" cm="1">
        <f t="array" ref="M1106">_xlfn.IFS(L1106&gt;=10,"HIGH",L1106=0,"LOW",L1106&lt;=9,"MEDIUM")</f>
        <v>LOW</v>
      </c>
      <c r="N1106" s="9" t="str" cm="1">
        <f t="array" ref="N1106">_xlfn.IFS(M1106="HIGH",K1106*L1106,M1106="MEDIUM",K1106*L1106,M1106="LOW","NA")</f>
        <v>NA</v>
      </c>
      <c r="O1106" s="18" t="str">
        <f t="shared" si="53"/>
        <v>cleared</v>
      </c>
    </row>
    <row r="1107" spans="1:15" x14ac:dyDescent="0.25">
      <c r="A1107" s="17">
        <v>1103</v>
      </c>
      <c r="B1107" s="6" t="s">
        <v>1140</v>
      </c>
      <c r="C1107" s="6" t="s">
        <v>11</v>
      </c>
      <c r="D1107" s="6" t="s">
        <v>31</v>
      </c>
      <c r="E1107" s="6" t="s">
        <v>46</v>
      </c>
      <c r="F1107" s="6" t="s">
        <v>27</v>
      </c>
      <c r="G1107" s="7">
        <v>46177</v>
      </c>
      <c r="H1107" s="6">
        <v>4</v>
      </c>
      <c r="I1107" s="7">
        <v>46183</v>
      </c>
      <c r="J1107" s="7">
        <f t="shared" si="52"/>
        <v>46181</v>
      </c>
      <c r="K1107" s="8">
        <v>90</v>
      </c>
      <c r="L1107" s="9">
        <f t="shared" si="51"/>
        <v>2</v>
      </c>
      <c r="M1107" s="9" t="str" cm="1">
        <f t="array" ref="M1107">_xlfn.IFS(L1107&gt;=10,"HIGH",L1107=0,"LOW",L1107&lt;=9,"MEDIUM")</f>
        <v>MEDIUM</v>
      </c>
      <c r="N1107" s="9" cm="1">
        <f t="array" ref="N1107">_xlfn.IFS(M1107="HIGH",K1107*L1107,M1107="MEDIUM",K1107*L1107,M1107="LOW","NA")</f>
        <v>180</v>
      </c>
      <c r="O1107" s="18" t="str">
        <f t="shared" si="53"/>
        <v>cleared</v>
      </c>
    </row>
    <row r="1108" spans="1:15" x14ac:dyDescent="0.25">
      <c r="A1108" s="17">
        <v>1104</v>
      </c>
      <c r="B1108" s="6" t="s">
        <v>1141</v>
      </c>
      <c r="C1108" s="6" t="s">
        <v>16</v>
      </c>
      <c r="D1108" s="6" t="s">
        <v>17</v>
      </c>
      <c r="E1108" s="6" t="s">
        <v>39</v>
      </c>
      <c r="F1108" s="6" t="s">
        <v>24</v>
      </c>
      <c r="G1108" s="7">
        <v>46220</v>
      </c>
      <c r="H1108" s="6">
        <v>6</v>
      </c>
      <c r="I1108" s="6"/>
      <c r="J1108" s="7">
        <f t="shared" si="52"/>
        <v>46226</v>
      </c>
      <c r="K1108" s="8">
        <v>75</v>
      </c>
      <c r="L1108" s="9">
        <f t="shared" si="51"/>
        <v>33</v>
      </c>
      <c r="M1108" s="9" t="str" cm="1">
        <f t="array" ref="M1108">_xlfn.IFS(L1108&gt;=10,"HIGH",L1108=0,"LOW",L1108&lt;=9,"MEDIUM")</f>
        <v>HIGH</v>
      </c>
      <c r="N1108" s="9" cm="1">
        <f t="array" ref="N1108">_xlfn.IFS(M1108="HIGH",K1108*L1108,M1108="MEDIUM",K1108*L1108,M1108="LOW","NA")</f>
        <v>2475</v>
      </c>
      <c r="O1108" s="18" t="str">
        <f t="shared" si="53"/>
        <v>still in yard</v>
      </c>
    </row>
    <row r="1109" spans="1:15" x14ac:dyDescent="0.25">
      <c r="A1109" s="17">
        <v>1105</v>
      </c>
      <c r="B1109" s="6" t="s">
        <v>1142</v>
      </c>
      <c r="C1109" s="6" t="s">
        <v>37</v>
      </c>
      <c r="D1109" s="6" t="s">
        <v>17</v>
      </c>
      <c r="E1109" s="6" t="s">
        <v>44</v>
      </c>
      <c r="F1109" s="6" t="s">
        <v>24</v>
      </c>
      <c r="G1109" s="7">
        <v>46198</v>
      </c>
      <c r="H1109" s="6">
        <v>7</v>
      </c>
      <c r="I1109" s="7">
        <v>46205</v>
      </c>
      <c r="J1109" s="7">
        <f t="shared" si="52"/>
        <v>46205</v>
      </c>
      <c r="K1109" s="8">
        <v>75</v>
      </c>
      <c r="L1109" s="9">
        <f t="shared" si="51"/>
        <v>0</v>
      </c>
      <c r="M1109" s="9" t="str" cm="1">
        <f t="array" ref="M1109">_xlfn.IFS(L1109&gt;=10,"HIGH",L1109=0,"LOW",L1109&lt;=9,"MEDIUM")</f>
        <v>LOW</v>
      </c>
      <c r="N1109" s="9" t="str" cm="1">
        <f t="array" ref="N1109">_xlfn.IFS(M1109="HIGH",K1109*L1109,M1109="MEDIUM",K1109*L1109,M1109="LOW","NA")</f>
        <v>NA</v>
      </c>
      <c r="O1109" s="18" t="str">
        <f t="shared" si="53"/>
        <v>cleared</v>
      </c>
    </row>
    <row r="1110" spans="1:15" x14ac:dyDescent="0.25">
      <c r="A1110" s="17">
        <v>1106</v>
      </c>
      <c r="B1110" s="6" t="s">
        <v>1143</v>
      </c>
      <c r="C1110" s="6" t="s">
        <v>16</v>
      </c>
      <c r="D1110" s="6" t="s">
        <v>17</v>
      </c>
      <c r="E1110" s="6" t="s">
        <v>39</v>
      </c>
      <c r="F1110" s="6" t="s">
        <v>14</v>
      </c>
      <c r="G1110" s="7">
        <v>46241</v>
      </c>
      <c r="H1110" s="6">
        <v>4</v>
      </c>
      <c r="I1110" s="7">
        <v>46250</v>
      </c>
      <c r="J1110" s="7">
        <f t="shared" si="52"/>
        <v>46245</v>
      </c>
      <c r="K1110" s="8">
        <v>130</v>
      </c>
      <c r="L1110" s="9">
        <f t="shared" si="51"/>
        <v>5</v>
      </c>
      <c r="M1110" s="9" t="str" cm="1">
        <f t="array" ref="M1110">_xlfn.IFS(L1110&gt;=10,"HIGH",L1110=0,"LOW",L1110&lt;=9,"MEDIUM")</f>
        <v>MEDIUM</v>
      </c>
      <c r="N1110" s="9" cm="1">
        <f t="array" ref="N1110">_xlfn.IFS(M1110="HIGH",K1110*L1110,M1110="MEDIUM",K1110*L1110,M1110="LOW","NA")</f>
        <v>650</v>
      </c>
      <c r="O1110" s="18" t="str">
        <f t="shared" si="53"/>
        <v>cleared</v>
      </c>
    </row>
    <row r="1111" spans="1:15" x14ac:dyDescent="0.25">
      <c r="A1111" s="17">
        <v>1107</v>
      </c>
      <c r="B1111" s="6" t="s">
        <v>1144</v>
      </c>
      <c r="C1111" s="6" t="s">
        <v>16</v>
      </c>
      <c r="D1111" s="6" t="s">
        <v>26</v>
      </c>
      <c r="E1111" s="6" t="s">
        <v>35</v>
      </c>
      <c r="F1111" s="6" t="s">
        <v>27</v>
      </c>
      <c r="G1111" s="7">
        <v>46175</v>
      </c>
      <c r="H1111" s="6">
        <v>7</v>
      </c>
      <c r="I1111" s="6"/>
      <c r="J1111" s="7">
        <f t="shared" si="52"/>
        <v>46182</v>
      </c>
      <c r="K1111" s="8">
        <v>110</v>
      </c>
      <c r="L1111" s="9">
        <f t="shared" si="51"/>
        <v>77</v>
      </c>
      <c r="M1111" s="9" t="str" cm="1">
        <f t="array" ref="M1111">_xlfn.IFS(L1111&gt;=10,"HIGH",L1111=0,"LOW",L1111&lt;=9,"MEDIUM")</f>
        <v>HIGH</v>
      </c>
      <c r="N1111" s="9" cm="1">
        <f t="array" ref="N1111">_xlfn.IFS(M1111="HIGH",K1111*L1111,M1111="MEDIUM",K1111*L1111,M1111="LOW","NA")</f>
        <v>8470</v>
      </c>
      <c r="O1111" s="18" t="str">
        <f t="shared" si="53"/>
        <v>still in yard</v>
      </c>
    </row>
    <row r="1112" spans="1:15" x14ac:dyDescent="0.25">
      <c r="A1112" s="17">
        <v>1108</v>
      </c>
      <c r="B1112" s="6" t="s">
        <v>1145</v>
      </c>
      <c r="C1112" s="6" t="s">
        <v>16</v>
      </c>
      <c r="D1112" s="6" t="s">
        <v>41</v>
      </c>
      <c r="E1112" s="6" t="s">
        <v>44</v>
      </c>
      <c r="F1112" s="6" t="s">
        <v>14</v>
      </c>
      <c r="G1112" s="7">
        <v>46212</v>
      </c>
      <c r="H1112" s="6">
        <v>5</v>
      </c>
      <c r="I1112" s="6"/>
      <c r="J1112" s="7">
        <f t="shared" si="52"/>
        <v>46217</v>
      </c>
      <c r="K1112" s="8">
        <v>60</v>
      </c>
      <c r="L1112" s="9">
        <f t="shared" si="51"/>
        <v>42</v>
      </c>
      <c r="M1112" s="9" t="str" cm="1">
        <f t="array" ref="M1112">_xlfn.IFS(L1112&gt;=10,"HIGH",L1112=0,"LOW",L1112&lt;=9,"MEDIUM")</f>
        <v>HIGH</v>
      </c>
      <c r="N1112" s="9" cm="1">
        <f t="array" ref="N1112">_xlfn.IFS(M1112="HIGH",K1112*L1112,M1112="MEDIUM",K1112*L1112,M1112="LOW","NA")</f>
        <v>2520</v>
      </c>
      <c r="O1112" s="18" t="str">
        <f t="shared" si="53"/>
        <v>still in yard</v>
      </c>
    </row>
    <row r="1113" spans="1:15" x14ac:dyDescent="0.25">
      <c r="A1113" s="17">
        <v>1109</v>
      </c>
      <c r="B1113" s="6" t="s">
        <v>1146</v>
      </c>
      <c r="C1113" s="6" t="s">
        <v>16</v>
      </c>
      <c r="D1113" s="6" t="s">
        <v>49</v>
      </c>
      <c r="E1113" s="6" t="s">
        <v>23</v>
      </c>
      <c r="F1113" s="6" t="s">
        <v>24</v>
      </c>
      <c r="G1113" s="7">
        <v>46172</v>
      </c>
      <c r="H1113" s="6">
        <v>6</v>
      </c>
      <c r="I1113" s="6"/>
      <c r="J1113" s="7">
        <f t="shared" si="52"/>
        <v>46178</v>
      </c>
      <c r="K1113" s="8">
        <v>110</v>
      </c>
      <c r="L1113" s="9">
        <f t="shared" si="51"/>
        <v>81</v>
      </c>
      <c r="M1113" s="9" t="str" cm="1">
        <f t="array" ref="M1113">_xlfn.IFS(L1113&gt;=10,"HIGH",L1113=0,"LOW",L1113&lt;=9,"MEDIUM")</f>
        <v>HIGH</v>
      </c>
      <c r="N1113" s="9" cm="1">
        <f t="array" ref="N1113">_xlfn.IFS(M1113="HIGH",K1113*L1113,M1113="MEDIUM",K1113*L1113,M1113="LOW","NA")</f>
        <v>8910</v>
      </c>
      <c r="O1113" s="18" t="str">
        <f t="shared" si="53"/>
        <v>still in yard</v>
      </c>
    </row>
    <row r="1114" spans="1:15" x14ac:dyDescent="0.25">
      <c r="A1114" s="17">
        <v>1110</v>
      </c>
      <c r="B1114" s="6" t="s">
        <v>1147</v>
      </c>
      <c r="C1114" s="6" t="s">
        <v>37</v>
      </c>
      <c r="D1114" s="6" t="s">
        <v>49</v>
      </c>
      <c r="E1114" s="6" t="s">
        <v>21</v>
      </c>
      <c r="F1114" s="6" t="s">
        <v>27</v>
      </c>
      <c r="G1114" s="7">
        <v>46251</v>
      </c>
      <c r="H1114" s="6">
        <v>5</v>
      </c>
      <c r="I1114" s="7">
        <v>46252</v>
      </c>
      <c r="J1114" s="7">
        <f t="shared" si="52"/>
        <v>46256</v>
      </c>
      <c r="K1114" s="8">
        <v>130</v>
      </c>
      <c r="L1114" s="9">
        <f t="shared" si="51"/>
        <v>0</v>
      </c>
      <c r="M1114" s="9" t="str" cm="1">
        <f t="array" ref="M1114">_xlfn.IFS(L1114&gt;=10,"HIGH",L1114=0,"LOW",L1114&lt;=9,"MEDIUM")</f>
        <v>LOW</v>
      </c>
      <c r="N1114" s="9" t="str" cm="1">
        <f t="array" ref="N1114">_xlfn.IFS(M1114="HIGH",K1114*L1114,M1114="MEDIUM",K1114*L1114,M1114="LOW","NA")</f>
        <v>NA</v>
      </c>
      <c r="O1114" s="18" t="str">
        <f t="shared" si="53"/>
        <v>cleared</v>
      </c>
    </row>
    <row r="1115" spans="1:15" x14ac:dyDescent="0.25">
      <c r="A1115" s="17">
        <v>1111</v>
      </c>
      <c r="B1115" s="6" t="s">
        <v>1148</v>
      </c>
      <c r="C1115" s="6" t="s">
        <v>37</v>
      </c>
      <c r="D1115" s="6" t="s">
        <v>26</v>
      </c>
      <c r="E1115" s="6" t="s">
        <v>21</v>
      </c>
      <c r="F1115" s="6" t="s">
        <v>29</v>
      </c>
      <c r="G1115" s="7">
        <v>46188</v>
      </c>
      <c r="H1115" s="6">
        <v>4</v>
      </c>
      <c r="I1115" s="6"/>
      <c r="J1115" s="7">
        <f t="shared" si="52"/>
        <v>46192</v>
      </c>
      <c r="K1115" s="8">
        <v>120</v>
      </c>
      <c r="L1115" s="9">
        <f t="shared" si="51"/>
        <v>67</v>
      </c>
      <c r="M1115" s="9" t="str" cm="1">
        <f t="array" ref="M1115">_xlfn.IFS(L1115&gt;=10,"HIGH",L1115=0,"LOW",L1115&lt;=9,"MEDIUM")</f>
        <v>HIGH</v>
      </c>
      <c r="N1115" s="9" cm="1">
        <f t="array" ref="N1115">_xlfn.IFS(M1115="HIGH",K1115*L1115,M1115="MEDIUM",K1115*L1115,M1115="LOW","NA")</f>
        <v>8040</v>
      </c>
      <c r="O1115" s="18" t="str">
        <f t="shared" si="53"/>
        <v>still in yard</v>
      </c>
    </row>
    <row r="1116" spans="1:15" x14ac:dyDescent="0.25">
      <c r="A1116" s="17">
        <v>1112</v>
      </c>
      <c r="B1116" s="6" t="s">
        <v>1149</v>
      </c>
      <c r="C1116" s="6" t="s">
        <v>37</v>
      </c>
      <c r="D1116" s="6" t="s">
        <v>41</v>
      </c>
      <c r="E1116" s="6" t="s">
        <v>44</v>
      </c>
      <c r="F1116" s="6" t="s">
        <v>29</v>
      </c>
      <c r="G1116" s="7">
        <v>46192</v>
      </c>
      <c r="H1116" s="6">
        <v>4</v>
      </c>
      <c r="I1116" s="7">
        <v>46195</v>
      </c>
      <c r="J1116" s="7">
        <f t="shared" si="52"/>
        <v>46196</v>
      </c>
      <c r="K1116" s="8">
        <v>180</v>
      </c>
      <c r="L1116" s="9">
        <f t="shared" si="51"/>
        <v>0</v>
      </c>
      <c r="M1116" s="9" t="str" cm="1">
        <f t="array" ref="M1116">_xlfn.IFS(L1116&gt;=10,"HIGH",L1116=0,"LOW",L1116&lt;=9,"MEDIUM")</f>
        <v>LOW</v>
      </c>
      <c r="N1116" s="9" t="str" cm="1">
        <f t="array" ref="N1116">_xlfn.IFS(M1116="HIGH",K1116*L1116,M1116="MEDIUM",K1116*L1116,M1116="LOW","NA")</f>
        <v>NA</v>
      </c>
      <c r="O1116" s="18" t="str">
        <f t="shared" si="53"/>
        <v>cleared</v>
      </c>
    </row>
    <row r="1117" spans="1:15" x14ac:dyDescent="0.25">
      <c r="A1117" s="17">
        <v>1113</v>
      </c>
      <c r="B1117" s="6" t="s">
        <v>1150</v>
      </c>
      <c r="C1117" s="6" t="s">
        <v>16</v>
      </c>
      <c r="D1117" s="6" t="s">
        <v>41</v>
      </c>
      <c r="E1117" s="6" t="s">
        <v>61</v>
      </c>
      <c r="F1117" s="6" t="s">
        <v>29</v>
      </c>
      <c r="G1117" s="7">
        <v>46258</v>
      </c>
      <c r="H1117" s="6">
        <v>4</v>
      </c>
      <c r="I1117" s="6"/>
      <c r="J1117" s="7">
        <f t="shared" si="52"/>
        <v>46262</v>
      </c>
      <c r="K1117" s="8">
        <v>120</v>
      </c>
      <c r="L1117" s="9">
        <f t="shared" si="51"/>
        <v>0</v>
      </c>
      <c r="M1117" s="9" t="str" cm="1">
        <f t="array" ref="M1117">_xlfn.IFS(L1117&gt;=10,"HIGH",L1117=0,"LOW",L1117&lt;=9,"MEDIUM")</f>
        <v>LOW</v>
      </c>
      <c r="N1117" s="9" t="str" cm="1">
        <f t="array" ref="N1117">_xlfn.IFS(M1117="HIGH",K1117*L1117,M1117="MEDIUM",K1117*L1117,M1117="LOW","NA")</f>
        <v>NA</v>
      </c>
      <c r="O1117" s="18" t="str">
        <f t="shared" si="53"/>
        <v>still in yard</v>
      </c>
    </row>
    <row r="1118" spans="1:15" x14ac:dyDescent="0.25">
      <c r="A1118" s="17">
        <v>1114</v>
      </c>
      <c r="B1118" s="6" t="s">
        <v>1151</v>
      </c>
      <c r="C1118" s="6" t="s">
        <v>33</v>
      </c>
      <c r="D1118" s="6" t="s">
        <v>56</v>
      </c>
      <c r="E1118" s="6" t="s">
        <v>46</v>
      </c>
      <c r="F1118" s="6" t="s">
        <v>29</v>
      </c>
      <c r="G1118" s="7">
        <v>46218</v>
      </c>
      <c r="H1118" s="6">
        <v>4</v>
      </c>
      <c r="I1118" s="7">
        <v>46219</v>
      </c>
      <c r="J1118" s="7">
        <f t="shared" si="52"/>
        <v>46222</v>
      </c>
      <c r="K1118" s="8">
        <v>150</v>
      </c>
      <c r="L1118" s="9">
        <f t="shared" si="51"/>
        <v>0</v>
      </c>
      <c r="M1118" s="9" t="str" cm="1">
        <f t="array" ref="M1118">_xlfn.IFS(L1118&gt;=10,"HIGH",L1118=0,"LOW",L1118&lt;=9,"MEDIUM")</f>
        <v>LOW</v>
      </c>
      <c r="N1118" s="9" t="str" cm="1">
        <f t="array" ref="N1118">_xlfn.IFS(M1118="HIGH",K1118*L1118,M1118="MEDIUM",K1118*L1118,M1118="LOW","NA")</f>
        <v>NA</v>
      </c>
      <c r="O1118" s="18" t="str">
        <f t="shared" si="53"/>
        <v>cleared</v>
      </c>
    </row>
    <row r="1119" spans="1:15" x14ac:dyDescent="0.25">
      <c r="A1119" s="17">
        <v>1115</v>
      </c>
      <c r="B1119" s="6" t="s">
        <v>1152</v>
      </c>
      <c r="C1119" s="6" t="s">
        <v>11</v>
      </c>
      <c r="D1119" s="6" t="s">
        <v>41</v>
      </c>
      <c r="E1119" s="6" t="s">
        <v>18</v>
      </c>
      <c r="F1119" s="6" t="s">
        <v>24</v>
      </c>
      <c r="G1119" s="7">
        <v>46211</v>
      </c>
      <c r="H1119" s="6">
        <v>7</v>
      </c>
      <c r="I1119" s="7">
        <v>46220</v>
      </c>
      <c r="J1119" s="7">
        <f t="shared" si="52"/>
        <v>46218</v>
      </c>
      <c r="K1119" s="8">
        <v>90</v>
      </c>
      <c r="L1119" s="9">
        <f t="shared" si="51"/>
        <v>2</v>
      </c>
      <c r="M1119" s="9" t="str" cm="1">
        <f t="array" ref="M1119">_xlfn.IFS(L1119&gt;=10,"HIGH",L1119=0,"LOW",L1119&lt;=9,"MEDIUM")</f>
        <v>MEDIUM</v>
      </c>
      <c r="N1119" s="9" cm="1">
        <f t="array" ref="N1119">_xlfn.IFS(M1119="HIGH",K1119*L1119,M1119="MEDIUM",K1119*L1119,M1119="LOW","NA")</f>
        <v>180</v>
      </c>
      <c r="O1119" s="18" t="str">
        <f t="shared" si="53"/>
        <v>cleared</v>
      </c>
    </row>
    <row r="1120" spans="1:15" x14ac:dyDescent="0.25">
      <c r="A1120" s="17">
        <v>1116</v>
      </c>
      <c r="B1120" s="6" t="s">
        <v>1153</v>
      </c>
      <c r="C1120" s="6" t="s">
        <v>33</v>
      </c>
      <c r="D1120" s="6" t="s">
        <v>17</v>
      </c>
      <c r="E1120" s="6" t="s">
        <v>42</v>
      </c>
      <c r="F1120" s="6" t="s">
        <v>24</v>
      </c>
      <c r="G1120" s="7">
        <v>46170</v>
      </c>
      <c r="H1120" s="6">
        <v>5</v>
      </c>
      <c r="I1120" s="7">
        <v>46173</v>
      </c>
      <c r="J1120" s="7">
        <f t="shared" si="52"/>
        <v>46175</v>
      </c>
      <c r="K1120" s="8">
        <v>130</v>
      </c>
      <c r="L1120" s="9">
        <f t="shared" si="51"/>
        <v>0</v>
      </c>
      <c r="M1120" s="9" t="str" cm="1">
        <f t="array" ref="M1120">_xlfn.IFS(L1120&gt;=10,"HIGH",L1120=0,"LOW",L1120&lt;=9,"MEDIUM")</f>
        <v>LOW</v>
      </c>
      <c r="N1120" s="9" t="str" cm="1">
        <f t="array" ref="N1120">_xlfn.IFS(M1120="HIGH",K1120*L1120,M1120="MEDIUM",K1120*L1120,M1120="LOW","NA")</f>
        <v>NA</v>
      </c>
      <c r="O1120" s="18" t="str">
        <f t="shared" si="53"/>
        <v>cleared</v>
      </c>
    </row>
    <row r="1121" spans="1:15" x14ac:dyDescent="0.25">
      <c r="A1121" s="17">
        <v>1117</v>
      </c>
      <c r="B1121" s="6" t="s">
        <v>1154</v>
      </c>
      <c r="C1121" s="6" t="s">
        <v>33</v>
      </c>
      <c r="D1121" s="6" t="s">
        <v>41</v>
      </c>
      <c r="E1121" s="6" t="s">
        <v>39</v>
      </c>
      <c r="F1121" s="6" t="s">
        <v>24</v>
      </c>
      <c r="G1121" s="7">
        <v>46199</v>
      </c>
      <c r="H1121" s="6">
        <v>6</v>
      </c>
      <c r="I1121" s="7">
        <v>46210</v>
      </c>
      <c r="J1121" s="7">
        <f t="shared" si="52"/>
        <v>46205</v>
      </c>
      <c r="K1121" s="8">
        <v>75</v>
      </c>
      <c r="L1121" s="9">
        <f t="shared" si="51"/>
        <v>5</v>
      </c>
      <c r="M1121" s="9" t="str" cm="1">
        <f t="array" ref="M1121">_xlfn.IFS(L1121&gt;=10,"HIGH",L1121=0,"LOW",L1121&lt;=9,"MEDIUM")</f>
        <v>MEDIUM</v>
      </c>
      <c r="N1121" s="9" cm="1">
        <f t="array" ref="N1121">_xlfn.IFS(M1121="HIGH",K1121*L1121,M1121="MEDIUM",K1121*L1121,M1121="LOW","NA")</f>
        <v>375</v>
      </c>
      <c r="O1121" s="18" t="str">
        <f t="shared" si="53"/>
        <v>cleared</v>
      </c>
    </row>
    <row r="1122" spans="1:15" x14ac:dyDescent="0.25">
      <c r="A1122" s="17">
        <v>1118</v>
      </c>
      <c r="B1122" s="6" t="s">
        <v>1155</v>
      </c>
      <c r="C1122" s="6" t="s">
        <v>11</v>
      </c>
      <c r="D1122" s="6" t="s">
        <v>12</v>
      </c>
      <c r="E1122" s="6" t="s">
        <v>44</v>
      </c>
      <c r="F1122" s="6" t="s">
        <v>14</v>
      </c>
      <c r="G1122" s="7">
        <v>46233</v>
      </c>
      <c r="H1122" s="6">
        <v>5</v>
      </c>
      <c r="I1122" s="7">
        <v>46234</v>
      </c>
      <c r="J1122" s="7">
        <f t="shared" si="52"/>
        <v>46238</v>
      </c>
      <c r="K1122" s="8">
        <v>75</v>
      </c>
      <c r="L1122" s="9">
        <f t="shared" si="51"/>
        <v>0</v>
      </c>
      <c r="M1122" s="9" t="str" cm="1">
        <f t="array" ref="M1122">_xlfn.IFS(L1122&gt;=10,"HIGH",L1122=0,"LOW",L1122&lt;=9,"MEDIUM")</f>
        <v>LOW</v>
      </c>
      <c r="N1122" s="9" t="str" cm="1">
        <f t="array" ref="N1122">_xlfn.IFS(M1122="HIGH",K1122*L1122,M1122="MEDIUM",K1122*L1122,M1122="LOW","NA")</f>
        <v>NA</v>
      </c>
      <c r="O1122" s="18" t="str">
        <f t="shared" si="53"/>
        <v>cleared</v>
      </c>
    </row>
    <row r="1123" spans="1:15" x14ac:dyDescent="0.25">
      <c r="A1123" s="17">
        <v>1119</v>
      </c>
      <c r="B1123" s="6" t="s">
        <v>1156</v>
      </c>
      <c r="C1123" s="6" t="s">
        <v>33</v>
      </c>
      <c r="D1123" s="6" t="s">
        <v>41</v>
      </c>
      <c r="E1123" s="6" t="s">
        <v>23</v>
      </c>
      <c r="F1123" s="6" t="s">
        <v>29</v>
      </c>
      <c r="G1123" s="7">
        <v>46230</v>
      </c>
      <c r="H1123" s="6">
        <v>3</v>
      </c>
      <c r="I1123" s="7">
        <v>46236</v>
      </c>
      <c r="J1123" s="7">
        <f t="shared" si="52"/>
        <v>46233</v>
      </c>
      <c r="K1123" s="8">
        <v>120</v>
      </c>
      <c r="L1123" s="9">
        <f t="shared" si="51"/>
        <v>3</v>
      </c>
      <c r="M1123" s="9" t="str" cm="1">
        <f t="array" ref="M1123">_xlfn.IFS(L1123&gt;=10,"HIGH",L1123=0,"LOW",L1123&lt;=9,"MEDIUM")</f>
        <v>MEDIUM</v>
      </c>
      <c r="N1123" s="9" cm="1">
        <f t="array" ref="N1123">_xlfn.IFS(M1123="HIGH",K1123*L1123,M1123="MEDIUM",K1123*L1123,M1123="LOW","NA")</f>
        <v>360</v>
      </c>
      <c r="O1123" s="18" t="str">
        <f t="shared" si="53"/>
        <v>cleared</v>
      </c>
    </row>
    <row r="1124" spans="1:15" x14ac:dyDescent="0.25">
      <c r="A1124" s="17">
        <v>1120</v>
      </c>
      <c r="B1124" s="6" t="s">
        <v>1157</v>
      </c>
      <c r="C1124" s="6" t="s">
        <v>11</v>
      </c>
      <c r="D1124" s="6" t="s">
        <v>31</v>
      </c>
      <c r="E1124" s="6" t="s">
        <v>18</v>
      </c>
      <c r="F1124" s="6" t="s">
        <v>29</v>
      </c>
      <c r="G1124" s="7">
        <v>46240</v>
      </c>
      <c r="H1124" s="6">
        <v>3</v>
      </c>
      <c r="I1124" s="7">
        <v>46243</v>
      </c>
      <c r="J1124" s="7">
        <f t="shared" si="52"/>
        <v>46243</v>
      </c>
      <c r="K1124" s="8">
        <v>180</v>
      </c>
      <c r="L1124" s="9">
        <f t="shared" si="51"/>
        <v>0</v>
      </c>
      <c r="M1124" s="9" t="str" cm="1">
        <f t="array" ref="M1124">_xlfn.IFS(L1124&gt;=10,"HIGH",L1124=0,"LOW",L1124&lt;=9,"MEDIUM")</f>
        <v>LOW</v>
      </c>
      <c r="N1124" s="9" t="str" cm="1">
        <f t="array" ref="N1124">_xlfn.IFS(M1124="HIGH",K1124*L1124,M1124="MEDIUM",K1124*L1124,M1124="LOW","NA")</f>
        <v>NA</v>
      </c>
      <c r="O1124" s="18" t="str">
        <f t="shared" si="53"/>
        <v>cleared</v>
      </c>
    </row>
    <row r="1125" spans="1:15" x14ac:dyDescent="0.25">
      <c r="A1125" s="17">
        <v>1121</v>
      </c>
      <c r="B1125" s="6" t="s">
        <v>1158</v>
      </c>
      <c r="C1125" s="6" t="s">
        <v>16</v>
      </c>
      <c r="D1125" s="6" t="s">
        <v>17</v>
      </c>
      <c r="E1125" s="6" t="s">
        <v>18</v>
      </c>
      <c r="F1125" s="6" t="s">
        <v>14</v>
      </c>
      <c r="G1125" s="7">
        <v>46248</v>
      </c>
      <c r="H1125" s="6">
        <v>5</v>
      </c>
      <c r="I1125" s="7">
        <v>46249</v>
      </c>
      <c r="J1125" s="7">
        <f t="shared" si="52"/>
        <v>46253</v>
      </c>
      <c r="K1125" s="8">
        <v>130</v>
      </c>
      <c r="L1125" s="9">
        <f t="shared" si="51"/>
        <v>0</v>
      </c>
      <c r="M1125" s="9" t="str" cm="1">
        <f t="array" ref="M1125">_xlfn.IFS(L1125&gt;=10,"HIGH",L1125=0,"LOW",L1125&lt;=9,"MEDIUM")</f>
        <v>LOW</v>
      </c>
      <c r="N1125" s="9" t="str" cm="1">
        <f t="array" ref="N1125">_xlfn.IFS(M1125="HIGH",K1125*L1125,M1125="MEDIUM",K1125*L1125,M1125="LOW","NA")</f>
        <v>NA</v>
      </c>
      <c r="O1125" s="18" t="str">
        <f t="shared" si="53"/>
        <v>cleared</v>
      </c>
    </row>
    <row r="1126" spans="1:15" x14ac:dyDescent="0.25">
      <c r="A1126" s="17">
        <v>1122</v>
      </c>
      <c r="B1126" s="6" t="s">
        <v>1159</v>
      </c>
      <c r="C1126" s="6" t="s">
        <v>16</v>
      </c>
      <c r="D1126" s="6" t="s">
        <v>20</v>
      </c>
      <c r="E1126" s="6" t="s">
        <v>23</v>
      </c>
      <c r="F1126" s="6" t="s">
        <v>27</v>
      </c>
      <c r="G1126" s="7">
        <v>46227</v>
      </c>
      <c r="H1126" s="6">
        <v>5</v>
      </c>
      <c r="I1126" s="6"/>
      <c r="J1126" s="7">
        <f t="shared" si="52"/>
        <v>46232</v>
      </c>
      <c r="K1126" s="8">
        <v>130</v>
      </c>
      <c r="L1126" s="9">
        <f t="shared" si="51"/>
        <v>27</v>
      </c>
      <c r="M1126" s="9" t="str" cm="1">
        <f t="array" ref="M1126">_xlfn.IFS(L1126&gt;=10,"HIGH",L1126=0,"LOW",L1126&lt;=9,"MEDIUM")</f>
        <v>HIGH</v>
      </c>
      <c r="N1126" s="9" cm="1">
        <f t="array" ref="N1126">_xlfn.IFS(M1126="HIGH",K1126*L1126,M1126="MEDIUM",K1126*L1126,M1126="LOW","NA")</f>
        <v>3510</v>
      </c>
      <c r="O1126" s="18" t="str">
        <f t="shared" si="53"/>
        <v>still in yard</v>
      </c>
    </row>
    <row r="1127" spans="1:15" x14ac:dyDescent="0.25">
      <c r="A1127" s="17">
        <v>1123</v>
      </c>
      <c r="B1127" s="6" t="s">
        <v>1160</v>
      </c>
      <c r="C1127" s="6" t="s">
        <v>16</v>
      </c>
      <c r="D1127" s="6" t="s">
        <v>20</v>
      </c>
      <c r="E1127" s="6" t="s">
        <v>18</v>
      </c>
      <c r="F1127" s="6" t="s">
        <v>27</v>
      </c>
      <c r="G1127" s="7">
        <v>46254</v>
      </c>
      <c r="H1127" s="6">
        <v>4</v>
      </c>
      <c r="I1127" s="6"/>
      <c r="J1127" s="7">
        <f t="shared" si="52"/>
        <v>46258</v>
      </c>
      <c r="K1127" s="8">
        <v>60</v>
      </c>
      <c r="L1127" s="9">
        <f t="shared" si="51"/>
        <v>1</v>
      </c>
      <c r="M1127" s="9" t="str" cm="1">
        <f t="array" ref="M1127">_xlfn.IFS(L1127&gt;=10,"HIGH",L1127=0,"LOW",L1127&lt;=9,"MEDIUM")</f>
        <v>MEDIUM</v>
      </c>
      <c r="N1127" s="9" cm="1">
        <f t="array" ref="N1127">_xlfn.IFS(M1127="HIGH",K1127*L1127,M1127="MEDIUM",K1127*L1127,M1127="LOW","NA")</f>
        <v>60</v>
      </c>
      <c r="O1127" s="18" t="str">
        <f t="shared" si="53"/>
        <v>still in yard</v>
      </c>
    </row>
    <row r="1128" spans="1:15" x14ac:dyDescent="0.25">
      <c r="A1128" s="17">
        <v>1124</v>
      </c>
      <c r="B1128" s="6" t="s">
        <v>1161</v>
      </c>
      <c r="C1128" s="6" t="s">
        <v>37</v>
      </c>
      <c r="D1128" s="6" t="s">
        <v>12</v>
      </c>
      <c r="E1128" s="6" t="s">
        <v>42</v>
      </c>
      <c r="F1128" s="6" t="s">
        <v>29</v>
      </c>
      <c r="G1128" s="7">
        <v>46179</v>
      </c>
      <c r="H1128" s="6">
        <v>4</v>
      </c>
      <c r="I1128" s="6"/>
      <c r="J1128" s="7">
        <f t="shared" si="52"/>
        <v>46183</v>
      </c>
      <c r="K1128" s="8">
        <v>120</v>
      </c>
      <c r="L1128" s="9">
        <f t="shared" si="51"/>
        <v>76</v>
      </c>
      <c r="M1128" s="9" t="str" cm="1">
        <f t="array" ref="M1128">_xlfn.IFS(L1128&gt;=10,"HIGH",L1128=0,"LOW",L1128&lt;=9,"MEDIUM")</f>
        <v>HIGH</v>
      </c>
      <c r="N1128" s="9" cm="1">
        <f t="array" ref="N1128">_xlfn.IFS(M1128="HIGH",K1128*L1128,M1128="MEDIUM",K1128*L1128,M1128="LOW","NA")</f>
        <v>9120</v>
      </c>
      <c r="O1128" s="18" t="str">
        <f t="shared" si="53"/>
        <v>still in yard</v>
      </c>
    </row>
    <row r="1129" spans="1:15" x14ac:dyDescent="0.25">
      <c r="A1129" s="17">
        <v>1125</v>
      </c>
      <c r="B1129" s="6" t="s">
        <v>1162</v>
      </c>
      <c r="C1129" s="6" t="s">
        <v>11</v>
      </c>
      <c r="D1129" s="6" t="s">
        <v>34</v>
      </c>
      <c r="E1129" s="6" t="s">
        <v>44</v>
      </c>
      <c r="F1129" s="6" t="s">
        <v>14</v>
      </c>
      <c r="G1129" s="7">
        <v>46246</v>
      </c>
      <c r="H1129" s="6">
        <v>7</v>
      </c>
      <c r="I1129" s="7">
        <v>46248</v>
      </c>
      <c r="J1129" s="7">
        <f t="shared" si="52"/>
        <v>46253</v>
      </c>
      <c r="K1129" s="8">
        <v>130</v>
      </c>
      <c r="L1129" s="9">
        <f t="shared" si="51"/>
        <v>0</v>
      </c>
      <c r="M1129" s="9" t="str" cm="1">
        <f t="array" ref="M1129">_xlfn.IFS(L1129&gt;=10,"HIGH",L1129=0,"LOW",L1129&lt;=9,"MEDIUM")</f>
        <v>LOW</v>
      </c>
      <c r="N1129" s="9" t="str" cm="1">
        <f t="array" ref="N1129">_xlfn.IFS(M1129="HIGH",K1129*L1129,M1129="MEDIUM",K1129*L1129,M1129="LOW","NA")</f>
        <v>NA</v>
      </c>
      <c r="O1129" s="18" t="str">
        <f t="shared" si="53"/>
        <v>cleared</v>
      </c>
    </row>
    <row r="1130" spans="1:15" x14ac:dyDescent="0.25">
      <c r="A1130" s="17">
        <v>1126</v>
      </c>
      <c r="B1130" s="6" t="s">
        <v>1163</v>
      </c>
      <c r="C1130" s="6" t="s">
        <v>37</v>
      </c>
      <c r="D1130" s="6" t="s">
        <v>49</v>
      </c>
      <c r="E1130" s="6" t="s">
        <v>46</v>
      </c>
      <c r="F1130" s="6" t="s">
        <v>27</v>
      </c>
      <c r="G1130" s="7">
        <v>46169</v>
      </c>
      <c r="H1130" s="6">
        <v>4</v>
      </c>
      <c r="I1130" s="6"/>
      <c r="J1130" s="7">
        <f t="shared" si="52"/>
        <v>46173</v>
      </c>
      <c r="K1130" s="8">
        <v>60</v>
      </c>
      <c r="L1130" s="9">
        <f t="shared" si="51"/>
        <v>86</v>
      </c>
      <c r="M1130" s="9" t="str" cm="1">
        <f t="array" ref="M1130">_xlfn.IFS(L1130&gt;=10,"HIGH",L1130=0,"LOW",L1130&lt;=9,"MEDIUM")</f>
        <v>HIGH</v>
      </c>
      <c r="N1130" s="9" cm="1">
        <f t="array" ref="N1130">_xlfn.IFS(M1130="HIGH",K1130*L1130,M1130="MEDIUM",K1130*L1130,M1130="LOW","NA")</f>
        <v>5160</v>
      </c>
      <c r="O1130" s="18" t="str">
        <f t="shared" si="53"/>
        <v>still in yard</v>
      </c>
    </row>
    <row r="1131" spans="1:15" x14ac:dyDescent="0.25">
      <c r="A1131" s="17">
        <v>1127</v>
      </c>
      <c r="B1131" s="6" t="s">
        <v>1164</v>
      </c>
      <c r="C1131" s="6" t="s">
        <v>33</v>
      </c>
      <c r="D1131" s="6" t="s">
        <v>31</v>
      </c>
      <c r="E1131" s="6" t="s">
        <v>23</v>
      </c>
      <c r="F1131" s="6" t="s">
        <v>14</v>
      </c>
      <c r="G1131" s="7">
        <v>46233</v>
      </c>
      <c r="H1131" s="6">
        <v>5</v>
      </c>
      <c r="I1131" s="6"/>
      <c r="J1131" s="7">
        <f t="shared" si="52"/>
        <v>46238</v>
      </c>
      <c r="K1131" s="8">
        <v>90</v>
      </c>
      <c r="L1131" s="9">
        <f t="shared" si="51"/>
        <v>21</v>
      </c>
      <c r="M1131" s="9" t="str" cm="1">
        <f t="array" ref="M1131">_xlfn.IFS(L1131&gt;=10,"HIGH",L1131=0,"LOW",L1131&lt;=9,"MEDIUM")</f>
        <v>HIGH</v>
      </c>
      <c r="N1131" s="9" cm="1">
        <f t="array" ref="N1131">_xlfn.IFS(M1131="HIGH",K1131*L1131,M1131="MEDIUM",K1131*L1131,M1131="LOW","NA")</f>
        <v>1890</v>
      </c>
      <c r="O1131" s="18" t="str">
        <f t="shared" si="53"/>
        <v>still in yard</v>
      </c>
    </row>
    <row r="1132" spans="1:15" x14ac:dyDescent="0.25">
      <c r="A1132" s="17">
        <v>1128</v>
      </c>
      <c r="B1132" s="6" t="s">
        <v>1165</v>
      </c>
      <c r="C1132" s="6" t="s">
        <v>33</v>
      </c>
      <c r="D1132" s="6" t="s">
        <v>54</v>
      </c>
      <c r="E1132" s="6" t="s">
        <v>23</v>
      </c>
      <c r="F1132" s="6" t="s">
        <v>24</v>
      </c>
      <c r="G1132" s="7">
        <v>46192</v>
      </c>
      <c r="H1132" s="6">
        <v>5</v>
      </c>
      <c r="I1132" s="7">
        <v>46202</v>
      </c>
      <c r="J1132" s="7">
        <f t="shared" si="52"/>
        <v>46197</v>
      </c>
      <c r="K1132" s="8">
        <v>130</v>
      </c>
      <c r="L1132" s="9">
        <f t="shared" si="51"/>
        <v>5</v>
      </c>
      <c r="M1132" s="9" t="str" cm="1">
        <f t="array" ref="M1132">_xlfn.IFS(L1132&gt;=10,"HIGH",L1132=0,"LOW",L1132&lt;=9,"MEDIUM")</f>
        <v>MEDIUM</v>
      </c>
      <c r="N1132" s="9" cm="1">
        <f t="array" ref="N1132">_xlfn.IFS(M1132="HIGH",K1132*L1132,M1132="MEDIUM",K1132*L1132,M1132="LOW","NA")</f>
        <v>650</v>
      </c>
      <c r="O1132" s="18" t="str">
        <f t="shared" si="53"/>
        <v>cleared</v>
      </c>
    </row>
    <row r="1133" spans="1:15" x14ac:dyDescent="0.25">
      <c r="A1133" s="17">
        <v>1129</v>
      </c>
      <c r="B1133" s="6" t="s">
        <v>1166</v>
      </c>
      <c r="C1133" s="6" t="s">
        <v>33</v>
      </c>
      <c r="D1133" s="6" t="s">
        <v>41</v>
      </c>
      <c r="E1133" s="6" t="s">
        <v>44</v>
      </c>
      <c r="F1133" s="6" t="s">
        <v>27</v>
      </c>
      <c r="G1133" s="7">
        <v>46188</v>
      </c>
      <c r="H1133" s="6">
        <v>6</v>
      </c>
      <c r="I1133" s="7">
        <v>46191</v>
      </c>
      <c r="J1133" s="7">
        <f t="shared" si="52"/>
        <v>46194</v>
      </c>
      <c r="K1133" s="8">
        <v>90</v>
      </c>
      <c r="L1133" s="9">
        <f t="shared" si="51"/>
        <v>0</v>
      </c>
      <c r="M1133" s="9" t="str" cm="1">
        <f t="array" ref="M1133">_xlfn.IFS(L1133&gt;=10,"HIGH",L1133=0,"LOW",L1133&lt;=9,"MEDIUM")</f>
        <v>LOW</v>
      </c>
      <c r="N1133" s="9" t="str" cm="1">
        <f t="array" ref="N1133">_xlfn.IFS(M1133="HIGH",K1133*L1133,M1133="MEDIUM",K1133*L1133,M1133="LOW","NA")</f>
        <v>NA</v>
      </c>
      <c r="O1133" s="18" t="str">
        <f t="shared" si="53"/>
        <v>cleared</v>
      </c>
    </row>
    <row r="1134" spans="1:15" x14ac:dyDescent="0.25">
      <c r="A1134" s="17">
        <v>1130</v>
      </c>
      <c r="B1134" s="6" t="s">
        <v>1167</v>
      </c>
      <c r="C1134" s="6" t="s">
        <v>33</v>
      </c>
      <c r="D1134" s="6" t="s">
        <v>54</v>
      </c>
      <c r="E1134" s="6" t="s">
        <v>18</v>
      </c>
      <c r="F1134" s="6" t="s">
        <v>24</v>
      </c>
      <c r="G1134" s="7">
        <v>46231</v>
      </c>
      <c r="H1134" s="6">
        <v>6</v>
      </c>
      <c r="I1134" s="6"/>
      <c r="J1134" s="7">
        <f t="shared" si="52"/>
        <v>46237</v>
      </c>
      <c r="K1134" s="8">
        <v>130</v>
      </c>
      <c r="L1134" s="9">
        <f t="shared" si="51"/>
        <v>22</v>
      </c>
      <c r="M1134" s="9" t="str" cm="1">
        <f t="array" ref="M1134">_xlfn.IFS(L1134&gt;=10,"HIGH",L1134=0,"LOW",L1134&lt;=9,"MEDIUM")</f>
        <v>HIGH</v>
      </c>
      <c r="N1134" s="9" cm="1">
        <f t="array" ref="N1134">_xlfn.IFS(M1134="HIGH",K1134*L1134,M1134="MEDIUM",K1134*L1134,M1134="LOW","NA")</f>
        <v>2860</v>
      </c>
      <c r="O1134" s="18" t="str">
        <f t="shared" si="53"/>
        <v>still in yard</v>
      </c>
    </row>
    <row r="1135" spans="1:15" x14ac:dyDescent="0.25">
      <c r="A1135" s="17">
        <v>1131</v>
      </c>
      <c r="B1135" s="6" t="s">
        <v>1168</v>
      </c>
      <c r="C1135" s="6" t="s">
        <v>37</v>
      </c>
      <c r="D1135" s="6" t="s">
        <v>56</v>
      </c>
      <c r="E1135" s="6" t="s">
        <v>61</v>
      </c>
      <c r="F1135" s="6" t="s">
        <v>27</v>
      </c>
      <c r="G1135" s="7">
        <v>46246</v>
      </c>
      <c r="H1135" s="6">
        <v>6</v>
      </c>
      <c r="I1135" s="7">
        <v>46257</v>
      </c>
      <c r="J1135" s="7">
        <f t="shared" si="52"/>
        <v>46252</v>
      </c>
      <c r="K1135" s="8">
        <v>110</v>
      </c>
      <c r="L1135" s="9">
        <f t="shared" si="51"/>
        <v>5</v>
      </c>
      <c r="M1135" s="9" t="str" cm="1">
        <f t="array" ref="M1135">_xlfn.IFS(L1135&gt;=10,"HIGH",L1135=0,"LOW",L1135&lt;=9,"MEDIUM")</f>
        <v>MEDIUM</v>
      </c>
      <c r="N1135" s="9" cm="1">
        <f t="array" ref="N1135">_xlfn.IFS(M1135="HIGH",K1135*L1135,M1135="MEDIUM",K1135*L1135,M1135="LOW","NA")</f>
        <v>550</v>
      </c>
      <c r="O1135" s="18" t="str">
        <f t="shared" si="53"/>
        <v>cleared</v>
      </c>
    </row>
    <row r="1136" spans="1:15" x14ac:dyDescent="0.25">
      <c r="A1136" s="17">
        <v>1132</v>
      </c>
      <c r="B1136" s="6" t="s">
        <v>1169</v>
      </c>
      <c r="C1136" s="6" t="s">
        <v>16</v>
      </c>
      <c r="D1136" s="6" t="s">
        <v>34</v>
      </c>
      <c r="E1136" s="6" t="s">
        <v>42</v>
      </c>
      <c r="F1136" s="6" t="s">
        <v>14</v>
      </c>
      <c r="G1136" s="7">
        <v>46185</v>
      </c>
      <c r="H1136" s="6">
        <v>5</v>
      </c>
      <c r="I1136" s="7">
        <v>46186</v>
      </c>
      <c r="J1136" s="7">
        <f t="shared" si="52"/>
        <v>46190</v>
      </c>
      <c r="K1136" s="8">
        <v>90</v>
      </c>
      <c r="L1136" s="9">
        <f t="shared" si="51"/>
        <v>0</v>
      </c>
      <c r="M1136" s="9" t="str" cm="1">
        <f t="array" ref="M1136">_xlfn.IFS(L1136&gt;=10,"HIGH",L1136=0,"LOW",L1136&lt;=9,"MEDIUM")</f>
        <v>LOW</v>
      </c>
      <c r="N1136" s="9" t="str" cm="1">
        <f t="array" ref="N1136">_xlfn.IFS(M1136="HIGH",K1136*L1136,M1136="MEDIUM",K1136*L1136,M1136="LOW","NA")</f>
        <v>NA</v>
      </c>
      <c r="O1136" s="18" t="str">
        <f t="shared" si="53"/>
        <v>cleared</v>
      </c>
    </row>
    <row r="1137" spans="1:15" x14ac:dyDescent="0.25">
      <c r="A1137" s="17">
        <v>1133</v>
      </c>
      <c r="B1137" s="6" t="s">
        <v>1170</v>
      </c>
      <c r="C1137" s="6" t="s">
        <v>37</v>
      </c>
      <c r="D1137" s="6" t="s">
        <v>17</v>
      </c>
      <c r="E1137" s="6" t="s">
        <v>21</v>
      </c>
      <c r="F1137" s="6" t="s">
        <v>27</v>
      </c>
      <c r="G1137" s="7">
        <v>46240</v>
      </c>
      <c r="H1137" s="6">
        <v>7</v>
      </c>
      <c r="I1137" s="7">
        <v>46253</v>
      </c>
      <c r="J1137" s="7">
        <f t="shared" si="52"/>
        <v>46247</v>
      </c>
      <c r="K1137" s="8">
        <v>90</v>
      </c>
      <c r="L1137" s="9">
        <f t="shared" si="51"/>
        <v>6</v>
      </c>
      <c r="M1137" s="9" t="str" cm="1">
        <f t="array" ref="M1137">_xlfn.IFS(L1137&gt;=10,"HIGH",L1137=0,"LOW",L1137&lt;=9,"MEDIUM")</f>
        <v>MEDIUM</v>
      </c>
      <c r="N1137" s="9" cm="1">
        <f t="array" ref="N1137">_xlfn.IFS(M1137="HIGH",K1137*L1137,M1137="MEDIUM",K1137*L1137,M1137="LOW","NA")</f>
        <v>540</v>
      </c>
      <c r="O1137" s="18" t="str">
        <f t="shared" si="53"/>
        <v>cleared</v>
      </c>
    </row>
    <row r="1138" spans="1:15" x14ac:dyDescent="0.25">
      <c r="A1138" s="17">
        <v>1134</v>
      </c>
      <c r="B1138" s="6" t="s">
        <v>1171</v>
      </c>
      <c r="C1138" s="6" t="s">
        <v>11</v>
      </c>
      <c r="D1138" s="6" t="s">
        <v>41</v>
      </c>
      <c r="E1138" s="6" t="s">
        <v>46</v>
      </c>
      <c r="F1138" s="6" t="s">
        <v>29</v>
      </c>
      <c r="G1138" s="7">
        <v>46247</v>
      </c>
      <c r="H1138" s="6">
        <v>4</v>
      </c>
      <c r="I1138" s="7">
        <v>46257</v>
      </c>
      <c r="J1138" s="7">
        <f t="shared" si="52"/>
        <v>46251</v>
      </c>
      <c r="K1138" s="8">
        <v>120</v>
      </c>
      <c r="L1138" s="9">
        <f t="shared" si="51"/>
        <v>6</v>
      </c>
      <c r="M1138" s="9" t="str" cm="1">
        <f t="array" ref="M1138">_xlfn.IFS(L1138&gt;=10,"HIGH",L1138=0,"LOW",L1138&lt;=9,"MEDIUM")</f>
        <v>MEDIUM</v>
      </c>
      <c r="N1138" s="9" cm="1">
        <f t="array" ref="N1138">_xlfn.IFS(M1138="HIGH",K1138*L1138,M1138="MEDIUM",K1138*L1138,M1138="LOW","NA")</f>
        <v>720</v>
      </c>
      <c r="O1138" s="18" t="str">
        <f t="shared" si="53"/>
        <v>cleared</v>
      </c>
    </row>
    <row r="1139" spans="1:15" x14ac:dyDescent="0.25">
      <c r="A1139" s="17">
        <v>1135</v>
      </c>
      <c r="B1139" s="6" t="s">
        <v>1172</v>
      </c>
      <c r="C1139" s="6" t="s">
        <v>11</v>
      </c>
      <c r="D1139" s="6" t="s">
        <v>17</v>
      </c>
      <c r="E1139" s="6" t="s">
        <v>42</v>
      </c>
      <c r="F1139" s="6" t="s">
        <v>24</v>
      </c>
      <c r="G1139" s="7">
        <v>46205</v>
      </c>
      <c r="H1139" s="6">
        <v>4</v>
      </c>
      <c r="I1139" s="7">
        <v>46213</v>
      </c>
      <c r="J1139" s="7">
        <f t="shared" si="52"/>
        <v>46209</v>
      </c>
      <c r="K1139" s="8">
        <v>60</v>
      </c>
      <c r="L1139" s="9">
        <f t="shared" si="51"/>
        <v>4</v>
      </c>
      <c r="M1139" s="9" t="str" cm="1">
        <f t="array" ref="M1139">_xlfn.IFS(L1139&gt;=10,"HIGH",L1139=0,"LOW",L1139&lt;=9,"MEDIUM")</f>
        <v>MEDIUM</v>
      </c>
      <c r="N1139" s="9" cm="1">
        <f t="array" ref="N1139">_xlfn.IFS(M1139="HIGH",K1139*L1139,M1139="MEDIUM",K1139*L1139,M1139="LOW","NA")</f>
        <v>240</v>
      </c>
      <c r="O1139" s="18" t="str">
        <f t="shared" si="53"/>
        <v>cleared</v>
      </c>
    </row>
    <row r="1140" spans="1:15" x14ac:dyDescent="0.25">
      <c r="A1140" s="17">
        <v>1136</v>
      </c>
      <c r="B1140" s="6" t="s">
        <v>1173</v>
      </c>
      <c r="C1140" s="6" t="s">
        <v>11</v>
      </c>
      <c r="D1140" s="6" t="s">
        <v>17</v>
      </c>
      <c r="E1140" s="6" t="s">
        <v>18</v>
      </c>
      <c r="F1140" s="6" t="s">
        <v>27</v>
      </c>
      <c r="G1140" s="7">
        <v>46236</v>
      </c>
      <c r="H1140" s="6">
        <v>5</v>
      </c>
      <c r="I1140" s="7">
        <v>46243</v>
      </c>
      <c r="J1140" s="7">
        <f t="shared" si="52"/>
        <v>46241</v>
      </c>
      <c r="K1140" s="8">
        <v>75</v>
      </c>
      <c r="L1140" s="9">
        <f t="shared" si="51"/>
        <v>2</v>
      </c>
      <c r="M1140" s="9" t="str" cm="1">
        <f t="array" ref="M1140">_xlfn.IFS(L1140&gt;=10,"HIGH",L1140=0,"LOW",L1140&lt;=9,"MEDIUM")</f>
        <v>MEDIUM</v>
      </c>
      <c r="N1140" s="9" cm="1">
        <f t="array" ref="N1140">_xlfn.IFS(M1140="HIGH",K1140*L1140,M1140="MEDIUM",K1140*L1140,M1140="LOW","NA")</f>
        <v>150</v>
      </c>
      <c r="O1140" s="18" t="str">
        <f t="shared" si="53"/>
        <v>cleared</v>
      </c>
    </row>
    <row r="1141" spans="1:15" x14ac:dyDescent="0.25">
      <c r="A1141" s="17">
        <v>1137</v>
      </c>
      <c r="B1141" s="6" t="s">
        <v>1174</v>
      </c>
      <c r="C1141" s="6" t="s">
        <v>11</v>
      </c>
      <c r="D1141" s="6" t="s">
        <v>17</v>
      </c>
      <c r="E1141" s="6" t="s">
        <v>23</v>
      </c>
      <c r="F1141" s="6" t="s">
        <v>29</v>
      </c>
      <c r="G1141" s="7">
        <v>46204</v>
      </c>
      <c r="H1141" s="6">
        <v>4</v>
      </c>
      <c r="I1141" s="7">
        <v>46212</v>
      </c>
      <c r="J1141" s="7">
        <f t="shared" si="52"/>
        <v>46208</v>
      </c>
      <c r="K1141" s="8">
        <v>120</v>
      </c>
      <c r="L1141" s="9">
        <f t="shared" si="51"/>
        <v>4</v>
      </c>
      <c r="M1141" s="9" t="str" cm="1">
        <f t="array" ref="M1141">_xlfn.IFS(L1141&gt;=10,"HIGH",L1141=0,"LOW",L1141&lt;=9,"MEDIUM")</f>
        <v>MEDIUM</v>
      </c>
      <c r="N1141" s="9" cm="1">
        <f t="array" ref="N1141">_xlfn.IFS(M1141="HIGH",K1141*L1141,M1141="MEDIUM",K1141*L1141,M1141="LOW","NA")</f>
        <v>480</v>
      </c>
      <c r="O1141" s="18" t="str">
        <f t="shared" si="53"/>
        <v>cleared</v>
      </c>
    </row>
    <row r="1142" spans="1:15" x14ac:dyDescent="0.25">
      <c r="A1142" s="17">
        <v>1138</v>
      </c>
      <c r="B1142" s="6" t="s">
        <v>1175</v>
      </c>
      <c r="C1142" s="6" t="s">
        <v>16</v>
      </c>
      <c r="D1142" s="6" t="s">
        <v>12</v>
      </c>
      <c r="E1142" s="6" t="s">
        <v>23</v>
      </c>
      <c r="F1142" s="6" t="s">
        <v>14</v>
      </c>
      <c r="G1142" s="7">
        <v>46220</v>
      </c>
      <c r="H1142" s="6">
        <v>7</v>
      </c>
      <c r="I1142" s="7">
        <v>46227</v>
      </c>
      <c r="J1142" s="7">
        <f t="shared" si="52"/>
        <v>46227</v>
      </c>
      <c r="K1142" s="8">
        <v>130</v>
      </c>
      <c r="L1142" s="9">
        <f t="shared" si="51"/>
        <v>0</v>
      </c>
      <c r="M1142" s="9" t="str" cm="1">
        <f t="array" ref="M1142">_xlfn.IFS(L1142&gt;=10,"HIGH",L1142=0,"LOW",L1142&lt;=9,"MEDIUM")</f>
        <v>LOW</v>
      </c>
      <c r="N1142" s="9" t="str" cm="1">
        <f t="array" ref="N1142">_xlfn.IFS(M1142="HIGH",K1142*L1142,M1142="MEDIUM",K1142*L1142,M1142="LOW","NA")</f>
        <v>NA</v>
      </c>
      <c r="O1142" s="18" t="str">
        <f t="shared" si="53"/>
        <v>cleared</v>
      </c>
    </row>
    <row r="1143" spans="1:15" x14ac:dyDescent="0.25">
      <c r="A1143" s="17">
        <v>1139</v>
      </c>
      <c r="B1143" s="6" t="s">
        <v>1176</v>
      </c>
      <c r="C1143" s="6" t="s">
        <v>37</v>
      </c>
      <c r="D1143" s="6" t="s">
        <v>54</v>
      </c>
      <c r="E1143" s="6" t="s">
        <v>61</v>
      </c>
      <c r="F1143" s="6" t="s">
        <v>14</v>
      </c>
      <c r="G1143" s="7">
        <v>46234</v>
      </c>
      <c r="H1143" s="6">
        <v>5</v>
      </c>
      <c r="I1143" s="7">
        <v>46242</v>
      </c>
      <c r="J1143" s="7">
        <f t="shared" si="52"/>
        <v>46239</v>
      </c>
      <c r="K1143" s="8">
        <v>90</v>
      </c>
      <c r="L1143" s="9">
        <f t="shared" si="51"/>
        <v>3</v>
      </c>
      <c r="M1143" s="9" t="str" cm="1">
        <f t="array" ref="M1143">_xlfn.IFS(L1143&gt;=10,"HIGH",L1143=0,"LOW",L1143&lt;=9,"MEDIUM")</f>
        <v>MEDIUM</v>
      </c>
      <c r="N1143" s="9" cm="1">
        <f t="array" ref="N1143">_xlfn.IFS(M1143="HIGH",K1143*L1143,M1143="MEDIUM",K1143*L1143,M1143="LOW","NA")</f>
        <v>270</v>
      </c>
      <c r="O1143" s="18" t="str">
        <f t="shared" si="53"/>
        <v>cleared</v>
      </c>
    </row>
    <row r="1144" spans="1:15" x14ac:dyDescent="0.25">
      <c r="A1144" s="17">
        <v>1140</v>
      </c>
      <c r="B1144" s="6" t="s">
        <v>1177</v>
      </c>
      <c r="C1144" s="6" t="s">
        <v>16</v>
      </c>
      <c r="D1144" s="6" t="s">
        <v>26</v>
      </c>
      <c r="E1144" s="6" t="s">
        <v>23</v>
      </c>
      <c r="F1144" s="6" t="s">
        <v>14</v>
      </c>
      <c r="G1144" s="7">
        <v>46249</v>
      </c>
      <c r="H1144" s="6">
        <v>7</v>
      </c>
      <c r="I1144" s="7">
        <v>46258</v>
      </c>
      <c r="J1144" s="7">
        <f t="shared" si="52"/>
        <v>46256</v>
      </c>
      <c r="K1144" s="8">
        <v>60</v>
      </c>
      <c r="L1144" s="9">
        <f t="shared" si="51"/>
        <v>2</v>
      </c>
      <c r="M1144" s="9" t="str" cm="1">
        <f t="array" ref="M1144">_xlfn.IFS(L1144&gt;=10,"HIGH",L1144=0,"LOW",L1144&lt;=9,"MEDIUM")</f>
        <v>MEDIUM</v>
      </c>
      <c r="N1144" s="9" cm="1">
        <f t="array" ref="N1144">_xlfn.IFS(M1144="HIGH",K1144*L1144,M1144="MEDIUM",K1144*L1144,M1144="LOW","NA")</f>
        <v>120</v>
      </c>
      <c r="O1144" s="18" t="str">
        <f t="shared" si="53"/>
        <v>cleared</v>
      </c>
    </row>
    <row r="1145" spans="1:15" x14ac:dyDescent="0.25">
      <c r="A1145" s="17">
        <v>1141</v>
      </c>
      <c r="B1145" s="6" t="s">
        <v>1178</v>
      </c>
      <c r="C1145" s="6" t="s">
        <v>33</v>
      </c>
      <c r="D1145" s="6" t="s">
        <v>56</v>
      </c>
      <c r="E1145" s="6" t="s">
        <v>18</v>
      </c>
      <c r="F1145" s="6" t="s">
        <v>24</v>
      </c>
      <c r="G1145" s="7">
        <v>46226</v>
      </c>
      <c r="H1145" s="6">
        <v>4</v>
      </c>
      <c r="I1145" s="7">
        <v>46229</v>
      </c>
      <c r="J1145" s="7">
        <f t="shared" si="52"/>
        <v>46230</v>
      </c>
      <c r="K1145" s="8">
        <v>130</v>
      </c>
      <c r="L1145" s="9">
        <f t="shared" si="51"/>
        <v>0</v>
      </c>
      <c r="M1145" s="9" t="str" cm="1">
        <f t="array" ref="M1145">_xlfn.IFS(L1145&gt;=10,"HIGH",L1145=0,"LOW",L1145&lt;=9,"MEDIUM")</f>
        <v>LOW</v>
      </c>
      <c r="N1145" s="9" t="str" cm="1">
        <f t="array" ref="N1145">_xlfn.IFS(M1145="HIGH",K1145*L1145,M1145="MEDIUM",K1145*L1145,M1145="LOW","NA")</f>
        <v>NA</v>
      </c>
      <c r="O1145" s="18" t="str">
        <f t="shared" si="53"/>
        <v>cleared</v>
      </c>
    </row>
    <row r="1146" spans="1:15" x14ac:dyDescent="0.25">
      <c r="A1146" s="17">
        <v>1142</v>
      </c>
      <c r="B1146" s="6" t="s">
        <v>1179</v>
      </c>
      <c r="C1146" s="6" t="s">
        <v>33</v>
      </c>
      <c r="D1146" s="6" t="s">
        <v>54</v>
      </c>
      <c r="E1146" s="6" t="s">
        <v>21</v>
      </c>
      <c r="F1146" s="6" t="s">
        <v>29</v>
      </c>
      <c r="G1146" s="7">
        <v>46247</v>
      </c>
      <c r="H1146" s="6">
        <v>4</v>
      </c>
      <c r="I1146" s="6"/>
      <c r="J1146" s="7">
        <f t="shared" si="52"/>
        <v>46251</v>
      </c>
      <c r="K1146" s="8">
        <v>120</v>
      </c>
      <c r="L1146" s="9">
        <f t="shared" si="51"/>
        <v>8</v>
      </c>
      <c r="M1146" s="9" t="str" cm="1">
        <f t="array" ref="M1146">_xlfn.IFS(L1146&gt;=10,"HIGH",L1146=0,"LOW",L1146&lt;=9,"MEDIUM")</f>
        <v>MEDIUM</v>
      </c>
      <c r="N1146" s="9" cm="1">
        <f t="array" ref="N1146">_xlfn.IFS(M1146="HIGH",K1146*L1146,M1146="MEDIUM",K1146*L1146,M1146="LOW","NA")</f>
        <v>960</v>
      </c>
      <c r="O1146" s="18" t="str">
        <f t="shared" si="53"/>
        <v>still in yard</v>
      </c>
    </row>
    <row r="1147" spans="1:15" x14ac:dyDescent="0.25">
      <c r="A1147" s="17">
        <v>1143</v>
      </c>
      <c r="B1147" s="6" t="s">
        <v>1180</v>
      </c>
      <c r="C1147" s="6" t="s">
        <v>33</v>
      </c>
      <c r="D1147" s="6" t="s">
        <v>17</v>
      </c>
      <c r="E1147" s="6" t="s">
        <v>21</v>
      </c>
      <c r="F1147" s="6" t="s">
        <v>24</v>
      </c>
      <c r="G1147" s="7">
        <v>46208</v>
      </c>
      <c r="H1147" s="6">
        <v>4</v>
      </c>
      <c r="I1147" s="7">
        <v>46216</v>
      </c>
      <c r="J1147" s="7">
        <f t="shared" si="52"/>
        <v>46212</v>
      </c>
      <c r="K1147" s="8">
        <v>75</v>
      </c>
      <c r="L1147" s="9">
        <f t="shared" si="51"/>
        <v>4</v>
      </c>
      <c r="M1147" s="9" t="str" cm="1">
        <f t="array" ref="M1147">_xlfn.IFS(L1147&gt;=10,"HIGH",L1147=0,"LOW",L1147&lt;=9,"MEDIUM")</f>
        <v>MEDIUM</v>
      </c>
      <c r="N1147" s="9" cm="1">
        <f t="array" ref="N1147">_xlfn.IFS(M1147="HIGH",K1147*L1147,M1147="MEDIUM",K1147*L1147,M1147="LOW","NA")</f>
        <v>300</v>
      </c>
      <c r="O1147" s="18" t="str">
        <f t="shared" si="53"/>
        <v>cleared</v>
      </c>
    </row>
    <row r="1148" spans="1:15" x14ac:dyDescent="0.25">
      <c r="A1148" s="17">
        <v>1144</v>
      </c>
      <c r="B1148" s="6" t="s">
        <v>1181</v>
      </c>
      <c r="C1148" s="6" t="s">
        <v>37</v>
      </c>
      <c r="D1148" s="6" t="s">
        <v>26</v>
      </c>
      <c r="E1148" s="6" t="s">
        <v>18</v>
      </c>
      <c r="F1148" s="6" t="s">
        <v>14</v>
      </c>
      <c r="G1148" s="7">
        <v>46186</v>
      </c>
      <c r="H1148" s="6">
        <v>5</v>
      </c>
      <c r="I1148" s="7">
        <v>46187</v>
      </c>
      <c r="J1148" s="7">
        <f t="shared" si="52"/>
        <v>46191</v>
      </c>
      <c r="K1148" s="8">
        <v>60</v>
      </c>
      <c r="L1148" s="9">
        <f t="shared" si="51"/>
        <v>0</v>
      </c>
      <c r="M1148" s="9" t="str" cm="1">
        <f t="array" ref="M1148">_xlfn.IFS(L1148&gt;=10,"HIGH",L1148=0,"LOW",L1148&lt;=9,"MEDIUM")</f>
        <v>LOW</v>
      </c>
      <c r="N1148" s="9" t="str" cm="1">
        <f t="array" ref="N1148">_xlfn.IFS(M1148="HIGH",K1148*L1148,M1148="MEDIUM",K1148*L1148,M1148="LOW","NA")</f>
        <v>NA</v>
      </c>
      <c r="O1148" s="18" t="str">
        <f t="shared" si="53"/>
        <v>cleared</v>
      </c>
    </row>
    <row r="1149" spans="1:15" x14ac:dyDescent="0.25">
      <c r="A1149" s="17">
        <v>1145</v>
      </c>
      <c r="B1149" s="6" t="s">
        <v>1182</v>
      </c>
      <c r="C1149" s="6" t="s">
        <v>16</v>
      </c>
      <c r="D1149" s="6" t="s">
        <v>56</v>
      </c>
      <c r="E1149" s="6" t="s">
        <v>42</v>
      </c>
      <c r="F1149" s="6" t="s">
        <v>24</v>
      </c>
      <c r="G1149" s="7">
        <v>46180</v>
      </c>
      <c r="H1149" s="6">
        <v>4</v>
      </c>
      <c r="I1149" s="7">
        <v>46192</v>
      </c>
      <c r="J1149" s="7">
        <f t="shared" si="52"/>
        <v>46184</v>
      </c>
      <c r="K1149" s="8">
        <v>110</v>
      </c>
      <c r="L1149" s="9">
        <f t="shared" si="51"/>
        <v>8</v>
      </c>
      <c r="M1149" s="9" t="str" cm="1">
        <f t="array" ref="M1149">_xlfn.IFS(L1149&gt;=10,"HIGH",L1149=0,"LOW",L1149&lt;=9,"MEDIUM")</f>
        <v>MEDIUM</v>
      </c>
      <c r="N1149" s="9" cm="1">
        <f t="array" ref="N1149">_xlfn.IFS(M1149="HIGH",K1149*L1149,M1149="MEDIUM",K1149*L1149,M1149="LOW","NA")</f>
        <v>880</v>
      </c>
      <c r="O1149" s="18" t="str">
        <f t="shared" si="53"/>
        <v>cleared</v>
      </c>
    </row>
    <row r="1150" spans="1:15" x14ac:dyDescent="0.25">
      <c r="A1150" s="17">
        <v>1146</v>
      </c>
      <c r="B1150" s="6" t="s">
        <v>1183</v>
      </c>
      <c r="C1150" s="6" t="s">
        <v>16</v>
      </c>
      <c r="D1150" s="6" t="s">
        <v>54</v>
      </c>
      <c r="E1150" s="6" t="s">
        <v>18</v>
      </c>
      <c r="F1150" s="6" t="s">
        <v>24</v>
      </c>
      <c r="G1150" s="7">
        <v>46218</v>
      </c>
      <c r="H1150" s="6">
        <v>5</v>
      </c>
      <c r="I1150" s="6"/>
      <c r="J1150" s="7">
        <f t="shared" si="52"/>
        <v>46223</v>
      </c>
      <c r="K1150" s="8">
        <v>60</v>
      </c>
      <c r="L1150" s="9">
        <f t="shared" si="51"/>
        <v>36</v>
      </c>
      <c r="M1150" s="9" t="str" cm="1">
        <f t="array" ref="M1150">_xlfn.IFS(L1150&gt;=10,"HIGH",L1150=0,"LOW",L1150&lt;=9,"MEDIUM")</f>
        <v>HIGH</v>
      </c>
      <c r="N1150" s="9" cm="1">
        <f t="array" ref="N1150">_xlfn.IFS(M1150="HIGH",K1150*L1150,M1150="MEDIUM",K1150*L1150,M1150="LOW","NA")</f>
        <v>2160</v>
      </c>
      <c r="O1150" s="18" t="str">
        <f t="shared" si="53"/>
        <v>still in yard</v>
      </c>
    </row>
    <row r="1151" spans="1:15" x14ac:dyDescent="0.25">
      <c r="A1151" s="17">
        <v>1147</v>
      </c>
      <c r="B1151" s="6" t="s">
        <v>1184</v>
      </c>
      <c r="C1151" s="6" t="s">
        <v>33</v>
      </c>
      <c r="D1151" s="6" t="s">
        <v>26</v>
      </c>
      <c r="E1151" s="6" t="s">
        <v>61</v>
      </c>
      <c r="F1151" s="6" t="s">
        <v>29</v>
      </c>
      <c r="G1151" s="7">
        <v>46236</v>
      </c>
      <c r="H1151" s="6">
        <v>4</v>
      </c>
      <c r="I1151" s="7">
        <v>46240</v>
      </c>
      <c r="J1151" s="7">
        <f t="shared" si="52"/>
        <v>46240</v>
      </c>
      <c r="K1151" s="8">
        <v>150</v>
      </c>
      <c r="L1151" s="9">
        <f t="shared" si="51"/>
        <v>0</v>
      </c>
      <c r="M1151" s="9" t="str" cm="1">
        <f t="array" ref="M1151">_xlfn.IFS(L1151&gt;=10,"HIGH",L1151=0,"LOW",L1151&lt;=9,"MEDIUM")</f>
        <v>LOW</v>
      </c>
      <c r="N1151" s="9" t="str" cm="1">
        <f t="array" ref="N1151">_xlfn.IFS(M1151="HIGH",K1151*L1151,M1151="MEDIUM",K1151*L1151,M1151="LOW","NA")</f>
        <v>NA</v>
      </c>
      <c r="O1151" s="18" t="str">
        <f t="shared" si="53"/>
        <v>cleared</v>
      </c>
    </row>
    <row r="1152" spans="1:15" x14ac:dyDescent="0.25">
      <c r="A1152" s="17">
        <v>1148</v>
      </c>
      <c r="B1152" s="6" t="s">
        <v>1185</v>
      </c>
      <c r="C1152" s="6" t="s">
        <v>33</v>
      </c>
      <c r="D1152" s="6" t="s">
        <v>49</v>
      </c>
      <c r="E1152" s="6" t="s">
        <v>35</v>
      </c>
      <c r="F1152" s="6" t="s">
        <v>14</v>
      </c>
      <c r="G1152" s="7">
        <v>46229</v>
      </c>
      <c r="H1152" s="6">
        <v>4</v>
      </c>
      <c r="I1152" s="7">
        <v>46235</v>
      </c>
      <c r="J1152" s="7">
        <f t="shared" si="52"/>
        <v>46233</v>
      </c>
      <c r="K1152" s="8">
        <v>75</v>
      </c>
      <c r="L1152" s="9">
        <f t="shared" si="51"/>
        <v>2</v>
      </c>
      <c r="M1152" s="9" t="str" cm="1">
        <f t="array" ref="M1152">_xlfn.IFS(L1152&gt;=10,"HIGH",L1152=0,"LOW",L1152&lt;=9,"MEDIUM")</f>
        <v>MEDIUM</v>
      </c>
      <c r="N1152" s="9" cm="1">
        <f t="array" ref="N1152">_xlfn.IFS(M1152="HIGH",K1152*L1152,M1152="MEDIUM",K1152*L1152,M1152="LOW","NA")</f>
        <v>150</v>
      </c>
      <c r="O1152" s="18" t="str">
        <f t="shared" si="53"/>
        <v>cleared</v>
      </c>
    </row>
    <row r="1153" spans="1:15" x14ac:dyDescent="0.25">
      <c r="A1153" s="17">
        <v>1149</v>
      </c>
      <c r="B1153" s="6" t="s">
        <v>1186</v>
      </c>
      <c r="C1153" s="6" t="s">
        <v>33</v>
      </c>
      <c r="D1153" s="6" t="s">
        <v>34</v>
      </c>
      <c r="E1153" s="6" t="s">
        <v>61</v>
      </c>
      <c r="F1153" s="6" t="s">
        <v>29</v>
      </c>
      <c r="G1153" s="7">
        <v>46186</v>
      </c>
      <c r="H1153" s="6">
        <v>4</v>
      </c>
      <c r="I1153" s="7">
        <v>46195</v>
      </c>
      <c r="J1153" s="7">
        <f t="shared" si="52"/>
        <v>46190</v>
      </c>
      <c r="K1153" s="8">
        <v>150</v>
      </c>
      <c r="L1153" s="9">
        <f t="shared" si="51"/>
        <v>5</v>
      </c>
      <c r="M1153" s="9" t="str" cm="1">
        <f t="array" ref="M1153">_xlfn.IFS(L1153&gt;=10,"HIGH",L1153=0,"LOW",L1153&lt;=9,"MEDIUM")</f>
        <v>MEDIUM</v>
      </c>
      <c r="N1153" s="9" cm="1">
        <f t="array" ref="N1153">_xlfn.IFS(M1153="HIGH",K1153*L1153,M1153="MEDIUM",K1153*L1153,M1153="LOW","NA")</f>
        <v>750</v>
      </c>
      <c r="O1153" s="18" t="str">
        <f t="shared" si="53"/>
        <v>cleared</v>
      </c>
    </row>
    <row r="1154" spans="1:15" x14ac:dyDescent="0.25">
      <c r="A1154" s="17">
        <v>1150</v>
      </c>
      <c r="B1154" s="6" t="s">
        <v>1187</v>
      </c>
      <c r="C1154" s="6" t="s">
        <v>33</v>
      </c>
      <c r="D1154" s="6" t="s">
        <v>20</v>
      </c>
      <c r="E1154" s="6" t="s">
        <v>44</v>
      </c>
      <c r="F1154" s="6" t="s">
        <v>24</v>
      </c>
      <c r="G1154" s="7">
        <v>46232</v>
      </c>
      <c r="H1154" s="6">
        <v>4</v>
      </c>
      <c r="I1154" s="7">
        <v>46233</v>
      </c>
      <c r="J1154" s="7">
        <f t="shared" si="52"/>
        <v>46236</v>
      </c>
      <c r="K1154" s="8">
        <v>90</v>
      </c>
      <c r="L1154" s="9">
        <f t="shared" si="51"/>
        <v>0</v>
      </c>
      <c r="M1154" s="9" t="str" cm="1">
        <f t="array" ref="M1154">_xlfn.IFS(L1154&gt;=10,"HIGH",L1154=0,"LOW",L1154&lt;=9,"MEDIUM")</f>
        <v>LOW</v>
      </c>
      <c r="N1154" s="9" t="str" cm="1">
        <f t="array" ref="N1154">_xlfn.IFS(M1154="HIGH",K1154*L1154,M1154="MEDIUM",K1154*L1154,M1154="LOW","NA")</f>
        <v>NA</v>
      </c>
      <c r="O1154" s="18" t="str">
        <f t="shared" si="53"/>
        <v>cleared</v>
      </c>
    </row>
    <row r="1155" spans="1:15" x14ac:dyDescent="0.25">
      <c r="A1155" s="17">
        <v>1151</v>
      </c>
      <c r="B1155" s="6" t="s">
        <v>1188</v>
      </c>
      <c r="C1155" s="6" t="s">
        <v>11</v>
      </c>
      <c r="D1155" s="6" t="s">
        <v>49</v>
      </c>
      <c r="E1155" s="6" t="s">
        <v>61</v>
      </c>
      <c r="F1155" s="6" t="s">
        <v>27</v>
      </c>
      <c r="G1155" s="7">
        <v>46191</v>
      </c>
      <c r="H1155" s="6">
        <v>5</v>
      </c>
      <c r="I1155" s="7">
        <v>46193</v>
      </c>
      <c r="J1155" s="7">
        <f t="shared" si="52"/>
        <v>46196</v>
      </c>
      <c r="K1155" s="8">
        <v>130</v>
      </c>
      <c r="L1155" s="9">
        <f t="shared" si="51"/>
        <v>0</v>
      </c>
      <c r="M1155" s="9" t="str" cm="1">
        <f t="array" ref="M1155">_xlfn.IFS(L1155&gt;=10,"HIGH",L1155=0,"LOW",L1155&lt;=9,"MEDIUM")</f>
        <v>LOW</v>
      </c>
      <c r="N1155" s="9" t="str" cm="1">
        <f t="array" ref="N1155">_xlfn.IFS(M1155="HIGH",K1155*L1155,M1155="MEDIUM",K1155*L1155,M1155="LOW","NA")</f>
        <v>NA</v>
      </c>
      <c r="O1155" s="18" t="str">
        <f t="shared" si="53"/>
        <v>cleared</v>
      </c>
    </row>
    <row r="1156" spans="1:15" x14ac:dyDescent="0.25">
      <c r="A1156" s="17">
        <v>1152</v>
      </c>
      <c r="B1156" s="6" t="s">
        <v>1189</v>
      </c>
      <c r="C1156" s="6" t="s">
        <v>11</v>
      </c>
      <c r="D1156" s="6" t="s">
        <v>20</v>
      </c>
      <c r="E1156" s="6" t="s">
        <v>35</v>
      </c>
      <c r="F1156" s="6" t="s">
        <v>24</v>
      </c>
      <c r="G1156" s="7">
        <v>46206</v>
      </c>
      <c r="H1156" s="6">
        <v>7</v>
      </c>
      <c r="I1156" s="7">
        <v>46212</v>
      </c>
      <c r="J1156" s="7">
        <f t="shared" si="52"/>
        <v>46213</v>
      </c>
      <c r="K1156" s="8">
        <v>60</v>
      </c>
      <c r="L1156" s="9">
        <f t="shared" si="51"/>
        <v>0</v>
      </c>
      <c r="M1156" s="9" t="str" cm="1">
        <f t="array" ref="M1156">_xlfn.IFS(L1156&gt;=10,"HIGH",L1156=0,"LOW",L1156&lt;=9,"MEDIUM")</f>
        <v>LOW</v>
      </c>
      <c r="N1156" s="9" t="str" cm="1">
        <f t="array" ref="N1156">_xlfn.IFS(M1156="HIGH",K1156*L1156,M1156="MEDIUM",K1156*L1156,M1156="LOW","NA")</f>
        <v>NA</v>
      </c>
      <c r="O1156" s="18" t="str">
        <f t="shared" si="53"/>
        <v>cleared</v>
      </c>
    </row>
    <row r="1157" spans="1:15" x14ac:dyDescent="0.25">
      <c r="A1157" s="17">
        <v>1153</v>
      </c>
      <c r="B1157" s="6" t="s">
        <v>1190</v>
      </c>
      <c r="C1157" s="6" t="s">
        <v>37</v>
      </c>
      <c r="D1157" s="6" t="s">
        <v>12</v>
      </c>
      <c r="E1157" s="6" t="s">
        <v>21</v>
      </c>
      <c r="F1157" s="6" t="s">
        <v>29</v>
      </c>
      <c r="G1157" s="7">
        <v>46173</v>
      </c>
      <c r="H1157" s="6">
        <v>3</v>
      </c>
      <c r="I1157" s="6"/>
      <c r="J1157" s="7">
        <f t="shared" si="52"/>
        <v>46176</v>
      </c>
      <c r="K1157" s="8">
        <v>150</v>
      </c>
      <c r="L1157" s="9">
        <f t="shared" ref="L1157:L1220" si="54">MAX(0, IF(I1157="", $C$2-J1157, I1157-J1157))</f>
        <v>83</v>
      </c>
      <c r="M1157" s="9" t="str" cm="1">
        <f t="array" ref="M1157">_xlfn.IFS(L1157&gt;=10,"HIGH",L1157=0,"LOW",L1157&lt;=9,"MEDIUM")</f>
        <v>HIGH</v>
      </c>
      <c r="N1157" s="9" cm="1">
        <f t="array" ref="N1157">_xlfn.IFS(M1157="HIGH",K1157*L1157,M1157="MEDIUM",K1157*L1157,M1157="LOW","NA")</f>
        <v>12450</v>
      </c>
      <c r="O1157" s="18" t="str">
        <f t="shared" si="53"/>
        <v>still in yard</v>
      </c>
    </row>
    <row r="1158" spans="1:15" x14ac:dyDescent="0.25">
      <c r="A1158" s="17">
        <v>1154</v>
      </c>
      <c r="B1158" s="6" t="s">
        <v>1191</v>
      </c>
      <c r="C1158" s="6" t="s">
        <v>37</v>
      </c>
      <c r="D1158" s="6" t="s">
        <v>49</v>
      </c>
      <c r="E1158" s="6" t="s">
        <v>39</v>
      </c>
      <c r="F1158" s="6" t="s">
        <v>14</v>
      </c>
      <c r="G1158" s="7">
        <v>46181</v>
      </c>
      <c r="H1158" s="6">
        <v>5</v>
      </c>
      <c r="I1158" s="6"/>
      <c r="J1158" s="7">
        <f t="shared" ref="J1158:J1221" si="55">G1158+H1158</f>
        <v>46186</v>
      </c>
      <c r="K1158" s="8">
        <v>75</v>
      </c>
      <c r="L1158" s="9">
        <f t="shared" si="54"/>
        <v>73</v>
      </c>
      <c r="M1158" s="9" t="str" cm="1">
        <f t="array" ref="M1158">_xlfn.IFS(L1158&gt;=10,"HIGH",L1158=0,"LOW",L1158&lt;=9,"MEDIUM")</f>
        <v>HIGH</v>
      </c>
      <c r="N1158" s="9" cm="1">
        <f t="array" ref="N1158">_xlfn.IFS(M1158="HIGH",K1158*L1158,M1158="MEDIUM",K1158*L1158,M1158="LOW","NA")</f>
        <v>5475</v>
      </c>
      <c r="O1158" s="18" t="str">
        <f t="shared" ref="O1158:O1221" si="56">IF(I1158="","still in yard","cleared")</f>
        <v>still in yard</v>
      </c>
    </row>
    <row r="1159" spans="1:15" x14ac:dyDescent="0.25">
      <c r="A1159" s="17">
        <v>1155</v>
      </c>
      <c r="B1159" s="6" t="s">
        <v>1192</v>
      </c>
      <c r="C1159" s="6" t="s">
        <v>37</v>
      </c>
      <c r="D1159" s="6" t="s">
        <v>34</v>
      </c>
      <c r="E1159" s="6" t="s">
        <v>44</v>
      </c>
      <c r="F1159" s="6" t="s">
        <v>14</v>
      </c>
      <c r="G1159" s="7">
        <v>46196</v>
      </c>
      <c r="H1159" s="6">
        <v>6</v>
      </c>
      <c r="I1159" s="7">
        <v>46200</v>
      </c>
      <c r="J1159" s="7">
        <f t="shared" si="55"/>
        <v>46202</v>
      </c>
      <c r="K1159" s="8">
        <v>110</v>
      </c>
      <c r="L1159" s="9">
        <f t="shared" si="54"/>
        <v>0</v>
      </c>
      <c r="M1159" s="9" t="str" cm="1">
        <f t="array" ref="M1159">_xlfn.IFS(L1159&gt;=10,"HIGH",L1159=0,"LOW",L1159&lt;=9,"MEDIUM")</f>
        <v>LOW</v>
      </c>
      <c r="N1159" s="9" t="str" cm="1">
        <f t="array" ref="N1159">_xlfn.IFS(M1159="HIGH",K1159*L1159,M1159="MEDIUM",K1159*L1159,M1159="LOW","NA")</f>
        <v>NA</v>
      </c>
      <c r="O1159" s="18" t="str">
        <f t="shared" si="56"/>
        <v>cleared</v>
      </c>
    </row>
    <row r="1160" spans="1:15" x14ac:dyDescent="0.25">
      <c r="A1160" s="17">
        <v>1156</v>
      </c>
      <c r="B1160" s="6" t="s">
        <v>1193</v>
      </c>
      <c r="C1160" s="6" t="s">
        <v>11</v>
      </c>
      <c r="D1160" s="6" t="s">
        <v>20</v>
      </c>
      <c r="E1160" s="6" t="s">
        <v>39</v>
      </c>
      <c r="F1160" s="6" t="s">
        <v>27</v>
      </c>
      <c r="G1160" s="7">
        <v>46229</v>
      </c>
      <c r="H1160" s="6">
        <v>5</v>
      </c>
      <c r="I1160" s="7">
        <v>46230</v>
      </c>
      <c r="J1160" s="7">
        <f t="shared" si="55"/>
        <v>46234</v>
      </c>
      <c r="K1160" s="8">
        <v>110</v>
      </c>
      <c r="L1160" s="9">
        <f t="shared" si="54"/>
        <v>0</v>
      </c>
      <c r="M1160" s="9" t="str" cm="1">
        <f t="array" ref="M1160">_xlfn.IFS(L1160&gt;=10,"HIGH",L1160=0,"LOW",L1160&lt;=9,"MEDIUM")</f>
        <v>LOW</v>
      </c>
      <c r="N1160" s="9" t="str" cm="1">
        <f t="array" ref="N1160">_xlfn.IFS(M1160="HIGH",K1160*L1160,M1160="MEDIUM",K1160*L1160,M1160="LOW","NA")</f>
        <v>NA</v>
      </c>
      <c r="O1160" s="18" t="str">
        <f t="shared" si="56"/>
        <v>cleared</v>
      </c>
    </row>
    <row r="1161" spans="1:15" x14ac:dyDescent="0.25">
      <c r="A1161" s="17">
        <v>1157</v>
      </c>
      <c r="B1161" s="6" t="s">
        <v>1194</v>
      </c>
      <c r="C1161" s="6" t="s">
        <v>16</v>
      </c>
      <c r="D1161" s="6" t="s">
        <v>49</v>
      </c>
      <c r="E1161" s="6" t="s">
        <v>18</v>
      </c>
      <c r="F1161" s="6" t="s">
        <v>14</v>
      </c>
      <c r="G1161" s="7">
        <v>46171</v>
      </c>
      <c r="H1161" s="6">
        <v>6</v>
      </c>
      <c r="I1161" s="6"/>
      <c r="J1161" s="7">
        <f t="shared" si="55"/>
        <v>46177</v>
      </c>
      <c r="K1161" s="8">
        <v>130</v>
      </c>
      <c r="L1161" s="9">
        <f t="shared" si="54"/>
        <v>82</v>
      </c>
      <c r="M1161" s="9" t="str" cm="1">
        <f t="array" ref="M1161">_xlfn.IFS(L1161&gt;=10,"HIGH",L1161=0,"LOW",L1161&lt;=9,"MEDIUM")</f>
        <v>HIGH</v>
      </c>
      <c r="N1161" s="9" cm="1">
        <f t="array" ref="N1161">_xlfn.IFS(M1161="HIGH",K1161*L1161,M1161="MEDIUM",K1161*L1161,M1161="LOW","NA")</f>
        <v>10660</v>
      </c>
      <c r="O1161" s="18" t="str">
        <f t="shared" si="56"/>
        <v>still in yard</v>
      </c>
    </row>
    <row r="1162" spans="1:15" x14ac:dyDescent="0.25">
      <c r="A1162" s="17">
        <v>1158</v>
      </c>
      <c r="B1162" s="6" t="s">
        <v>1195</v>
      </c>
      <c r="C1162" s="6" t="s">
        <v>33</v>
      </c>
      <c r="D1162" s="6" t="s">
        <v>17</v>
      </c>
      <c r="E1162" s="6" t="s">
        <v>35</v>
      </c>
      <c r="F1162" s="6" t="s">
        <v>14</v>
      </c>
      <c r="G1162" s="7">
        <v>46245</v>
      </c>
      <c r="H1162" s="6">
        <v>5</v>
      </c>
      <c r="I1162" s="7">
        <v>46254</v>
      </c>
      <c r="J1162" s="7">
        <f t="shared" si="55"/>
        <v>46250</v>
      </c>
      <c r="K1162" s="8">
        <v>60</v>
      </c>
      <c r="L1162" s="9">
        <f t="shared" si="54"/>
        <v>4</v>
      </c>
      <c r="M1162" s="9" t="str" cm="1">
        <f t="array" ref="M1162">_xlfn.IFS(L1162&gt;=10,"HIGH",L1162=0,"LOW",L1162&lt;=9,"MEDIUM")</f>
        <v>MEDIUM</v>
      </c>
      <c r="N1162" s="9" cm="1">
        <f t="array" ref="N1162">_xlfn.IFS(M1162="HIGH",K1162*L1162,M1162="MEDIUM",K1162*L1162,M1162="LOW","NA")</f>
        <v>240</v>
      </c>
      <c r="O1162" s="18" t="str">
        <f t="shared" si="56"/>
        <v>cleared</v>
      </c>
    </row>
    <row r="1163" spans="1:15" x14ac:dyDescent="0.25">
      <c r="A1163" s="17">
        <v>1159</v>
      </c>
      <c r="B1163" s="6" t="s">
        <v>1196</v>
      </c>
      <c r="C1163" s="6" t="s">
        <v>33</v>
      </c>
      <c r="D1163" s="6" t="s">
        <v>20</v>
      </c>
      <c r="E1163" s="6" t="s">
        <v>46</v>
      </c>
      <c r="F1163" s="6" t="s">
        <v>29</v>
      </c>
      <c r="G1163" s="7">
        <v>46212</v>
      </c>
      <c r="H1163" s="6">
        <v>3</v>
      </c>
      <c r="I1163" s="6"/>
      <c r="J1163" s="7">
        <f t="shared" si="55"/>
        <v>46215</v>
      </c>
      <c r="K1163" s="8">
        <v>150</v>
      </c>
      <c r="L1163" s="9">
        <f t="shared" si="54"/>
        <v>44</v>
      </c>
      <c r="M1163" s="9" t="str" cm="1">
        <f t="array" ref="M1163">_xlfn.IFS(L1163&gt;=10,"HIGH",L1163=0,"LOW",L1163&lt;=9,"MEDIUM")</f>
        <v>HIGH</v>
      </c>
      <c r="N1163" s="9" cm="1">
        <f t="array" ref="N1163">_xlfn.IFS(M1163="HIGH",K1163*L1163,M1163="MEDIUM",K1163*L1163,M1163="LOW","NA")</f>
        <v>6600</v>
      </c>
      <c r="O1163" s="18" t="str">
        <f t="shared" si="56"/>
        <v>still in yard</v>
      </c>
    </row>
    <row r="1164" spans="1:15" x14ac:dyDescent="0.25">
      <c r="A1164" s="17">
        <v>1160</v>
      </c>
      <c r="B1164" s="6" t="s">
        <v>1197</v>
      </c>
      <c r="C1164" s="6" t="s">
        <v>11</v>
      </c>
      <c r="D1164" s="6" t="s">
        <v>34</v>
      </c>
      <c r="E1164" s="6" t="s">
        <v>21</v>
      </c>
      <c r="F1164" s="6" t="s">
        <v>24</v>
      </c>
      <c r="G1164" s="7">
        <v>46256</v>
      </c>
      <c r="H1164" s="6">
        <v>5</v>
      </c>
      <c r="I1164" s="6"/>
      <c r="J1164" s="7">
        <f t="shared" si="55"/>
        <v>46261</v>
      </c>
      <c r="K1164" s="8">
        <v>90</v>
      </c>
      <c r="L1164" s="9">
        <f t="shared" si="54"/>
        <v>0</v>
      </c>
      <c r="M1164" s="9" t="str" cm="1">
        <f t="array" ref="M1164">_xlfn.IFS(L1164&gt;=10,"HIGH",L1164=0,"LOW",L1164&lt;=9,"MEDIUM")</f>
        <v>LOW</v>
      </c>
      <c r="N1164" s="9" t="str" cm="1">
        <f t="array" ref="N1164">_xlfn.IFS(M1164="HIGH",K1164*L1164,M1164="MEDIUM",K1164*L1164,M1164="LOW","NA")</f>
        <v>NA</v>
      </c>
      <c r="O1164" s="18" t="str">
        <f t="shared" si="56"/>
        <v>still in yard</v>
      </c>
    </row>
    <row r="1165" spans="1:15" x14ac:dyDescent="0.25">
      <c r="A1165" s="17">
        <v>1161</v>
      </c>
      <c r="B1165" s="6" t="s">
        <v>1198</v>
      </c>
      <c r="C1165" s="6" t="s">
        <v>16</v>
      </c>
      <c r="D1165" s="6" t="s">
        <v>20</v>
      </c>
      <c r="E1165" s="6" t="s">
        <v>21</v>
      </c>
      <c r="F1165" s="6" t="s">
        <v>27</v>
      </c>
      <c r="G1165" s="7">
        <v>46252</v>
      </c>
      <c r="H1165" s="6">
        <v>6</v>
      </c>
      <c r="I1165" s="7">
        <v>46259</v>
      </c>
      <c r="J1165" s="7">
        <f t="shared" si="55"/>
        <v>46258</v>
      </c>
      <c r="K1165" s="8">
        <v>75</v>
      </c>
      <c r="L1165" s="9">
        <f t="shared" si="54"/>
        <v>1</v>
      </c>
      <c r="M1165" s="9" t="str" cm="1">
        <f t="array" ref="M1165">_xlfn.IFS(L1165&gt;=10,"HIGH",L1165=0,"LOW",L1165&lt;=9,"MEDIUM")</f>
        <v>MEDIUM</v>
      </c>
      <c r="N1165" s="9" cm="1">
        <f t="array" ref="N1165">_xlfn.IFS(M1165="HIGH",K1165*L1165,M1165="MEDIUM",K1165*L1165,M1165="LOW","NA")</f>
        <v>75</v>
      </c>
      <c r="O1165" s="18" t="str">
        <f t="shared" si="56"/>
        <v>cleared</v>
      </c>
    </row>
    <row r="1166" spans="1:15" x14ac:dyDescent="0.25">
      <c r="A1166" s="17">
        <v>1162</v>
      </c>
      <c r="B1166" s="6" t="s">
        <v>1199</v>
      </c>
      <c r="C1166" s="6" t="s">
        <v>16</v>
      </c>
      <c r="D1166" s="6" t="s">
        <v>41</v>
      </c>
      <c r="E1166" s="6" t="s">
        <v>18</v>
      </c>
      <c r="F1166" s="6" t="s">
        <v>29</v>
      </c>
      <c r="G1166" s="7">
        <v>46185</v>
      </c>
      <c r="H1166" s="6">
        <v>4</v>
      </c>
      <c r="I1166" s="6"/>
      <c r="J1166" s="7">
        <f t="shared" si="55"/>
        <v>46189</v>
      </c>
      <c r="K1166" s="8">
        <v>150</v>
      </c>
      <c r="L1166" s="9">
        <f t="shared" si="54"/>
        <v>70</v>
      </c>
      <c r="M1166" s="9" t="str" cm="1">
        <f t="array" ref="M1166">_xlfn.IFS(L1166&gt;=10,"HIGH",L1166=0,"LOW",L1166&lt;=9,"MEDIUM")</f>
        <v>HIGH</v>
      </c>
      <c r="N1166" s="9" cm="1">
        <f t="array" ref="N1166">_xlfn.IFS(M1166="HIGH",K1166*L1166,M1166="MEDIUM",K1166*L1166,M1166="LOW","NA")</f>
        <v>10500</v>
      </c>
      <c r="O1166" s="18" t="str">
        <f t="shared" si="56"/>
        <v>still in yard</v>
      </c>
    </row>
    <row r="1167" spans="1:15" x14ac:dyDescent="0.25">
      <c r="A1167" s="17">
        <v>1163</v>
      </c>
      <c r="B1167" s="6" t="s">
        <v>1200</v>
      </c>
      <c r="C1167" s="6" t="s">
        <v>37</v>
      </c>
      <c r="D1167" s="6" t="s">
        <v>56</v>
      </c>
      <c r="E1167" s="6" t="s">
        <v>35</v>
      </c>
      <c r="F1167" s="6" t="s">
        <v>14</v>
      </c>
      <c r="G1167" s="7">
        <v>46239</v>
      </c>
      <c r="H1167" s="6">
        <v>6</v>
      </c>
      <c r="I1167" s="6"/>
      <c r="J1167" s="7">
        <f t="shared" si="55"/>
        <v>46245</v>
      </c>
      <c r="K1167" s="8">
        <v>90</v>
      </c>
      <c r="L1167" s="9">
        <f t="shared" si="54"/>
        <v>14</v>
      </c>
      <c r="M1167" s="9" t="str" cm="1">
        <f t="array" ref="M1167">_xlfn.IFS(L1167&gt;=10,"HIGH",L1167=0,"LOW",L1167&lt;=9,"MEDIUM")</f>
        <v>HIGH</v>
      </c>
      <c r="N1167" s="9" cm="1">
        <f t="array" ref="N1167">_xlfn.IFS(M1167="HIGH",K1167*L1167,M1167="MEDIUM",K1167*L1167,M1167="LOW","NA")</f>
        <v>1260</v>
      </c>
      <c r="O1167" s="18" t="str">
        <f t="shared" si="56"/>
        <v>still in yard</v>
      </c>
    </row>
    <row r="1168" spans="1:15" x14ac:dyDescent="0.25">
      <c r="A1168" s="17">
        <v>1164</v>
      </c>
      <c r="B1168" s="6" t="s">
        <v>1201</v>
      </c>
      <c r="C1168" s="6" t="s">
        <v>37</v>
      </c>
      <c r="D1168" s="6" t="s">
        <v>31</v>
      </c>
      <c r="E1168" s="6" t="s">
        <v>35</v>
      </c>
      <c r="F1168" s="6" t="s">
        <v>27</v>
      </c>
      <c r="G1168" s="7">
        <v>46191</v>
      </c>
      <c r="H1168" s="6">
        <v>4</v>
      </c>
      <c r="I1168" s="7">
        <v>46192</v>
      </c>
      <c r="J1168" s="7">
        <f t="shared" si="55"/>
        <v>46195</v>
      </c>
      <c r="K1168" s="8">
        <v>60</v>
      </c>
      <c r="L1168" s="9">
        <f t="shared" si="54"/>
        <v>0</v>
      </c>
      <c r="M1168" s="9" t="str" cm="1">
        <f t="array" ref="M1168">_xlfn.IFS(L1168&gt;=10,"HIGH",L1168=0,"LOW",L1168&lt;=9,"MEDIUM")</f>
        <v>LOW</v>
      </c>
      <c r="N1168" s="9" t="str" cm="1">
        <f t="array" ref="N1168">_xlfn.IFS(M1168="HIGH",K1168*L1168,M1168="MEDIUM",K1168*L1168,M1168="LOW","NA")</f>
        <v>NA</v>
      </c>
      <c r="O1168" s="18" t="str">
        <f t="shared" si="56"/>
        <v>cleared</v>
      </c>
    </row>
    <row r="1169" spans="1:15" x14ac:dyDescent="0.25">
      <c r="A1169" s="17">
        <v>1165</v>
      </c>
      <c r="B1169" s="6" t="s">
        <v>1202</v>
      </c>
      <c r="C1169" s="6" t="s">
        <v>33</v>
      </c>
      <c r="D1169" s="6" t="s">
        <v>56</v>
      </c>
      <c r="E1169" s="6" t="s">
        <v>23</v>
      </c>
      <c r="F1169" s="6" t="s">
        <v>27</v>
      </c>
      <c r="G1169" s="7">
        <v>46203</v>
      </c>
      <c r="H1169" s="6">
        <v>4</v>
      </c>
      <c r="I1169" s="7">
        <v>46204</v>
      </c>
      <c r="J1169" s="7">
        <f t="shared" si="55"/>
        <v>46207</v>
      </c>
      <c r="K1169" s="8">
        <v>90</v>
      </c>
      <c r="L1169" s="9">
        <f t="shared" si="54"/>
        <v>0</v>
      </c>
      <c r="M1169" s="9" t="str" cm="1">
        <f t="array" ref="M1169">_xlfn.IFS(L1169&gt;=10,"HIGH",L1169=0,"LOW",L1169&lt;=9,"MEDIUM")</f>
        <v>LOW</v>
      </c>
      <c r="N1169" s="9" t="str" cm="1">
        <f t="array" ref="N1169">_xlfn.IFS(M1169="HIGH",K1169*L1169,M1169="MEDIUM",K1169*L1169,M1169="LOW","NA")</f>
        <v>NA</v>
      </c>
      <c r="O1169" s="18" t="str">
        <f t="shared" si="56"/>
        <v>cleared</v>
      </c>
    </row>
    <row r="1170" spans="1:15" x14ac:dyDescent="0.25">
      <c r="A1170" s="17">
        <v>1166</v>
      </c>
      <c r="B1170" s="6" t="s">
        <v>1203</v>
      </c>
      <c r="C1170" s="6" t="s">
        <v>37</v>
      </c>
      <c r="D1170" s="6" t="s">
        <v>26</v>
      </c>
      <c r="E1170" s="6" t="s">
        <v>21</v>
      </c>
      <c r="F1170" s="6" t="s">
        <v>29</v>
      </c>
      <c r="G1170" s="7">
        <v>46215</v>
      </c>
      <c r="H1170" s="6">
        <v>4</v>
      </c>
      <c r="I1170" s="6"/>
      <c r="J1170" s="7">
        <f t="shared" si="55"/>
        <v>46219</v>
      </c>
      <c r="K1170" s="8">
        <v>150</v>
      </c>
      <c r="L1170" s="9">
        <f t="shared" si="54"/>
        <v>40</v>
      </c>
      <c r="M1170" s="9" t="str" cm="1">
        <f t="array" ref="M1170">_xlfn.IFS(L1170&gt;=10,"HIGH",L1170=0,"LOW",L1170&lt;=9,"MEDIUM")</f>
        <v>HIGH</v>
      </c>
      <c r="N1170" s="9" cm="1">
        <f t="array" ref="N1170">_xlfn.IFS(M1170="HIGH",K1170*L1170,M1170="MEDIUM",K1170*L1170,M1170="LOW","NA")</f>
        <v>6000</v>
      </c>
      <c r="O1170" s="18" t="str">
        <f t="shared" si="56"/>
        <v>still in yard</v>
      </c>
    </row>
    <row r="1171" spans="1:15" x14ac:dyDescent="0.25">
      <c r="A1171" s="17">
        <v>1167</v>
      </c>
      <c r="B1171" s="6" t="s">
        <v>1204</v>
      </c>
      <c r="C1171" s="6" t="s">
        <v>16</v>
      </c>
      <c r="D1171" s="6" t="s">
        <v>17</v>
      </c>
      <c r="E1171" s="6" t="s">
        <v>44</v>
      </c>
      <c r="F1171" s="6" t="s">
        <v>27</v>
      </c>
      <c r="G1171" s="7">
        <v>46251</v>
      </c>
      <c r="H1171" s="6">
        <v>7</v>
      </c>
      <c r="I1171" s="7">
        <v>46259</v>
      </c>
      <c r="J1171" s="7">
        <f t="shared" si="55"/>
        <v>46258</v>
      </c>
      <c r="K1171" s="8">
        <v>90</v>
      </c>
      <c r="L1171" s="9">
        <f t="shared" si="54"/>
        <v>1</v>
      </c>
      <c r="M1171" s="9" t="str" cm="1">
        <f t="array" ref="M1171">_xlfn.IFS(L1171&gt;=10,"HIGH",L1171=0,"LOW",L1171&lt;=9,"MEDIUM")</f>
        <v>MEDIUM</v>
      </c>
      <c r="N1171" s="9" cm="1">
        <f t="array" ref="N1171">_xlfn.IFS(M1171="HIGH",K1171*L1171,M1171="MEDIUM",K1171*L1171,M1171="LOW","NA")</f>
        <v>90</v>
      </c>
      <c r="O1171" s="18" t="str">
        <f t="shared" si="56"/>
        <v>cleared</v>
      </c>
    </row>
    <row r="1172" spans="1:15" x14ac:dyDescent="0.25">
      <c r="A1172" s="17">
        <v>1168</v>
      </c>
      <c r="B1172" s="6" t="s">
        <v>1205</v>
      </c>
      <c r="C1172" s="6" t="s">
        <v>33</v>
      </c>
      <c r="D1172" s="6" t="s">
        <v>41</v>
      </c>
      <c r="E1172" s="6" t="s">
        <v>42</v>
      </c>
      <c r="F1172" s="6" t="s">
        <v>14</v>
      </c>
      <c r="G1172" s="7">
        <v>46187</v>
      </c>
      <c r="H1172" s="6">
        <v>4</v>
      </c>
      <c r="I1172" s="6"/>
      <c r="J1172" s="7">
        <f t="shared" si="55"/>
        <v>46191</v>
      </c>
      <c r="K1172" s="8">
        <v>90</v>
      </c>
      <c r="L1172" s="9">
        <f t="shared" si="54"/>
        <v>68</v>
      </c>
      <c r="M1172" s="9" t="str" cm="1">
        <f t="array" ref="M1172">_xlfn.IFS(L1172&gt;=10,"HIGH",L1172=0,"LOW",L1172&lt;=9,"MEDIUM")</f>
        <v>HIGH</v>
      </c>
      <c r="N1172" s="9" cm="1">
        <f t="array" ref="N1172">_xlfn.IFS(M1172="HIGH",K1172*L1172,M1172="MEDIUM",K1172*L1172,M1172="LOW","NA")</f>
        <v>6120</v>
      </c>
      <c r="O1172" s="18" t="str">
        <f t="shared" si="56"/>
        <v>still in yard</v>
      </c>
    </row>
    <row r="1173" spans="1:15" x14ac:dyDescent="0.25">
      <c r="A1173" s="17">
        <v>1169</v>
      </c>
      <c r="B1173" s="6" t="s">
        <v>1206</v>
      </c>
      <c r="C1173" s="6" t="s">
        <v>11</v>
      </c>
      <c r="D1173" s="6" t="s">
        <v>34</v>
      </c>
      <c r="E1173" s="6" t="s">
        <v>21</v>
      </c>
      <c r="F1173" s="6" t="s">
        <v>29</v>
      </c>
      <c r="G1173" s="7">
        <v>46226</v>
      </c>
      <c r="H1173" s="6">
        <v>4</v>
      </c>
      <c r="I1173" s="7">
        <v>46234</v>
      </c>
      <c r="J1173" s="7">
        <f t="shared" si="55"/>
        <v>46230</v>
      </c>
      <c r="K1173" s="8">
        <v>120</v>
      </c>
      <c r="L1173" s="9">
        <f t="shared" si="54"/>
        <v>4</v>
      </c>
      <c r="M1173" s="9" t="str" cm="1">
        <f t="array" ref="M1173">_xlfn.IFS(L1173&gt;=10,"HIGH",L1173=0,"LOW",L1173&lt;=9,"MEDIUM")</f>
        <v>MEDIUM</v>
      </c>
      <c r="N1173" s="9" cm="1">
        <f t="array" ref="N1173">_xlfn.IFS(M1173="HIGH",K1173*L1173,M1173="MEDIUM",K1173*L1173,M1173="LOW","NA")</f>
        <v>480</v>
      </c>
      <c r="O1173" s="18" t="str">
        <f t="shared" si="56"/>
        <v>cleared</v>
      </c>
    </row>
    <row r="1174" spans="1:15" x14ac:dyDescent="0.25">
      <c r="A1174" s="17">
        <v>1170</v>
      </c>
      <c r="B1174" s="6" t="s">
        <v>1207</v>
      </c>
      <c r="C1174" s="6" t="s">
        <v>11</v>
      </c>
      <c r="D1174" s="6" t="s">
        <v>34</v>
      </c>
      <c r="E1174" s="6" t="s">
        <v>44</v>
      </c>
      <c r="F1174" s="6" t="s">
        <v>29</v>
      </c>
      <c r="G1174" s="7">
        <v>46220</v>
      </c>
      <c r="H1174" s="6">
        <v>4</v>
      </c>
      <c r="I1174" s="7">
        <v>46224</v>
      </c>
      <c r="J1174" s="7">
        <f t="shared" si="55"/>
        <v>46224</v>
      </c>
      <c r="K1174" s="8">
        <v>150</v>
      </c>
      <c r="L1174" s="9">
        <f t="shared" si="54"/>
        <v>0</v>
      </c>
      <c r="M1174" s="9" t="str" cm="1">
        <f t="array" ref="M1174">_xlfn.IFS(L1174&gt;=10,"HIGH",L1174=0,"LOW",L1174&lt;=9,"MEDIUM")</f>
        <v>LOW</v>
      </c>
      <c r="N1174" s="9" t="str" cm="1">
        <f t="array" ref="N1174">_xlfn.IFS(M1174="HIGH",K1174*L1174,M1174="MEDIUM",K1174*L1174,M1174="LOW","NA")</f>
        <v>NA</v>
      </c>
      <c r="O1174" s="18" t="str">
        <f t="shared" si="56"/>
        <v>cleared</v>
      </c>
    </row>
    <row r="1175" spans="1:15" x14ac:dyDescent="0.25">
      <c r="A1175" s="17">
        <v>1171</v>
      </c>
      <c r="B1175" s="6" t="s">
        <v>1208</v>
      </c>
      <c r="C1175" s="6" t="s">
        <v>37</v>
      </c>
      <c r="D1175" s="6" t="s">
        <v>34</v>
      </c>
      <c r="E1175" s="6" t="s">
        <v>35</v>
      </c>
      <c r="F1175" s="6" t="s">
        <v>14</v>
      </c>
      <c r="G1175" s="7">
        <v>46217</v>
      </c>
      <c r="H1175" s="6">
        <v>5</v>
      </c>
      <c r="I1175" s="7">
        <v>46224</v>
      </c>
      <c r="J1175" s="7">
        <f t="shared" si="55"/>
        <v>46222</v>
      </c>
      <c r="K1175" s="8">
        <v>75</v>
      </c>
      <c r="L1175" s="9">
        <f t="shared" si="54"/>
        <v>2</v>
      </c>
      <c r="M1175" s="9" t="str" cm="1">
        <f t="array" ref="M1175">_xlfn.IFS(L1175&gt;=10,"HIGH",L1175=0,"LOW",L1175&lt;=9,"MEDIUM")</f>
        <v>MEDIUM</v>
      </c>
      <c r="N1175" s="9" cm="1">
        <f t="array" ref="N1175">_xlfn.IFS(M1175="HIGH",K1175*L1175,M1175="MEDIUM",K1175*L1175,M1175="LOW","NA")</f>
        <v>150</v>
      </c>
      <c r="O1175" s="18" t="str">
        <f t="shared" si="56"/>
        <v>cleared</v>
      </c>
    </row>
    <row r="1176" spans="1:15" x14ac:dyDescent="0.25">
      <c r="A1176" s="17">
        <v>1172</v>
      </c>
      <c r="B1176" s="6" t="s">
        <v>1209</v>
      </c>
      <c r="C1176" s="6" t="s">
        <v>33</v>
      </c>
      <c r="D1176" s="6" t="s">
        <v>31</v>
      </c>
      <c r="E1176" s="6" t="s">
        <v>13</v>
      </c>
      <c r="F1176" s="6" t="s">
        <v>27</v>
      </c>
      <c r="G1176" s="7">
        <v>46191</v>
      </c>
      <c r="H1176" s="6">
        <v>7</v>
      </c>
      <c r="I1176" s="6"/>
      <c r="J1176" s="7">
        <f t="shared" si="55"/>
        <v>46198</v>
      </c>
      <c r="K1176" s="8">
        <v>60</v>
      </c>
      <c r="L1176" s="9">
        <f t="shared" si="54"/>
        <v>61</v>
      </c>
      <c r="M1176" s="9" t="str" cm="1">
        <f t="array" ref="M1176">_xlfn.IFS(L1176&gt;=10,"HIGH",L1176=0,"LOW",L1176&lt;=9,"MEDIUM")</f>
        <v>HIGH</v>
      </c>
      <c r="N1176" s="9" cm="1">
        <f t="array" ref="N1176">_xlfn.IFS(M1176="HIGH",K1176*L1176,M1176="MEDIUM",K1176*L1176,M1176="LOW","NA")</f>
        <v>3660</v>
      </c>
      <c r="O1176" s="18" t="str">
        <f t="shared" si="56"/>
        <v>still in yard</v>
      </c>
    </row>
    <row r="1177" spans="1:15" x14ac:dyDescent="0.25">
      <c r="A1177" s="17">
        <v>1173</v>
      </c>
      <c r="B1177" s="6" t="s">
        <v>1210</v>
      </c>
      <c r="C1177" s="6" t="s">
        <v>16</v>
      </c>
      <c r="D1177" s="6" t="s">
        <v>49</v>
      </c>
      <c r="E1177" s="6" t="s">
        <v>35</v>
      </c>
      <c r="F1177" s="6" t="s">
        <v>14</v>
      </c>
      <c r="G1177" s="7">
        <v>46240</v>
      </c>
      <c r="H1177" s="6">
        <v>5</v>
      </c>
      <c r="I1177" s="7">
        <v>46245</v>
      </c>
      <c r="J1177" s="7">
        <f t="shared" si="55"/>
        <v>46245</v>
      </c>
      <c r="K1177" s="8">
        <v>75</v>
      </c>
      <c r="L1177" s="9">
        <f t="shared" si="54"/>
        <v>0</v>
      </c>
      <c r="M1177" s="9" t="str" cm="1">
        <f t="array" ref="M1177">_xlfn.IFS(L1177&gt;=10,"HIGH",L1177=0,"LOW",L1177&lt;=9,"MEDIUM")</f>
        <v>LOW</v>
      </c>
      <c r="N1177" s="9" t="str" cm="1">
        <f t="array" ref="N1177">_xlfn.IFS(M1177="HIGH",K1177*L1177,M1177="MEDIUM",K1177*L1177,M1177="LOW","NA")</f>
        <v>NA</v>
      </c>
      <c r="O1177" s="18" t="str">
        <f t="shared" si="56"/>
        <v>cleared</v>
      </c>
    </row>
    <row r="1178" spans="1:15" x14ac:dyDescent="0.25">
      <c r="A1178" s="17">
        <v>1174</v>
      </c>
      <c r="B1178" s="6" t="s">
        <v>1211</v>
      </c>
      <c r="C1178" s="6" t="s">
        <v>37</v>
      </c>
      <c r="D1178" s="6" t="s">
        <v>17</v>
      </c>
      <c r="E1178" s="6" t="s">
        <v>35</v>
      </c>
      <c r="F1178" s="6" t="s">
        <v>14</v>
      </c>
      <c r="G1178" s="7">
        <v>46196</v>
      </c>
      <c r="H1178" s="6">
        <v>4</v>
      </c>
      <c r="I1178" s="7">
        <v>46203</v>
      </c>
      <c r="J1178" s="7">
        <f t="shared" si="55"/>
        <v>46200</v>
      </c>
      <c r="K1178" s="8">
        <v>130</v>
      </c>
      <c r="L1178" s="9">
        <f t="shared" si="54"/>
        <v>3</v>
      </c>
      <c r="M1178" s="9" t="str" cm="1">
        <f t="array" ref="M1178">_xlfn.IFS(L1178&gt;=10,"HIGH",L1178=0,"LOW",L1178&lt;=9,"MEDIUM")</f>
        <v>MEDIUM</v>
      </c>
      <c r="N1178" s="9" cm="1">
        <f t="array" ref="N1178">_xlfn.IFS(M1178="HIGH",K1178*L1178,M1178="MEDIUM",K1178*L1178,M1178="LOW","NA")</f>
        <v>390</v>
      </c>
      <c r="O1178" s="18" t="str">
        <f t="shared" si="56"/>
        <v>cleared</v>
      </c>
    </row>
    <row r="1179" spans="1:15" x14ac:dyDescent="0.25">
      <c r="A1179" s="17">
        <v>1175</v>
      </c>
      <c r="B1179" s="6" t="s">
        <v>1212</v>
      </c>
      <c r="C1179" s="6" t="s">
        <v>16</v>
      </c>
      <c r="D1179" s="6" t="s">
        <v>49</v>
      </c>
      <c r="E1179" s="6" t="s">
        <v>61</v>
      </c>
      <c r="F1179" s="6" t="s">
        <v>24</v>
      </c>
      <c r="G1179" s="7">
        <v>46190</v>
      </c>
      <c r="H1179" s="6">
        <v>5</v>
      </c>
      <c r="I1179" s="7">
        <v>46191</v>
      </c>
      <c r="J1179" s="7">
        <f t="shared" si="55"/>
        <v>46195</v>
      </c>
      <c r="K1179" s="8">
        <v>110</v>
      </c>
      <c r="L1179" s="9">
        <f t="shared" si="54"/>
        <v>0</v>
      </c>
      <c r="M1179" s="9" t="str" cm="1">
        <f t="array" ref="M1179">_xlfn.IFS(L1179&gt;=10,"HIGH",L1179=0,"LOW",L1179&lt;=9,"MEDIUM")</f>
        <v>LOW</v>
      </c>
      <c r="N1179" s="9" t="str" cm="1">
        <f t="array" ref="N1179">_xlfn.IFS(M1179="HIGH",K1179*L1179,M1179="MEDIUM",K1179*L1179,M1179="LOW","NA")</f>
        <v>NA</v>
      </c>
      <c r="O1179" s="18" t="str">
        <f t="shared" si="56"/>
        <v>cleared</v>
      </c>
    </row>
    <row r="1180" spans="1:15" x14ac:dyDescent="0.25">
      <c r="A1180" s="17">
        <v>1176</v>
      </c>
      <c r="B1180" s="6" t="s">
        <v>1213</v>
      </c>
      <c r="C1180" s="6" t="s">
        <v>16</v>
      </c>
      <c r="D1180" s="6" t="s">
        <v>12</v>
      </c>
      <c r="E1180" s="6" t="s">
        <v>42</v>
      </c>
      <c r="F1180" s="6" t="s">
        <v>24</v>
      </c>
      <c r="G1180" s="7">
        <v>46224</v>
      </c>
      <c r="H1180" s="6">
        <v>6</v>
      </c>
      <c r="I1180" s="7">
        <v>46225</v>
      </c>
      <c r="J1180" s="7">
        <f t="shared" si="55"/>
        <v>46230</v>
      </c>
      <c r="K1180" s="8">
        <v>110</v>
      </c>
      <c r="L1180" s="9">
        <f t="shared" si="54"/>
        <v>0</v>
      </c>
      <c r="M1180" s="9" t="str" cm="1">
        <f t="array" ref="M1180">_xlfn.IFS(L1180&gt;=10,"HIGH",L1180=0,"LOW",L1180&lt;=9,"MEDIUM")</f>
        <v>LOW</v>
      </c>
      <c r="N1180" s="9" t="str" cm="1">
        <f t="array" ref="N1180">_xlfn.IFS(M1180="HIGH",K1180*L1180,M1180="MEDIUM",K1180*L1180,M1180="LOW","NA")</f>
        <v>NA</v>
      </c>
      <c r="O1180" s="18" t="str">
        <f t="shared" si="56"/>
        <v>cleared</v>
      </c>
    </row>
    <row r="1181" spans="1:15" x14ac:dyDescent="0.25">
      <c r="A1181" s="17">
        <v>1177</v>
      </c>
      <c r="B1181" s="6" t="s">
        <v>1214</v>
      </c>
      <c r="C1181" s="6" t="s">
        <v>16</v>
      </c>
      <c r="D1181" s="6" t="s">
        <v>17</v>
      </c>
      <c r="E1181" s="6" t="s">
        <v>18</v>
      </c>
      <c r="F1181" s="6" t="s">
        <v>14</v>
      </c>
      <c r="G1181" s="7">
        <v>46217</v>
      </c>
      <c r="H1181" s="6">
        <v>7</v>
      </c>
      <c r="I1181" s="7">
        <v>46231</v>
      </c>
      <c r="J1181" s="7">
        <f t="shared" si="55"/>
        <v>46224</v>
      </c>
      <c r="K1181" s="8">
        <v>130</v>
      </c>
      <c r="L1181" s="9">
        <f t="shared" si="54"/>
        <v>7</v>
      </c>
      <c r="M1181" s="9" t="str" cm="1">
        <f t="array" ref="M1181">_xlfn.IFS(L1181&gt;=10,"HIGH",L1181=0,"LOW",L1181&lt;=9,"MEDIUM")</f>
        <v>MEDIUM</v>
      </c>
      <c r="N1181" s="9" cm="1">
        <f t="array" ref="N1181">_xlfn.IFS(M1181="HIGH",K1181*L1181,M1181="MEDIUM",K1181*L1181,M1181="LOW","NA")</f>
        <v>910</v>
      </c>
      <c r="O1181" s="18" t="str">
        <f t="shared" si="56"/>
        <v>cleared</v>
      </c>
    </row>
    <row r="1182" spans="1:15" x14ac:dyDescent="0.25">
      <c r="A1182" s="17">
        <v>1178</v>
      </c>
      <c r="B1182" s="6" t="s">
        <v>1215</v>
      </c>
      <c r="C1182" s="6" t="s">
        <v>11</v>
      </c>
      <c r="D1182" s="6" t="s">
        <v>49</v>
      </c>
      <c r="E1182" s="6" t="s">
        <v>46</v>
      </c>
      <c r="F1182" s="6" t="s">
        <v>14</v>
      </c>
      <c r="G1182" s="7">
        <v>46211</v>
      </c>
      <c r="H1182" s="6">
        <v>5</v>
      </c>
      <c r="I1182" s="7">
        <v>46217</v>
      </c>
      <c r="J1182" s="7">
        <f t="shared" si="55"/>
        <v>46216</v>
      </c>
      <c r="K1182" s="8">
        <v>110</v>
      </c>
      <c r="L1182" s="9">
        <f t="shared" si="54"/>
        <v>1</v>
      </c>
      <c r="M1182" s="9" t="str" cm="1">
        <f t="array" ref="M1182">_xlfn.IFS(L1182&gt;=10,"HIGH",L1182=0,"LOW",L1182&lt;=9,"MEDIUM")</f>
        <v>MEDIUM</v>
      </c>
      <c r="N1182" s="9" cm="1">
        <f t="array" ref="N1182">_xlfn.IFS(M1182="HIGH",K1182*L1182,M1182="MEDIUM",K1182*L1182,M1182="LOW","NA")</f>
        <v>110</v>
      </c>
      <c r="O1182" s="18" t="str">
        <f t="shared" si="56"/>
        <v>cleared</v>
      </c>
    </row>
    <row r="1183" spans="1:15" x14ac:dyDescent="0.25">
      <c r="A1183" s="17">
        <v>1179</v>
      </c>
      <c r="B1183" s="6" t="s">
        <v>1216</v>
      </c>
      <c r="C1183" s="6" t="s">
        <v>33</v>
      </c>
      <c r="D1183" s="6" t="s">
        <v>31</v>
      </c>
      <c r="E1183" s="6" t="s">
        <v>46</v>
      </c>
      <c r="F1183" s="6" t="s">
        <v>29</v>
      </c>
      <c r="G1183" s="7">
        <v>46208</v>
      </c>
      <c r="H1183" s="6">
        <v>4</v>
      </c>
      <c r="I1183" s="7">
        <v>46218</v>
      </c>
      <c r="J1183" s="7">
        <f t="shared" si="55"/>
        <v>46212</v>
      </c>
      <c r="K1183" s="8">
        <v>180</v>
      </c>
      <c r="L1183" s="9">
        <f t="shared" si="54"/>
        <v>6</v>
      </c>
      <c r="M1183" s="9" t="str" cm="1">
        <f t="array" ref="M1183">_xlfn.IFS(L1183&gt;=10,"HIGH",L1183=0,"LOW",L1183&lt;=9,"MEDIUM")</f>
        <v>MEDIUM</v>
      </c>
      <c r="N1183" s="9" cm="1">
        <f t="array" ref="N1183">_xlfn.IFS(M1183="HIGH",K1183*L1183,M1183="MEDIUM",K1183*L1183,M1183="LOW","NA")</f>
        <v>1080</v>
      </c>
      <c r="O1183" s="18" t="str">
        <f t="shared" si="56"/>
        <v>cleared</v>
      </c>
    </row>
    <row r="1184" spans="1:15" x14ac:dyDescent="0.25">
      <c r="A1184" s="17">
        <v>1180</v>
      </c>
      <c r="B1184" s="6" t="s">
        <v>1217</v>
      </c>
      <c r="C1184" s="6" t="s">
        <v>16</v>
      </c>
      <c r="D1184" s="6" t="s">
        <v>12</v>
      </c>
      <c r="E1184" s="6" t="s">
        <v>13</v>
      </c>
      <c r="F1184" s="6" t="s">
        <v>14</v>
      </c>
      <c r="G1184" s="7">
        <v>46224</v>
      </c>
      <c r="H1184" s="6">
        <v>6</v>
      </c>
      <c r="I1184" s="7">
        <v>46239</v>
      </c>
      <c r="J1184" s="7">
        <f t="shared" si="55"/>
        <v>46230</v>
      </c>
      <c r="K1184" s="8">
        <v>60</v>
      </c>
      <c r="L1184" s="9">
        <f t="shared" si="54"/>
        <v>9</v>
      </c>
      <c r="M1184" s="9" t="str" cm="1">
        <f t="array" ref="M1184">_xlfn.IFS(L1184&gt;=10,"HIGH",L1184=0,"LOW",L1184&lt;=9,"MEDIUM")</f>
        <v>MEDIUM</v>
      </c>
      <c r="N1184" s="9" cm="1">
        <f t="array" ref="N1184">_xlfn.IFS(M1184="HIGH",K1184*L1184,M1184="MEDIUM",K1184*L1184,M1184="LOW","NA")</f>
        <v>540</v>
      </c>
      <c r="O1184" s="18" t="str">
        <f t="shared" si="56"/>
        <v>cleared</v>
      </c>
    </row>
    <row r="1185" spans="1:15" x14ac:dyDescent="0.25">
      <c r="A1185" s="17">
        <v>1181</v>
      </c>
      <c r="B1185" s="6" t="s">
        <v>1218</v>
      </c>
      <c r="C1185" s="6" t="s">
        <v>11</v>
      </c>
      <c r="D1185" s="6" t="s">
        <v>20</v>
      </c>
      <c r="E1185" s="6" t="s">
        <v>21</v>
      </c>
      <c r="F1185" s="6" t="s">
        <v>29</v>
      </c>
      <c r="G1185" s="7">
        <v>46218</v>
      </c>
      <c r="H1185" s="6">
        <v>3</v>
      </c>
      <c r="I1185" s="6"/>
      <c r="J1185" s="7">
        <f t="shared" si="55"/>
        <v>46221</v>
      </c>
      <c r="K1185" s="8">
        <v>180</v>
      </c>
      <c r="L1185" s="9">
        <f t="shared" si="54"/>
        <v>38</v>
      </c>
      <c r="M1185" s="9" t="str" cm="1">
        <f t="array" ref="M1185">_xlfn.IFS(L1185&gt;=10,"HIGH",L1185=0,"LOW",L1185&lt;=9,"MEDIUM")</f>
        <v>HIGH</v>
      </c>
      <c r="N1185" s="9" cm="1">
        <f t="array" ref="N1185">_xlfn.IFS(M1185="HIGH",K1185*L1185,M1185="MEDIUM",K1185*L1185,M1185="LOW","NA")</f>
        <v>6840</v>
      </c>
      <c r="O1185" s="18" t="str">
        <f t="shared" si="56"/>
        <v>still in yard</v>
      </c>
    </row>
    <row r="1186" spans="1:15" x14ac:dyDescent="0.25">
      <c r="A1186" s="17">
        <v>1182</v>
      </c>
      <c r="B1186" s="6" t="s">
        <v>1219</v>
      </c>
      <c r="C1186" s="6" t="s">
        <v>11</v>
      </c>
      <c r="D1186" s="6" t="s">
        <v>12</v>
      </c>
      <c r="E1186" s="6" t="s">
        <v>23</v>
      </c>
      <c r="F1186" s="6" t="s">
        <v>27</v>
      </c>
      <c r="G1186" s="7">
        <v>46196</v>
      </c>
      <c r="H1186" s="6">
        <v>5</v>
      </c>
      <c r="I1186" s="6"/>
      <c r="J1186" s="7">
        <f t="shared" si="55"/>
        <v>46201</v>
      </c>
      <c r="K1186" s="8">
        <v>130</v>
      </c>
      <c r="L1186" s="9">
        <f t="shared" si="54"/>
        <v>58</v>
      </c>
      <c r="M1186" s="9" t="str" cm="1">
        <f t="array" ref="M1186">_xlfn.IFS(L1186&gt;=10,"HIGH",L1186=0,"LOW",L1186&lt;=9,"MEDIUM")</f>
        <v>HIGH</v>
      </c>
      <c r="N1186" s="9" cm="1">
        <f t="array" ref="N1186">_xlfn.IFS(M1186="HIGH",K1186*L1186,M1186="MEDIUM",K1186*L1186,M1186="LOW","NA")</f>
        <v>7540</v>
      </c>
      <c r="O1186" s="18" t="str">
        <f t="shared" si="56"/>
        <v>still in yard</v>
      </c>
    </row>
    <row r="1187" spans="1:15" x14ac:dyDescent="0.25">
      <c r="A1187" s="17">
        <v>1183</v>
      </c>
      <c r="B1187" s="6" t="s">
        <v>1220</v>
      </c>
      <c r="C1187" s="6" t="s">
        <v>11</v>
      </c>
      <c r="D1187" s="6" t="s">
        <v>34</v>
      </c>
      <c r="E1187" s="6" t="s">
        <v>61</v>
      </c>
      <c r="F1187" s="6" t="s">
        <v>27</v>
      </c>
      <c r="G1187" s="7">
        <v>46223</v>
      </c>
      <c r="H1187" s="6">
        <v>7</v>
      </c>
      <c r="I1187" s="7">
        <v>46224</v>
      </c>
      <c r="J1187" s="7">
        <f t="shared" si="55"/>
        <v>46230</v>
      </c>
      <c r="K1187" s="8">
        <v>130</v>
      </c>
      <c r="L1187" s="9">
        <f t="shared" si="54"/>
        <v>0</v>
      </c>
      <c r="M1187" s="9" t="str" cm="1">
        <f t="array" ref="M1187">_xlfn.IFS(L1187&gt;=10,"HIGH",L1187=0,"LOW",L1187&lt;=9,"MEDIUM")</f>
        <v>LOW</v>
      </c>
      <c r="N1187" s="9" t="str" cm="1">
        <f t="array" ref="N1187">_xlfn.IFS(M1187="HIGH",K1187*L1187,M1187="MEDIUM",K1187*L1187,M1187="LOW","NA")</f>
        <v>NA</v>
      </c>
      <c r="O1187" s="18" t="str">
        <f t="shared" si="56"/>
        <v>cleared</v>
      </c>
    </row>
    <row r="1188" spans="1:15" x14ac:dyDescent="0.25">
      <c r="A1188" s="17">
        <v>1184</v>
      </c>
      <c r="B1188" s="6" t="s">
        <v>1221</v>
      </c>
      <c r="C1188" s="6" t="s">
        <v>11</v>
      </c>
      <c r="D1188" s="6" t="s">
        <v>49</v>
      </c>
      <c r="E1188" s="6" t="s">
        <v>39</v>
      </c>
      <c r="F1188" s="6" t="s">
        <v>14</v>
      </c>
      <c r="G1188" s="7">
        <v>46229</v>
      </c>
      <c r="H1188" s="6">
        <v>6</v>
      </c>
      <c r="I1188" s="7">
        <v>46238</v>
      </c>
      <c r="J1188" s="7">
        <f t="shared" si="55"/>
        <v>46235</v>
      </c>
      <c r="K1188" s="8">
        <v>60</v>
      </c>
      <c r="L1188" s="9">
        <f t="shared" si="54"/>
        <v>3</v>
      </c>
      <c r="M1188" s="9" t="str" cm="1">
        <f t="array" ref="M1188">_xlfn.IFS(L1188&gt;=10,"HIGH",L1188=0,"LOW",L1188&lt;=9,"MEDIUM")</f>
        <v>MEDIUM</v>
      </c>
      <c r="N1188" s="9" cm="1">
        <f t="array" ref="N1188">_xlfn.IFS(M1188="HIGH",K1188*L1188,M1188="MEDIUM",K1188*L1188,M1188="LOW","NA")</f>
        <v>180</v>
      </c>
      <c r="O1188" s="18" t="str">
        <f t="shared" si="56"/>
        <v>cleared</v>
      </c>
    </row>
    <row r="1189" spans="1:15" x14ac:dyDescent="0.25">
      <c r="A1189" s="17">
        <v>1185</v>
      </c>
      <c r="B1189" s="6" t="s">
        <v>1222</v>
      </c>
      <c r="C1189" s="6" t="s">
        <v>33</v>
      </c>
      <c r="D1189" s="6" t="s">
        <v>12</v>
      </c>
      <c r="E1189" s="6" t="s">
        <v>35</v>
      </c>
      <c r="F1189" s="6" t="s">
        <v>29</v>
      </c>
      <c r="G1189" s="7">
        <v>46195</v>
      </c>
      <c r="H1189" s="6">
        <v>4</v>
      </c>
      <c r="I1189" s="6"/>
      <c r="J1189" s="7">
        <f t="shared" si="55"/>
        <v>46199</v>
      </c>
      <c r="K1189" s="8">
        <v>150</v>
      </c>
      <c r="L1189" s="9">
        <f t="shared" si="54"/>
        <v>60</v>
      </c>
      <c r="M1189" s="9" t="str" cm="1">
        <f t="array" ref="M1189">_xlfn.IFS(L1189&gt;=10,"HIGH",L1189=0,"LOW",L1189&lt;=9,"MEDIUM")</f>
        <v>HIGH</v>
      </c>
      <c r="N1189" s="9" cm="1">
        <f t="array" ref="N1189">_xlfn.IFS(M1189="HIGH",K1189*L1189,M1189="MEDIUM",K1189*L1189,M1189="LOW","NA")</f>
        <v>9000</v>
      </c>
      <c r="O1189" s="18" t="str">
        <f t="shared" si="56"/>
        <v>still in yard</v>
      </c>
    </row>
    <row r="1190" spans="1:15" x14ac:dyDescent="0.25">
      <c r="A1190" s="17">
        <v>1186</v>
      </c>
      <c r="B1190" s="6" t="s">
        <v>1223</v>
      </c>
      <c r="C1190" s="6" t="s">
        <v>37</v>
      </c>
      <c r="D1190" s="6" t="s">
        <v>34</v>
      </c>
      <c r="E1190" s="6" t="s">
        <v>44</v>
      </c>
      <c r="F1190" s="6" t="s">
        <v>24</v>
      </c>
      <c r="G1190" s="7">
        <v>46224</v>
      </c>
      <c r="H1190" s="6">
        <v>6</v>
      </c>
      <c r="I1190" s="7">
        <v>46229</v>
      </c>
      <c r="J1190" s="7">
        <f t="shared" si="55"/>
        <v>46230</v>
      </c>
      <c r="K1190" s="8">
        <v>130</v>
      </c>
      <c r="L1190" s="9">
        <f t="shared" si="54"/>
        <v>0</v>
      </c>
      <c r="M1190" s="9" t="str" cm="1">
        <f t="array" ref="M1190">_xlfn.IFS(L1190&gt;=10,"HIGH",L1190=0,"LOW",L1190&lt;=9,"MEDIUM")</f>
        <v>LOW</v>
      </c>
      <c r="N1190" s="9" t="str" cm="1">
        <f t="array" ref="N1190">_xlfn.IFS(M1190="HIGH",K1190*L1190,M1190="MEDIUM",K1190*L1190,M1190="LOW","NA")</f>
        <v>NA</v>
      </c>
      <c r="O1190" s="18" t="str">
        <f t="shared" si="56"/>
        <v>cleared</v>
      </c>
    </row>
    <row r="1191" spans="1:15" x14ac:dyDescent="0.25">
      <c r="A1191" s="17">
        <v>1187</v>
      </c>
      <c r="B1191" s="6" t="s">
        <v>1224</v>
      </c>
      <c r="C1191" s="6" t="s">
        <v>16</v>
      </c>
      <c r="D1191" s="6" t="s">
        <v>34</v>
      </c>
      <c r="E1191" s="6" t="s">
        <v>21</v>
      </c>
      <c r="F1191" s="6" t="s">
        <v>27</v>
      </c>
      <c r="G1191" s="7">
        <v>46208</v>
      </c>
      <c r="H1191" s="6">
        <v>5</v>
      </c>
      <c r="I1191" s="7">
        <v>46216</v>
      </c>
      <c r="J1191" s="7">
        <f t="shared" si="55"/>
        <v>46213</v>
      </c>
      <c r="K1191" s="8">
        <v>110</v>
      </c>
      <c r="L1191" s="9">
        <f t="shared" si="54"/>
        <v>3</v>
      </c>
      <c r="M1191" s="9" t="str" cm="1">
        <f t="array" ref="M1191">_xlfn.IFS(L1191&gt;=10,"HIGH",L1191=0,"LOW",L1191&lt;=9,"MEDIUM")</f>
        <v>MEDIUM</v>
      </c>
      <c r="N1191" s="9" cm="1">
        <f t="array" ref="N1191">_xlfn.IFS(M1191="HIGH",K1191*L1191,M1191="MEDIUM",K1191*L1191,M1191="LOW","NA")</f>
        <v>330</v>
      </c>
      <c r="O1191" s="18" t="str">
        <f t="shared" si="56"/>
        <v>cleared</v>
      </c>
    </row>
    <row r="1192" spans="1:15" x14ac:dyDescent="0.25">
      <c r="A1192" s="17">
        <v>1188</v>
      </c>
      <c r="B1192" s="6" t="s">
        <v>1225</v>
      </c>
      <c r="C1192" s="6" t="s">
        <v>37</v>
      </c>
      <c r="D1192" s="6" t="s">
        <v>17</v>
      </c>
      <c r="E1192" s="6" t="s">
        <v>35</v>
      </c>
      <c r="F1192" s="6" t="s">
        <v>24</v>
      </c>
      <c r="G1192" s="7">
        <v>46184</v>
      </c>
      <c r="H1192" s="6">
        <v>7</v>
      </c>
      <c r="I1192" s="7">
        <v>46191</v>
      </c>
      <c r="J1192" s="7">
        <f t="shared" si="55"/>
        <v>46191</v>
      </c>
      <c r="K1192" s="8">
        <v>60</v>
      </c>
      <c r="L1192" s="9">
        <f t="shared" si="54"/>
        <v>0</v>
      </c>
      <c r="M1192" s="9" t="str" cm="1">
        <f t="array" ref="M1192">_xlfn.IFS(L1192&gt;=10,"HIGH",L1192=0,"LOW",L1192&lt;=9,"MEDIUM")</f>
        <v>LOW</v>
      </c>
      <c r="N1192" s="9" t="str" cm="1">
        <f t="array" ref="N1192">_xlfn.IFS(M1192="HIGH",K1192*L1192,M1192="MEDIUM",K1192*L1192,M1192="LOW","NA")</f>
        <v>NA</v>
      </c>
      <c r="O1192" s="18" t="str">
        <f t="shared" si="56"/>
        <v>cleared</v>
      </c>
    </row>
    <row r="1193" spans="1:15" x14ac:dyDescent="0.25">
      <c r="A1193" s="17">
        <v>1189</v>
      </c>
      <c r="B1193" s="6" t="s">
        <v>1226</v>
      </c>
      <c r="C1193" s="6" t="s">
        <v>33</v>
      </c>
      <c r="D1193" s="6" t="s">
        <v>31</v>
      </c>
      <c r="E1193" s="6" t="s">
        <v>35</v>
      </c>
      <c r="F1193" s="6" t="s">
        <v>27</v>
      </c>
      <c r="G1193" s="7">
        <v>46240</v>
      </c>
      <c r="H1193" s="6">
        <v>6</v>
      </c>
      <c r="I1193" s="6"/>
      <c r="J1193" s="7">
        <f t="shared" si="55"/>
        <v>46246</v>
      </c>
      <c r="K1193" s="8">
        <v>110</v>
      </c>
      <c r="L1193" s="9">
        <f t="shared" si="54"/>
        <v>13</v>
      </c>
      <c r="M1193" s="9" t="str" cm="1">
        <f t="array" ref="M1193">_xlfn.IFS(L1193&gt;=10,"HIGH",L1193=0,"LOW",L1193&lt;=9,"MEDIUM")</f>
        <v>HIGH</v>
      </c>
      <c r="N1193" s="9" cm="1">
        <f t="array" ref="N1193">_xlfn.IFS(M1193="HIGH",K1193*L1193,M1193="MEDIUM",K1193*L1193,M1193="LOW","NA")</f>
        <v>1430</v>
      </c>
      <c r="O1193" s="18" t="str">
        <f t="shared" si="56"/>
        <v>still in yard</v>
      </c>
    </row>
    <row r="1194" spans="1:15" x14ac:dyDescent="0.25">
      <c r="A1194" s="17">
        <v>1190</v>
      </c>
      <c r="B1194" s="6" t="s">
        <v>1227</v>
      </c>
      <c r="C1194" s="6" t="s">
        <v>16</v>
      </c>
      <c r="D1194" s="6" t="s">
        <v>49</v>
      </c>
      <c r="E1194" s="6" t="s">
        <v>23</v>
      </c>
      <c r="F1194" s="6" t="s">
        <v>29</v>
      </c>
      <c r="G1194" s="7">
        <v>46180</v>
      </c>
      <c r="H1194" s="6">
        <v>3</v>
      </c>
      <c r="I1194" s="7">
        <v>46183</v>
      </c>
      <c r="J1194" s="7">
        <f t="shared" si="55"/>
        <v>46183</v>
      </c>
      <c r="K1194" s="8">
        <v>150</v>
      </c>
      <c r="L1194" s="9">
        <f t="shared" si="54"/>
        <v>0</v>
      </c>
      <c r="M1194" s="9" t="str" cm="1">
        <f t="array" ref="M1194">_xlfn.IFS(L1194&gt;=10,"HIGH",L1194=0,"LOW",L1194&lt;=9,"MEDIUM")</f>
        <v>LOW</v>
      </c>
      <c r="N1194" s="9" t="str" cm="1">
        <f t="array" ref="N1194">_xlfn.IFS(M1194="HIGH",K1194*L1194,M1194="MEDIUM",K1194*L1194,M1194="LOW","NA")</f>
        <v>NA</v>
      </c>
      <c r="O1194" s="18" t="str">
        <f t="shared" si="56"/>
        <v>cleared</v>
      </c>
    </row>
    <row r="1195" spans="1:15" x14ac:dyDescent="0.25">
      <c r="A1195" s="17">
        <v>1191</v>
      </c>
      <c r="B1195" s="6" t="s">
        <v>1228</v>
      </c>
      <c r="C1195" s="6" t="s">
        <v>37</v>
      </c>
      <c r="D1195" s="6" t="s">
        <v>12</v>
      </c>
      <c r="E1195" s="6" t="s">
        <v>23</v>
      </c>
      <c r="F1195" s="6" t="s">
        <v>14</v>
      </c>
      <c r="G1195" s="7">
        <v>46250</v>
      </c>
      <c r="H1195" s="6">
        <v>7</v>
      </c>
      <c r="I1195" s="6"/>
      <c r="J1195" s="7">
        <f t="shared" si="55"/>
        <v>46257</v>
      </c>
      <c r="K1195" s="8">
        <v>60</v>
      </c>
      <c r="L1195" s="9">
        <f t="shared" si="54"/>
        <v>2</v>
      </c>
      <c r="M1195" s="9" t="str" cm="1">
        <f t="array" ref="M1195">_xlfn.IFS(L1195&gt;=10,"HIGH",L1195=0,"LOW",L1195&lt;=9,"MEDIUM")</f>
        <v>MEDIUM</v>
      </c>
      <c r="N1195" s="9" cm="1">
        <f t="array" ref="N1195">_xlfn.IFS(M1195="HIGH",K1195*L1195,M1195="MEDIUM",K1195*L1195,M1195="LOW","NA")</f>
        <v>120</v>
      </c>
      <c r="O1195" s="18" t="str">
        <f t="shared" si="56"/>
        <v>still in yard</v>
      </c>
    </row>
    <row r="1196" spans="1:15" x14ac:dyDescent="0.25">
      <c r="A1196" s="17">
        <v>1192</v>
      </c>
      <c r="B1196" s="6" t="s">
        <v>1229</v>
      </c>
      <c r="C1196" s="6" t="s">
        <v>11</v>
      </c>
      <c r="D1196" s="6" t="s">
        <v>34</v>
      </c>
      <c r="E1196" s="6" t="s">
        <v>39</v>
      </c>
      <c r="F1196" s="6" t="s">
        <v>14</v>
      </c>
      <c r="G1196" s="7">
        <v>46221</v>
      </c>
      <c r="H1196" s="6">
        <v>4</v>
      </c>
      <c r="I1196" s="7">
        <v>46222</v>
      </c>
      <c r="J1196" s="7">
        <f t="shared" si="55"/>
        <v>46225</v>
      </c>
      <c r="K1196" s="8">
        <v>90</v>
      </c>
      <c r="L1196" s="9">
        <f t="shared" si="54"/>
        <v>0</v>
      </c>
      <c r="M1196" s="9" t="str" cm="1">
        <f t="array" ref="M1196">_xlfn.IFS(L1196&gt;=10,"HIGH",L1196=0,"LOW",L1196&lt;=9,"MEDIUM")</f>
        <v>LOW</v>
      </c>
      <c r="N1196" s="9" t="str" cm="1">
        <f t="array" ref="N1196">_xlfn.IFS(M1196="HIGH",K1196*L1196,M1196="MEDIUM",K1196*L1196,M1196="LOW","NA")</f>
        <v>NA</v>
      </c>
      <c r="O1196" s="18" t="str">
        <f t="shared" si="56"/>
        <v>cleared</v>
      </c>
    </row>
    <row r="1197" spans="1:15" x14ac:dyDescent="0.25">
      <c r="A1197" s="17">
        <v>1193</v>
      </c>
      <c r="B1197" s="6" t="s">
        <v>1230</v>
      </c>
      <c r="C1197" s="6" t="s">
        <v>37</v>
      </c>
      <c r="D1197" s="6" t="s">
        <v>49</v>
      </c>
      <c r="E1197" s="6" t="s">
        <v>39</v>
      </c>
      <c r="F1197" s="6" t="s">
        <v>27</v>
      </c>
      <c r="G1197" s="7">
        <v>46233</v>
      </c>
      <c r="H1197" s="6">
        <v>6</v>
      </c>
      <c r="I1197" s="7">
        <v>46236</v>
      </c>
      <c r="J1197" s="7">
        <f t="shared" si="55"/>
        <v>46239</v>
      </c>
      <c r="K1197" s="8">
        <v>110</v>
      </c>
      <c r="L1197" s="9">
        <f t="shared" si="54"/>
        <v>0</v>
      </c>
      <c r="M1197" s="9" t="str" cm="1">
        <f t="array" ref="M1197">_xlfn.IFS(L1197&gt;=10,"HIGH",L1197=0,"LOW",L1197&lt;=9,"MEDIUM")</f>
        <v>LOW</v>
      </c>
      <c r="N1197" s="9" t="str" cm="1">
        <f t="array" ref="N1197">_xlfn.IFS(M1197="HIGH",K1197*L1197,M1197="MEDIUM",K1197*L1197,M1197="LOW","NA")</f>
        <v>NA</v>
      </c>
      <c r="O1197" s="18" t="str">
        <f t="shared" si="56"/>
        <v>cleared</v>
      </c>
    </row>
    <row r="1198" spans="1:15" x14ac:dyDescent="0.25">
      <c r="A1198" s="17">
        <v>1194</v>
      </c>
      <c r="B1198" s="6" t="s">
        <v>1231</v>
      </c>
      <c r="C1198" s="6" t="s">
        <v>11</v>
      </c>
      <c r="D1198" s="6" t="s">
        <v>12</v>
      </c>
      <c r="E1198" s="6" t="s">
        <v>35</v>
      </c>
      <c r="F1198" s="6" t="s">
        <v>27</v>
      </c>
      <c r="G1198" s="7">
        <v>46246</v>
      </c>
      <c r="H1198" s="6">
        <v>6</v>
      </c>
      <c r="I1198" s="6"/>
      <c r="J1198" s="7">
        <f t="shared" si="55"/>
        <v>46252</v>
      </c>
      <c r="K1198" s="8">
        <v>90</v>
      </c>
      <c r="L1198" s="9">
        <f t="shared" si="54"/>
        <v>7</v>
      </c>
      <c r="M1198" s="9" t="str" cm="1">
        <f t="array" ref="M1198">_xlfn.IFS(L1198&gt;=10,"HIGH",L1198=0,"LOW",L1198&lt;=9,"MEDIUM")</f>
        <v>MEDIUM</v>
      </c>
      <c r="N1198" s="9" cm="1">
        <f t="array" ref="N1198">_xlfn.IFS(M1198="HIGH",K1198*L1198,M1198="MEDIUM",K1198*L1198,M1198="LOW","NA")</f>
        <v>630</v>
      </c>
      <c r="O1198" s="18" t="str">
        <f t="shared" si="56"/>
        <v>still in yard</v>
      </c>
    </row>
    <row r="1199" spans="1:15" x14ac:dyDescent="0.25">
      <c r="A1199" s="17">
        <v>1195</v>
      </c>
      <c r="B1199" s="6" t="s">
        <v>1232</v>
      </c>
      <c r="C1199" s="6" t="s">
        <v>11</v>
      </c>
      <c r="D1199" s="6" t="s">
        <v>12</v>
      </c>
      <c r="E1199" s="6" t="s">
        <v>61</v>
      </c>
      <c r="F1199" s="6" t="s">
        <v>29</v>
      </c>
      <c r="G1199" s="7">
        <v>46235</v>
      </c>
      <c r="H1199" s="6">
        <v>3</v>
      </c>
      <c r="I1199" s="7">
        <v>46236</v>
      </c>
      <c r="J1199" s="7">
        <f t="shared" si="55"/>
        <v>46238</v>
      </c>
      <c r="K1199" s="8">
        <v>120</v>
      </c>
      <c r="L1199" s="9">
        <f t="shared" si="54"/>
        <v>0</v>
      </c>
      <c r="M1199" s="9" t="str" cm="1">
        <f t="array" ref="M1199">_xlfn.IFS(L1199&gt;=10,"HIGH",L1199=0,"LOW",L1199&lt;=9,"MEDIUM")</f>
        <v>LOW</v>
      </c>
      <c r="N1199" s="9" t="str" cm="1">
        <f t="array" ref="N1199">_xlfn.IFS(M1199="HIGH",K1199*L1199,M1199="MEDIUM",K1199*L1199,M1199="LOW","NA")</f>
        <v>NA</v>
      </c>
      <c r="O1199" s="18" t="str">
        <f t="shared" si="56"/>
        <v>cleared</v>
      </c>
    </row>
    <row r="1200" spans="1:15" x14ac:dyDescent="0.25">
      <c r="A1200" s="17">
        <v>1196</v>
      </c>
      <c r="B1200" s="6" t="s">
        <v>1233</v>
      </c>
      <c r="C1200" s="6" t="s">
        <v>16</v>
      </c>
      <c r="D1200" s="6" t="s">
        <v>31</v>
      </c>
      <c r="E1200" s="6" t="s">
        <v>35</v>
      </c>
      <c r="F1200" s="6" t="s">
        <v>24</v>
      </c>
      <c r="G1200" s="7">
        <v>46256</v>
      </c>
      <c r="H1200" s="6">
        <v>5</v>
      </c>
      <c r="I1200" s="7">
        <v>46259</v>
      </c>
      <c r="J1200" s="7">
        <f t="shared" si="55"/>
        <v>46261</v>
      </c>
      <c r="K1200" s="8">
        <v>60</v>
      </c>
      <c r="L1200" s="9">
        <f t="shared" si="54"/>
        <v>0</v>
      </c>
      <c r="M1200" s="9" t="str" cm="1">
        <f t="array" ref="M1200">_xlfn.IFS(L1200&gt;=10,"HIGH",L1200=0,"LOW",L1200&lt;=9,"MEDIUM")</f>
        <v>LOW</v>
      </c>
      <c r="N1200" s="9" t="str" cm="1">
        <f t="array" ref="N1200">_xlfn.IFS(M1200="HIGH",K1200*L1200,M1200="MEDIUM",K1200*L1200,M1200="LOW","NA")</f>
        <v>NA</v>
      </c>
      <c r="O1200" s="18" t="str">
        <f t="shared" si="56"/>
        <v>cleared</v>
      </c>
    </row>
    <row r="1201" spans="1:15" x14ac:dyDescent="0.25">
      <c r="A1201" s="17">
        <v>1197</v>
      </c>
      <c r="B1201" s="6" t="s">
        <v>1234</v>
      </c>
      <c r="C1201" s="6" t="s">
        <v>11</v>
      </c>
      <c r="D1201" s="6" t="s">
        <v>41</v>
      </c>
      <c r="E1201" s="6" t="s">
        <v>42</v>
      </c>
      <c r="F1201" s="6" t="s">
        <v>27</v>
      </c>
      <c r="G1201" s="7">
        <v>46186</v>
      </c>
      <c r="H1201" s="6">
        <v>6</v>
      </c>
      <c r="I1201" s="7">
        <v>46194</v>
      </c>
      <c r="J1201" s="7">
        <f t="shared" si="55"/>
        <v>46192</v>
      </c>
      <c r="K1201" s="8">
        <v>90</v>
      </c>
      <c r="L1201" s="9">
        <f t="shared" si="54"/>
        <v>2</v>
      </c>
      <c r="M1201" s="9" t="str" cm="1">
        <f t="array" ref="M1201">_xlfn.IFS(L1201&gt;=10,"HIGH",L1201=0,"LOW",L1201&lt;=9,"MEDIUM")</f>
        <v>MEDIUM</v>
      </c>
      <c r="N1201" s="9" cm="1">
        <f t="array" ref="N1201">_xlfn.IFS(M1201="HIGH",K1201*L1201,M1201="MEDIUM",K1201*L1201,M1201="LOW","NA")</f>
        <v>180</v>
      </c>
      <c r="O1201" s="18" t="str">
        <f t="shared" si="56"/>
        <v>cleared</v>
      </c>
    </row>
    <row r="1202" spans="1:15" x14ac:dyDescent="0.25">
      <c r="A1202" s="17">
        <v>1198</v>
      </c>
      <c r="B1202" s="6" t="s">
        <v>1235</v>
      </c>
      <c r="C1202" s="6" t="s">
        <v>33</v>
      </c>
      <c r="D1202" s="6" t="s">
        <v>26</v>
      </c>
      <c r="E1202" s="6" t="s">
        <v>35</v>
      </c>
      <c r="F1202" s="6" t="s">
        <v>29</v>
      </c>
      <c r="G1202" s="7">
        <v>46216</v>
      </c>
      <c r="H1202" s="6">
        <v>4</v>
      </c>
      <c r="I1202" s="7">
        <v>46223</v>
      </c>
      <c r="J1202" s="7">
        <f t="shared" si="55"/>
        <v>46220</v>
      </c>
      <c r="K1202" s="8">
        <v>150</v>
      </c>
      <c r="L1202" s="9">
        <f t="shared" si="54"/>
        <v>3</v>
      </c>
      <c r="M1202" s="9" t="str" cm="1">
        <f t="array" ref="M1202">_xlfn.IFS(L1202&gt;=10,"HIGH",L1202=0,"LOW",L1202&lt;=9,"MEDIUM")</f>
        <v>MEDIUM</v>
      </c>
      <c r="N1202" s="9" cm="1">
        <f t="array" ref="N1202">_xlfn.IFS(M1202="HIGH",K1202*L1202,M1202="MEDIUM",K1202*L1202,M1202="LOW","NA")</f>
        <v>450</v>
      </c>
      <c r="O1202" s="18" t="str">
        <f t="shared" si="56"/>
        <v>cleared</v>
      </c>
    </row>
    <row r="1203" spans="1:15" x14ac:dyDescent="0.25">
      <c r="A1203" s="17">
        <v>1199</v>
      </c>
      <c r="B1203" s="6" t="s">
        <v>1236</v>
      </c>
      <c r="C1203" s="6" t="s">
        <v>33</v>
      </c>
      <c r="D1203" s="6" t="s">
        <v>54</v>
      </c>
      <c r="E1203" s="6" t="s">
        <v>42</v>
      </c>
      <c r="F1203" s="6" t="s">
        <v>29</v>
      </c>
      <c r="G1203" s="7">
        <v>46214</v>
      </c>
      <c r="H1203" s="6">
        <v>4</v>
      </c>
      <c r="I1203" s="7">
        <v>46215</v>
      </c>
      <c r="J1203" s="7">
        <f t="shared" si="55"/>
        <v>46218</v>
      </c>
      <c r="K1203" s="8">
        <v>150</v>
      </c>
      <c r="L1203" s="9">
        <f t="shared" si="54"/>
        <v>0</v>
      </c>
      <c r="M1203" s="9" t="str" cm="1">
        <f t="array" ref="M1203">_xlfn.IFS(L1203&gt;=10,"HIGH",L1203=0,"LOW",L1203&lt;=9,"MEDIUM")</f>
        <v>LOW</v>
      </c>
      <c r="N1203" s="9" t="str" cm="1">
        <f t="array" ref="N1203">_xlfn.IFS(M1203="HIGH",K1203*L1203,M1203="MEDIUM",K1203*L1203,M1203="LOW","NA")</f>
        <v>NA</v>
      </c>
      <c r="O1203" s="18" t="str">
        <f t="shared" si="56"/>
        <v>cleared</v>
      </c>
    </row>
    <row r="1204" spans="1:15" x14ac:dyDescent="0.25">
      <c r="A1204" s="17">
        <v>1200</v>
      </c>
      <c r="B1204" s="6" t="s">
        <v>1237</v>
      </c>
      <c r="C1204" s="6" t="s">
        <v>16</v>
      </c>
      <c r="D1204" s="6" t="s">
        <v>26</v>
      </c>
      <c r="E1204" s="6" t="s">
        <v>18</v>
      </c>
      <c r="F1204" s="6" t="s">
        <v>24</v>
      </c>
      <c r="G1204" s="7">
        <v>46207</v>
      </c>
      <c r="H1204" s="6">
        <v>4</v>
      </c>
      <c r="I1204" s="7">
        <v>46208</v>
      </c>
      <c r="J1204" s="7">
        <f t="shared" si="55"/>
        <v>46211</v>
      </c>
      <c r="K1204" s="8">
        <v>110</v>
      </c>
      <c r="L1204" s="9">
        <f t="shared" si="54"/>
        <v>0</v>
      </c>
      <c r="M1204" s="9" t="str" cm="1">
        <f t="array" ref="M1204">_xlfn.IFS(L1204&gt;=10,"HIGH",L1204=0,"LOW",L1204&lt;=9,"MEDIUM")</f>
        <v>LOW</v>
      </c>
      <c r="N1204" s="9" t="str" cm="1">
        <f t="array" ref="N1204">_xlfn.IFS(M1204="HIGH",K1204*L1204,M1204="MEDIUM",K1204*L1204,M1204="LOW","NA")</f>
        <v>NA</v>
      </c>
      <c r="O1204" s="18" t="str">
        <f t="shared" si="56"/>
        <v>cleared</v>
      </c>
    </row>
    <row r="1205" spans="1:15" x14ac:dyDescent="0.25">
      <c r="A1205" s="17">
        <v>1201</v>
      </c>
      <c r="B1205" s="6" t="s">
        <v>1238</v>
      </c>
      <c r="C1205" s="6" t="s">
        <v>16</v>
      </c>
      <c r="D1205" s="6" t="s">
        <v>20</v>
      </c>
      <c r="E1205" s="6" t="s">
        <v>61</v>
      </c>
      <c r="F1205" s="6" t="s">
        <v>27</v>
      </c>
      <c r="G1205" s="7">
        <v>46231</v>
      </c>
      <c r="H1205" s="6">
        <v>7</v>
      </c>
      <c r="I1205" s="7">
        <v>46234</v>
      </c>
      <c r="J1205" s="7">
        <f t="shared" si="55"/>
        <v>46238</v>
      </c>
      <c r="K1205" s="8">
        <v>110</v>
      </c>
      <c r="L1205" s="9">
        <f t="shared" si="54"/>
        <v>0</v>
      </c>
      <c r="M1205" s="9" t="str" cm="1">
        <f t="array" ref="M1205">_xlfn.IFS(L1205&gt;=10,"HIGH",L1205=0,"LOW",L1205&lt;=9,"MEDIUM")</f>
        <v>LOW</v>
      </c>
      <c r="N1205" s="9" t="str" cm="1">
        <f t="array" ref="N1205">_xlfn.IFS(M1205="HIGH",K1205*L1205,M1205="MEDIUM",K1205*L1205,M1205="LOW","NA")</f>
        <v>NA</v>
      </c>
      <c r="O1205" s="18" t="str">
        <f t="shared" si="56"/>
        <v>cleared</v>
      </c>
    </row>
    <row r="1206" spans="1:15" x14ac:dyDescent="0.25">
      <c r="A1206" s="17">
        <v>1202</v>
      </c>
      <c r="B1206" s="6" t="s">
        <v>1239</v>
      </c>
      <c r="C1206" s="6" t="s">
        <v>33</v>
      </c>
      <c r="D1206" s="6" t="s">
        <v>49</v>
      </c>
      <c r="E1206" s="6" t="s">
        <v>35</v>
      </c>
      <c r="F1206" s="6" t="s">
        <v>27</v>
      </c>
      <c r="G1206" s="7">
        <v>46236</v>
      </c>
      <c r="H1206" s="6">
        <v>5</v>
      </c>
      <c r="I1206" s="7">
        <v>46240</v>
      </c>
      <c r="J1206" s="7">
        <f t="shared" si="55"/>
        <v>46241</v>
      </c>
      <c r="K1206" s="8">
        <v>110</v>
      </c>
      <c r="L1206" s="9">
        <f t="shared" si="54"/>
        <v>0</v>
      </c>
      <c r="M1206" s="9" t="str" cm="1">
        <f t="array" ref="M1206">_xlfn.IFS(L1206&gt;=10,"HIGH",L1206=0,"LOW",L1206&lt;=9,"MEDIUM")</f>
        <v>LOW</v>
      </c>
      <c r="N1206" s="9" t="str" cm="1">
        <f t="array" ref="N1206">_xlfn.IFS(M1206="HIGH",K1206*L1206,M1206="MEDIUM",K1206*L1206,M1206="LOW","NA")</f>
        <v>NA</v>
      </c>
      <c r="O1206" s="18" t="str">
        <f t="shared" si="56"/>
        <v>cleared</v>
      </c>
    </row>
    <row r="1207" spans="1:15" x14ac:dyDescent="0.25">
      <c r="A1207" s="17">
        <v>1203</v>
      </c>
      <c r="B1207" s="6" t="s">
        <v>1240</v>
      </c>
      <c r="C1207" s="6" t="s">
        <v>11</v>
      </c>
      <c r="D1207" s="6" t="s">
        <v>31</v>
      </c>
      <c r="E1207" s="6" t="s">
        <v>21</v>
      </c>
      <c r="F1207" s="6" t="s">
        <v>27</v>
      </c>
      <c r="G1207" s="7">
        <v>46211</v>
      </c>
      <c r="H1207" s="6">
        <v>6</v>
      </c>
      <c r="I1207" s="7">
        <v>46216</v>
      </c>
      <c r="J1207" s="7">
        <f t="shared" si="55"/>
        <v>46217</v>
      </c>
      <c r="K1207" s="8">
        <v>75</v>
      </c>
      <c r="L1207" s="9">
        <f t="shared" si="54"/>
        <v>0</v>
      </c>
      <c r="M1207" s="9" t="str" cm="1">
        <f t="array" ref="M1207">_xlfn.IFS(L1207&gt;=10,"HIGH",L1207=0,"LOW",L1207&lt;=9,"MEDIUM")</f>
        <v>LOW</v>
      </c>
      <c r="N1207" s="9" t="str" cm="1">
        <f t="array" ref="N1207">_xlfn.IFS(M1207="HIGH",K1207*L1207,M1207="MEDIUM",K1207*L1207,M1207="LOW","NA")</f>
        <v>NA</v>
      </c>
      <c r="O1207" s="18" t="str">
        <f t="shared" si="56"/>
        <v>cleared</v>
      </c>
    </row>
    <row r="1208" spans="1:15" x14ac:dyDescent="0.25">
      <c r="A1208" s="17">
        <v>1204</v>
      </c>
      <c r="B1208" s="6" t="s">
        <v>1241</v>
      </c>
      <c r="C1208" s="6" t="s">
        <v>16</v>
      </c>
      <c r="D1208" s="6" t="s">
        <v>31</v>
      </c>
      <c r="E1208" s="6" t="s">
        <v>44</v>
      </c>
      <c r="F1208" s="6" t="s">
        <v>14</v>
      </c>
      <c r="G1208" s="7">
        <v>46176</v>
      </c>
      <c r="H1208" s="6">
        <v>5</v>
      </c>
      <c r="I1208" s="7">
        <v>46179</v>
      </c>
      <c r="J1208" s="7">
        <f t="shared" si="55"/>
        <v>46181</v>
      </c>
      <c r="K1208" s="8">
        <v>110</v>
      </c>
      <c r="L1208" s="9">
        <f t="shared" si="54"/>
        <v>0</v>
      </c>
      <c r="M1208" s="9" t="str" cm="1">
        <f t="array" ref="M1208">_xlfn.IFS(L1208&gt;=10,"HIGH",L1208=0,"LOW",L1208&lt;=9,"MEDIUM")</f>
        <v>LOW</v>
      </c>
      <c r="N1208" s="9" t="str" cm="1">
        <f t="array" ref="N1208">_xlfn.IFS(M1208="HIGH",K1208*L1208,M1208="MEDIUM",K1208*L1208,M1208="LOW","NA")</f>
        <v>NA</v>
      </c>
      <c r="O1208" s="18" t="str">
        <f t="shared" si="56"/>
        <v>cleared</v>
      </c>
    </row>
    <row r="1209" spans="1:15" x14ac:dyDescent="0.25">
      <c r="A1209" s="17">
        <v>1205</v>
      </c>
      <c r="B1209" s="6" t="s">
        <v>1242</v>
      </c>
      <c r="C1209" s="6" t="s">
        <v>33</v>
      </c>
      <c r="D1209" s="6" t="s">
        <v>49</v>
      </c>
      <c r="E1209" s="6" t="s">
        <v>13</v>
      </c>
      <c r="F1209" s="6" t="s">
        <v>29</v>
      </c>
      <c r="G1209" s="7">
        <v>46227</v>
      </c>
      <c r="H1209" s="6">
        <v>4</v>
      </c>
      <c r="I1209" s="7">
        <v>46228</v>
      </c>
      <c r="J1209" s="7">
        <f t="shared" si="55"/>
        <v>46231</v>
      </c>
      <c r="K1209" s="8">
        <v>120</v>
      </c>
      <c r="L1209" s="9">
        <f t="shared" si="54"/>
        <v>0</v>
      </c>
      <c r="M1209" s="9" t="str" cm="1">
        <f t="array" ref="M1209">_xlfn.IFS(L1209&gt;=10,"HIGH",L1209=0,"LOW",L1209&lt;=9,"MEDIUM")</f>
        <v>LOW</v>
      </c>
      <c r="N1209" s="9" t="str" cm="1">
        <f t="array" ref="N1209">_xlfn.IFS(M1209="HIGH",K1209*L1209,M1209="MEDIUM",K1209*L1209,M1209="LOW","NA")</f>
        <v>NA</v>
      </c>
      <c r="O1209" s="18" t="str">
        <f t="shared" si="56"/>
        <v>cleared</v>
      </c>
    </row>
    <row r="1210" spans="1:15" x14ac:dyDescent="0.25">
      <c r="A1210" s="17">
        <v>1206</v>
      </c>
      <c r="B1210" s="6" t="s">
        <v>1243</v>
      </c>
      <c r="C1210" s="6" t="s">
        <v>33</v>
      </c>
      <c r="D1210" s="6" t="s">
        <v>20</v>
      </c>
      <c r="E1210" s="6" t="s">
        <v>44</v>
      </c>
      <c r="F1210" s="6" t="s">
        <v>27</v>
      </c>
      <c r="G1210" s="7">
        <v>46248</v>
      </c>
      <c r="H1210" s="6">
        <v>7</v>
      </c>
      <c r="I1210" s="7">
        <v>46259</v>
      </c>
      <c r="J1210" s="7">
        <f t="shared" si="55"/>
        <v>46255</v>
      </c>
      <c r="K1210" s="8">
        <v>130</v>
      </c>
      <c r="L1210" s="9">
        <f t="shared" si="54"/>
        <v>4</v>
      </c>
      <c r="M1210" s="9" t="str" cm="1">
        <f t="array" ref="M1210">_xlfn.IFS(L1210&gt;=10,"HIGH",L1210=0,"LOW",L1210&lt;=9,"MEDIUM")</f>
        <v>MEDIUM</v>
      </c>
      <c r="N1210" s="9" cm="1">
        <f t="array" ref="N1210">_xlfn.IFS(M1210="HIGH",K1210*L1210,M1210="MEDIUM",K1210*L1210,M1210="LOW","NA")</f>
        <v>520</v>
      </c>
      <c r="O1210" s="18" t="str">
        <f t="shared" si="56"/>
        <v>cleared</v>
      </c>
    </row>
    <row r="1211" spans="1:15" x14ac:dyDescent="0.25">
      <c r="A1211" s="17">
        <v>1207</v>
      </c>
      <c r="B1211" s="6" t="s">
        <v>1244</v>
      </c>
      <c r="C1211" s="6" t="s">
        <v>11</v>
      </c>
      <c r="D1211" s="6" t="s">
        <v>12</v>
      </c>
      <c r="E1211" s="6" t="s">
        <v>13</v>
      </c>
      <c r="F1211" s="6" t="s">
        <v>29</v>
      </c>
      <c r="G1211" s="7">
        <v>46230</v>
      </c>
      <c r="H1211" s="6">
        <v>4</v>
      </c>
      <c r="I1211" s="6"/>
      <c r="J1211" s="7">
        <f t="shared" si="55"/>
        <v>46234</v>
      </c>
      <c r="K1211" s="8">
        <v>180</v>
      </c>
      <c r="L1211" s="9">
        <f t="shared" si="54"/>
        <v>25</v>
      </c>
      <c r="M1211" s="9" t="str" cm="1">
        <f t="array" ref="M1211">_xlfn.IFS(L1211&gt;=10,"HIGH",L1211=0,"LOW",L1211&lt;=9,"MEDIUM")</f>
        <v>HIGH</v>
      </c>
      <c r="N1211" s="9" cm="1">
        <f t="array" ref="N1211">_xlfn.IFS(M1211="HIGH",K1211*L1211,M1211="MEDIUM",K1211*L1211,M1211="LOW","NA")</f>
        <v>4500</v>
      </c>
      <c r="O1211" s="18" t="str">
        <f t="shared" si="56"/>
        <v>still in yard</v>
      </c>
    </row>
    <row r="1212" spans="1:15" x14ac:dyDescent="0.25">
      <c r="A1212" s="17">
        <v>1208</v>
      </c>
      <c r="B1212" s="6" t="s">
        <v>1245</v>
      </c>
      <c r="C1212" s="6" t="s">
        <v>33</v>
      </c>
      <c r="D1212" s="6" t="s">
        <v>12</v>
      </c>
      <c r="E1212" s="6" t="s">
        <v>44</v>
      </c>
      <c r="F1212" s="6" t="s">
        <v>24</v>
      </c>
      <c r="G1212" s="7">
        <v>46185</v>
      </c>
      <c r="H1212" s="6">
        <v>5</v>
      </c>
      <c r="I1212" s="6"/>
      <c r="J1212" s="7">
        <f t="shared" si="55"/>
        <v>46190</v>
      </c>
      <c r="K1212" s="8">
        <v>130</v>
      </c>
      <c r="L1212" s="9">
        <f t="shared" si="54"/>
        <v>69</v>
      </c>
      <c r="M1212" s="9" t="str" cm="1">
        <f t="array" ref="M1212">_xlfn.IFS(L1212&gt;=10,"HIGH",L1212=0,"LOW",L1212&lt;=9,"MEDIUM")</f>
        <v>HIGH</v>
      </c>
      <c r="N1212" s="9" cm="1">
        <f t="array" ref="N1212">_xlfn.IFS(M1212="HIGH",K1212*L1212,M1212="MEDIUM",K1212*L1212,M1212="LOW","NA")</f>
        <v>8970</v>
      </c>
      <c r="O1212" s="18" t="str">
        <f t="shared" si="56"/>
        <v>still in yard</v>
      </c>
    </row>
    <row r="1213" spans="1:15" x14ac:dyDescent="0.25">
      <c r="A1213" s="17">
        <v>1209</v>
      </c>
      <c r="B1213" s="6" t="s">
        <v>1246</v>
      </c>
      <c r="C1213" s="6" t="s">
        <v>16</v>
      </c>
      <c r="D1213" s="6" t="s">
        <v>34</v>
      </c>
      <c r="E1213" s="6" t="s">
        <v>46</v>
      </c>
      <c r="F1213" s="6" t="s">
        <v>24</v>
      </c>
      <c r="G1213" s="7">
        <v>46234</v>
      </c>
      <c r="H1213" s="6">
        <v>6</v>
      </c>
      <c r="I1213" s="6"/>
      <c r="J1213" s="7">
        <f t="shared" si="55"/>
        <v>46240</v>
      </c>
      <c r="K1213" s="8">
        <v>130</v>
      </c>
      <c r="L1213" s="9">
        <f t="shared" si="54"/>
        <v>19</v>
      </c>
      <c r="M1213" s="9" t="str" cm="1">
        <f t="array" ref="M1213">_xlfn.IFS(L1213&gt;=10,"HIGH",L1213=0,"LOW",L1213&lt;=9,"MEDIUM")</f>
        <v>HIGH</v>
      </c>
      <c r="N1213" s="9" cm="1">
        <f t="array" ref="N1213">_xlfn.IFS(M1213="HIGH",K1213*L1213,M1213="MEDIUM",K1213*L1213,M1213="LOW","NA")</f>
        <v>2470</v>
      </c>
      <c r="O1213" s="18" t="str">
        <f t="shared" si="56"/>
        <v>still in yard</v>
      </c>
    </row>
    <row r="1214" spans="1:15" x14ac:dyDescent="0.25">
      <c r="A1214" s="17">
        <v>1210</v>
      </c>
      <c r="B1214" s="6" t="s">
        <v>1247</v>
      </c>
      <c r="C1214" s="6" t="s">
        <v>16</v>
      </c>
      <c r="D1214" s="6" t="s">
        <v>17</v>
      </c>
      <c r="E1214" s="6" t="s">
        <v>21</v>
      </c>
      <c r="F1214" s="6" t="s">
        <v>29</v>
      </c>
      <c r="G1214" s="7">
        <v>46171</v>
      </c>
      <c r="H1214" s="6">
        <v>4</v>
      </c>
      <c r="I1214" s="7">
        <v>46172</v>
      </c>
      <c r="J1214" s="7">
        <f t="shared" si="55"/>
        <v>46175</v>
      </c>
      <c r="K1214" s="8">
        <v>150</v>
      </c>
      <c r="L1214" s="9">
        <f t="shared" si="54"/>
        <v>0</v>
      </c>
      <c r="M1214" s="9" t="str" cm="1">
        <f t="array" ref="M1214">_xlfn.IFS(L1214&gt;=10,"HIGH",L1214=0,"LOW",L1214&lt;=9,"MEDIUM")</f>
        <v>LOW</v>
      </c>
      <c r="N1214" s="9" t="str" cm="1">
        <f t="array" ref="N1214">_xlfn.IFS(M1214="HIGH",K1214*L1214,M1214="MEDIUM",K1214*L1214,M1214="LOW","NA")</f>
        <v>NA</v>
      </c>
      <c r="O1214" s="18" t="str">
        <f t="shared" si="56"/>
        <v>cleared</v>
      </c>
    </row>
    <row r="1215" spans="1:15" x14ac:dyDescent="0.25">
      <c r="A1215" s="17">
        <v>1211</v>
      </c>
      <c r="B1215" s="6" t="s">
        <v>1248</v>
      </c>
      <c r="C1215" s="6" t="s">
        <v>33</v>
      </c>
      <c r="D1215" s="6" t="s">
        <v>34</v>
      </c>
      <c r="E1215" s="6" t="s">
        <v>18</v>
      </c>
      <c r="F1215" s="6" t="s">
        <v>29</v>
      </c>
      <c r="G1215" s="7">
        <v>46182</v>
      </c>
      <c r="H1215" s="6">
        <v>3</v>
      </c>
      <c r="I1215" s="6"/>
      <c r="J1215" s="7">
        <f t="shared" si="55"/>
        <v>46185</v>
      </c>
      <c r="K1215" s="8">
        <v>180</v>
      </c>
      <c r="L1215" s="9">
        <f t="shared" si="54"/>
        <v>74</v>
      </c>
      <c r="M1215" s="9" t="str" cm="1">
        <f t="array" ref="M1215">_xlfn.IFS(L1215&gt;=10,"HIGH",L1215=0,"LOW",L1215&lt;=9,"MEDIUM")</f>
        <v>HIGH</v>
      </c>
      <c r="N1215" s="9" cm="1">
        <f t="array" ref="N1215">_xlfn.IFS(M1215="HIGH",K1215*L1215,M1215="MEDIUM",K1215*L1215,M1215="LOW","NA")</f>
        <v>13320</v>
      </c>
      <c r="O1215" s="18" t="str">
        <f t="shared" si="56"/>
        <v>still in yard</v>
      </c>
    </row>
    <row r="1216" spans="1:15" x14ac:dyDescent="0.25">
      <c r="A1216" s="17">
        <v>1212</v>
      </c>
      <c r="B1216" s="6" t="s">
        <v>1249</v>
      </c>
      <c r="C1216" s="6" t="s">
        <v>37</v>
      </c>
      <c r="D1216" s="6" t="s">
        <v>49</v>
      </c>
      <c r="E1216" s="6" t="s">
        <v>21</v>
      </c>
      <c r="F1216" s="6" t="s">
        <v>27</v>
      </c>
      <c r="G1216" s="7">
        <v>46197</v>
      </c>
      <c r="H1216" s="6">
        <v>5</v>
      </c>
      <c r="I1216" s="7">
        <v>46204</v>
      </c>
      <c r="J1216" s="7">
        <f t="shared" si="55"/>
        <v>46202</v>
      </c>
      <c r="K1216" s="8">
        <v>90</v>
      </c>
      <c r="L1216" s="9">
        <f t="shared" si="54"/>
        <v>2</v>
      </c>
      <c r="M1216" s="9" t="str" cm="1">
        <f t="array" ref="M1216">_xlfn.IFS(L1216&gt;=10,"HIGH",L1216=0,"LOW",L1216&lt;=9,"MEDIUM")</f>
        <v>MEDIUM</v>
      </c>
      <c r="N1216" s="9" cm="1">
        <f t="array" ref="N1216">_xlfn.IFS(M1216="HIGH",K1216*L1216,M1216="MEDIUM",K1216*L1216,M1216="LOW","NA")</f>
        <v>180</v>
      </c>
      <c r="O1216" s="18" t="str">
        <f t="shared" si="56"/>
        <v>cleared</v>
      </c>
    </row>
    <row r="1217" spans="1:15" x14ac:dyDescent="0.25">
      <c r="A1217" s="17">
        <v>1213</v>
      </c>
      <c r="B1217" s="6" t="s">
        <v>1250</v>
      </c>
      <c r="C1217" s="6" t="s">
        <v>16</v>
      </c>
      <c r="D1217" s="6" t="s">
        <v>54</v>
      </c>
      <c r="E1217" s="6" t="s">
        <v>42</v>
      </c>
      <c r="F1217" s="6" t="s">
        <v>24</v>
      </c>
      <c r="G1217" s="7">
        <v>46224</v>
      </c>
      <c r="H1217" s="6">
        <v>5</v>
      </c>
      <c r="I1217" s="7">
        <v>46231</v>
      </c>
      <c r="J1217" s="7">
        <f t="shared" si="55"/>
        <v>46229</v>
      </c>
      <c r="K1217" s="8">
        <v>90</v>
      </c>
      <c r="L1217" s="9">
        <f t="shared" si="54"/>
        <v>2</v>
      </c>
      <c r="M1217" s="9" t="str" cm="1">
        <f t="array" ref="M1217">_xlfn.IFS(L1217&gt;=10,"HIGH",L1217=0,"LOW",L1217&lt;=9,"MEDIUM")</f>
        <v>MEDIUM</v>
      </c>
      <c r="N1217" s="9" cm="1">
        <f t="array" ref="N1217">_xlfn.IFS(M1217="HIGH",K1217*L1217,M1217="MEDIUM",K1217*L1217,M1217="LOW","NA")</f>
        <v>180</v>
      </c>
      <c r="O1217" s="18" t="str">
        <f t="shared" si="56"/>
        <v>cleared</v>
      </c>
    </row>
    <row r="1218" spans="1:15" x14ac:dyDescent="0.25">
      <c r="A1218" s="17">
        <v>1214</v>
      </c>
      <c r="B1218" s="6" t="s">
        <v>1251</v>
      </c>
      <c r="C1218" s="6" t="s">
        <v>16</v>
      </c>
      <c r="D1218" s="6" t="s">
        <v>34</v>
      </c>
      <c r="E1218" s="6" t="s">
        <v>42</v>
      </c>
      <c r="F1218" s="6" t="s">
        <v>24</v>
      </c>
      <c r="G1218" s="7">
        <v>46213</v>
      </c>
      <c r="H1218" s="6">
        <v>7</v>
      </c>
      <c r="I1218" s="6"/>
      <c r="J1218" s="7">
        <f t="shared" si="55"/>
        <v>46220</v>
      </c>
      <c r="K1218" s="8">
        <v>60</v>
      </c>
      <c r="L1218" s="9">
        <f t="shared" si="54"/>
        <v>39</v>
      </c>
      <c r="M1218" s="9" t="str" cm="1">
        <f t="array" ref="M1218">_xlfn.IFS(L1218&gt;=10,"HIGH",L1218=0,"LOW",L1218&lt;=9,"MEDIUM")</f>
        <v>HIGH</v>
      </c>
      <c r="N1218" s="9" cm="1">
        <f t="array" ref="N1218">_xlfn.IFS(M1218="HIGH",K1218*L1218,M1218="MEDIUM",K1218*L1218,M1218="LOW","NA")</f>
        <v>2340</v>
      </c>
      <c r="O1218" s="18" t="str">
        <f t="shared" si="56"/>
        <v>still in yard</v>
      </c>
    </row>
    <row r="1219" spans="1:15" x14ac:dyDescent="0.25">
      <c r="A1219" s="17">
        <v>1215</v>
      </c>
      <c r="B1219" s="6" t="s">
        <v>1252</v>
      </c>
      <c r="C1219" s="6" t="s">
        <v>33</v>
      </c>
      <c r="D1219" s="6" t="s">
        <v>26</v>
      </c>
      <c r="E1219" s="6" t="s">
        <v>35</v>
      </c>
      <c r="F1219" s="6" t="s">
        <v>14</v>
      </c>
      <c r="G1219" s="7">
        <v>46241</v>
      </c>
      <c r="H1219" s="6">
        <v>4</v>
      </c>
      <c r="I1219" s="7">
        <v>46244</v>
      </c>
      <c r="J1219" s="7">
        <f t="shared" si="55"/>
        <v>46245</v>
      </c>
      <c r="K1219" s="8">
        <v>90</v>
      </c>
      <c r="L1219" s="9">
        <f t="shared" si="54"/>
        <v>0</v>
      </c>
      <c r="M1219" s="9" t="str" cm="1">
        <f t="array" ref="M1219">_xlfn.IFS(L1219&gt;=10,"HIGH",L1219=0,"LOW",L1219&lt;=9,"MEDIUM")</f>
        <v>LOW</v>
      </c>
      <c r="N1219" s="9" t="str" cm="1">
        <f t="array" ref="N1219">_xlfn.IFS(M1219="HIGH",K1219*L1219,M1219="MEDIUM",K1219*L1219,M1219="LOW","NA")</f>
        <v>NA</v>
      </c>
      <c r="O1219" s="18" t="str">
        <f t="shared" si="56"/>
        <v>cleared</v>
      </c>
    </row>
    <row r="1220" spans="1:15" x14ac:dyDescent="0.25">
      <c r="A1220" s="17">
        <v>1216</v>
      </c>
      <c r="B1220" s="6" t="s">
        <v>1253</v>
      </c>
      <c r="C1220" s="6" t="s">
        <v>16</v>
      </c>
      <c r="D1220" s="6" t="s">
        <v>31</v>
      </c>
      <c r="E1220" s="6" t="s">
        <v>23</v>
      </c>
      <c r="F1220" s="6" t="s">
        <v>14</v>
      </c>
      <c r="G1220" s="7">
        <v>46238</v>
      </c>
      <c r="H1220" s="6">
        <v>6</v>
      </c>
      <c r="I1220" s="7">
        <v>46245</v>
      </c>
      <c r="J1220" s="7">
        <f t="shared" si="55"/>
        <v>46244</v>
      </c>
      <c r="K1220" s="8">
        <v>90</v>
      </c>
      <c r="L1220" s="9">
        <f t="shared" si="54"/>
        <v>1</v>
      </c>
      <c r="M1220" s="9" t="str" cm="1">
        <f t="array" ref="M1220">_xlfn.IFS(L1220&gt;=10,"HIGH",L1220=0,"LOW",L1220&lt;=9,"MEDIUM")</f>
        <v>MEDIUM</v>
      </c>
      <c r="N1220" s="9" cm="1">
        <f t="array" ref="N1220">_xlfn.IFS(M1220="HIGH",K1220*L1220,M1220="MEDIUM",K1220*L1220,M1220="LOW","NA")</f>
        <v>90</v>
      </c>
      <c r="O1220" s="18" t="str">
        <f t="shared" si="56"/>
        <v>cleared</v>
      </c>
    </row>
    <row r="1221" spans="1:15" x14ac:dyDescent="0.25">
      <c r="A1221" s="17">
        <v>1217</v>
      </c>
      <c r="B1221" s="6" t="s">
        <v>1254</v>
      </c>
      <c r="C1221" s="6" t="s">
        <v>16</v>
      </c>
      <c r="D1221" s="6" t="s">
        <v>41</v>
      </c>
      <c r="E1221" s="6" t="s">
        <v>21</v>
      </c>
      <c r="F1221" s="6" t="s">
        <v>24</v>
      </c>
      <c r="G1221" s="7">
        <v>46193</v>
      </c>
      <c r="H1221" s="6">
        <v>7</v>
      </c>
      <c r="I1221" s="7">
        <v>46200</v>
      </c>
      <c r="J1221" s="7">
        <f t="shared" si="55"/>
        <v>46200</v>
      </c>
      <c r="K1221" s="8">
        <v>110</v>
      </c>
      <c r="L1221" s="9">
        <f t="shared" ref="L1221:L1284" si="57">MAX(0, IF(I1221="", $C$2-J1221, I1221-J1221))</f>
        <v>0</v>
      </c>
      <c r="M1221" s="9" t="str" cm="1">
        <f t="array" ref="M1221">_xlfn.IFS(L1221&gt;=10,"HIGH",L1221=0,"LOW",L1221&lt;=9,"MEDIUM")</f>
        <v>LOW</v>
      </c>
      <c r="N1221" s="9" t="str" cm="1">
        <f t="array" ref="N1221">_xlfn.IFS(M1221="HIGH",K1221*L1221,M1221="MEDIUM",K1221*L1221,M1221="LOW","NA")</f>
        <v>NA</v>
      </c>
      <c r="O1221" s="18" t="str">
        <f t="shared" si="56"/>
        <v>cleared</v>
      </c>
    </row>
    <row r="1222" spans="1:15" x14ac:dyDescent="0.25">
      <c r="A1222" s="17">
        <v>1218</v>
      </c>
      <c r="B1222" s="6" t="s">
        <v>1255</v>
      </c>
      <c r="C1222" s="6" t="s">
        <v>33</v>
      </c>
      <c r="D1222" s="6" t="s">
        <v>31</v>
      </c>
      <c r="E1222" s="6" t="s">
        <v>13</v>
      </c>
      <c r="F1222" s="6" t="s">
        <v>24</v>
      </c>
      <c r="G1222" s="7">
        <v>46214</v>
      </c>
      <c r="H1222" s="6">
        <v>5</v>
      </c>
      <c r="I1222" s="7">
        <v>46216</v>
      </c>
      <c r="J1222" s="7">
        <f t="shared" ref="J1222:J1285" si="58">G1222+H1222</f>
        <v>46219</v>
      </c>
      <c r="K1222" s="8">
        <v>90</v>
      </c>
      <c r="L1222" s="9">
        <f t="shared" si="57"/>
        <v>0</v>
      </c>
      <c r="M1222" s="9" t="str" cm="1">
        <f t="array" ref="M1222">_xlfn.IFS(L1222&gt;=10,"HIGH",L1222=0,"LOW",L1222&lt;=9,"MEDIUM")</f>
        <v>LOW</v>
      </c>
      <c r="N1222" s="9" t="str" cm="1">
        <f t="array" ref="N1222">_xlfn.IFS(M1222="HIGH",K1222*L1222,M1222="MEDIUM",K1222*L1222,M1222="LOW","NA")</f>
        <v>NA</v>
      </c>
      <c r="O1222" s="18" t="str">
        <f t="shared" ref="O1222:O1285" si="59">IF(I1222="","still in yard","cleared")</f>
        <v>cleared</v>
      </c>
    </row>
    <row r="1223" spans="1:15" x14ac:dyDescent="0.25">
      <c r="A1223" s="17">
        <v>1219</v>
      </c>
      <c r="B1223" s="6" t="s">
        <v>1256</v>
      </c>
      <c r="C1223" s="6" t="s">
        <v>37</v>
      </c>
      <c r="D1223" s="6" t="s">
        <v>41</v>
      </c>
      <c r="E1223" s="6" t="s">
        <v>18</v>
      </c>
      <c r="F1223" s="6" t="s">
        <v>24</v>
      </c>
      <c r="G1223" s="7">
        <v>46244</v>
      </c>
      <c r="H1223" s="6">
        <v>7</v>
      </c>
      <c r="I1223" s="7">
        <v>46252</v>
      </c>
      <c r="J1223" s="7">
        <f t="shared" si="58"/>
        <v>46251</v>
      </c>
      <c r="K1223" s="8">
        <v>75</v>
      </c>
      <c r="L1223" s="9">
        <f t="shared" si="57"/>
        <v>1</v>
      </c>
      <c r="M1223" s="9" t="str" cm="1">
        <f t="array" ref="M1223">_xlfn.IFS(L1223&gt;=10,"HIGH",L1223=0,"LOW",L1223&lt;=9,"MEDIUM")</f>
        <v>MEDIUM</v>
      </c>
      <c r="N1223" s="9" cm="1">
        <f t="array" ref="N1223">_xlfn.IFS(M1223="HIGH",K1223*L1223,M1223="MEDIUM",K1223*L1223,M1223="LOW","NA")</f>
        <v>75</v>
      </c>
      <c r="O1223" s="18" t="str">
        <f t="shared" si="59"/>
        <v>cleared</v>
      </c>
    </row>
    <row r="1224" spans="1:15" x14ac:dyDescent="0.25">
      <c r="A1224" s="17">
        <v>1220</v>
      </c>
      <c r="B1224" s="6" t="s">
        <v>1257</v>
      </c>
      <c r="C1224" s="6" t="s">
        <v>16</v>
      </c>
      <c r="D1224" s="6" t="s">
        <v>26</v>
      </c>
      <c r="E1224" s="6" t="s">
        <v>35</v>
      </c>
      <c r="F1224" s="6" t="s">
        <v>27</v>
      </c>
      <c r="G1224" s="7">
        <v>46228</v>
      </c>
      <c r="H1224" s="6">
        <v>5</v>
      </c>
      <c r="I1224" s="7">
        <v>46229</v>
      </c>
      <c r="J1224" s="7">
        <f t="shared" si="58"/>
        <v>46233</v>
      </c>
      <c r="K1224" s="8">
        <v>90</v>
      </c>
      <c r="L1224" s="9">
        <f t="shared" si="57"/>
        <v>0</v>
      </c>
      <c r="M1224" s="9" t="str" cm="1">
        <f t="array" ref="M1224">_xlfn.IFS(L1224&gt;=10,"HIGH",L1224=0,"LOW",L1224&lt;=9,"MEDIUM")</f>
        <v>LOW</v>
      </c>
      <c r="N1224" s="9" t="str" cm="1">
        <f t="array" ref="N1224">_xlfn.IFS(M1224="HIGH",K1224*L1224,M1224="MEDIUM",K1224*L1224,M1224="LOW","NA")</f>
        <v>NA</v>
      </c>
      <c r="O1224" s="18" t="str">
        <f t="shared" si="59"/>
        <v>cleared</v>
      </c>
    </row>
    <row r="1225" spans="1:15" x14ac:dyDescent="0.25">
      <c r="A1225" s="17">
        <v>1221</v>
      </c>
      <c r="B1225" s="6" t="s">
        <v>1258</v>
      </c>
      <c r="C1225" s="6" t="s">
        <v>33</v>
      </c>
      <c r="D1225" s="6" t="s">
        <v>41</v>
      </c>
      <c r="E1225" s="6" t="s">
        <v>18</v>
      </c>
      <c r="F1225" s="6" t="s">
        <v>29</v>
      </c>
      <c r="G1225" s="7">
        <v>46178</v>
      </c>
      <c r="H1225" s="6">
        <v>4</v>
      </c>
      <c r="I1225" s="6"/>
      <c r="J1225" s="7">
        <f t="shared" si="58"/>
        <v>46182</v>
      </c>
      <c r="K1225" s="8">
        <v>150</v>
      </c>
      <c r="L1225" s="9">
        <f t="shared" si="57"/>
        <v>77</v>
      </c>
      <c r="M1225" s="9" t="str" cm="1">
        <f t="array" ref="M1225">_xlfn.IFS(L1225&gt;=10,"HIGH",L1225=0,"LOW",L1225&lt;=9,"MEDIUM")</f>
        <v>HIGH</v>
      </c>
      <c r="N1225" s="9" cm="1">
        <f t="array" ref="N1225">_xlfn.IFS(M1225="HIGH",K1225*L1225,M1225="MEDIUM",K1225*L1225,M1225="LOW","NA")</f>
        <v>11550</v>
      </c>
      <c r="O1225" s="18" t="str">
        <f t="shared" si="59"/>
        <v>still in yard</v>
      </c>
    </row>
    <row r="1226" spans="1:15" x14ac:dyDescent="0.25">
      <c r="A1226" s="17">
        <v>1222</v>
      </c>
      <c r="B1226" s="6" t="s">
        <v>1259</v>
      </c>
      <c r="C1226" s="6" t="s">
        <v>37</v>
      </c>
      <c r="D1226" s="6" t="s">
        <v>31</v>
      </c>
      <c r="E1226" s="6" t="s">
        <v>61</v>
      </c>
      <c r="F1226" s="6" t="s">
        <v>29</v>
      </c>
      <c r="G1226" s="7">
        <v>46184</v>
      </c>
      <c r="H1226" s="6">
        <v>3</v>
      </c>
      <c r="I1226" s="6"/>
      <c r="J1226" s="7">
        <f t="shared" si="58"/>
        <v>46187</v>
      </c>
      <c r="K1226" s="8">
        <v>180</v>
      </c>
      <c r="L1226" s="9">
        <f t="shared" si="57"/>
        <v>72</v>
      </c>
      <c r="M1226" s="9" t="str" cm="1">
        <f t="array" ref="M1226">_xlfn.IFS(L1226&gt;=10,"HIGH",L1226=0,"LOW",L1226&lt;=9,"MEDIUM")</f>
        <v>HIGH</v>
      </c>
      <c r="N1226" s="9" cm="1">
        <f t="array" ref="N1226">_xlfn.IFS(M1226="HIGH",K1226*L1226,M1226="MEDIUM",K1226*L1226,M1226="LOW","NA")</f>
        <v>12960</v>
      </c>
      <c r="O1226" s="18" t="str">
        <f t="shared" si="59"/>
        <v>still in yard</v>
      </c>
    </row>
    <row r="1227" spans="1:15" x14ac:dyDescent="0.25">
      <c r="A1227" s="17">
        <v>1223</v>
      </c>
      <c r="B1227" s="6" t="s">
        <v>1260</v>
      </c>
      <c r="C1227" s="6" t="s">
        <v>33</v>
      </c>
      <c r="D1227" s="6" t="s">
        <v>41</v>
      </c>
      <c r="E1227" s="6" t="s">
        <v>46</v>
      </c>
      <c r="F1227" s="6" t="s">
        <v>29</v>
      </c>
      <c r="G1227" s="7">
        <v>46226</v>
      </c>
      <c r="H1227" s="6">
        <v>4</v>
      </c>
      <c r="I1227" s="7">
        <v>46227</v>
      </c>
      <c r="J1227" s="7">
        <f t="shared" si="58"/>
        <v>46230</v>
      </c>
      <c r="K1227" s="8">
        <v>120</v>
      </c>
      <c r="L1227" s="9">
        <f t="shared" si="57"/>
        <v>0</v>
      </c>
      <c r="M1227" s="9" t="str" cm="1">
        <f t="array" ref="M1227">_xlfn.IFS(L1227&gt;=10,"HIGH",L1227=0,"LOW",L1227&lt;=9,"MEDIUM")</f>
        <v>LOW</v>
      </c>
      <c r="N1227" s="9" t="str" cm="1">
        <f t="array" ref="N1227">_xlfn.IFS(M1227="HIGH",K1227*L1227,M1227="MEDIUM",K1227*L1227,M1227="LOW","NA")</f>
        <v>NA</v>
      </c>
      <c r="O1227" s="18" t="str">
        <f t="shared" si="59"/>
        <v>cleared</v>
      </c>
    </row>
    <row r="1228" spans="1:15" x14ac:dyDescent="0.25">
      <c r="A1228" s="17">
        <v>1224</v>
      </c>
      <c r="B1228" s="6" t="s">
        <v>1261</v>
      </c>
      <c r="C1228" s="6" t="s">
        <v>37</v>
      </c>
      <c r="D1228" s="6" t="s">
        <v>41</v>
      </c>
      <c r="E1228" s="6" t="s">
        <v>39</v>
      </c>
      <c r="F1228" s="6" t="s">
        <v>14</v>
      </c>
      <c r="G1228" s="7">
        <v>46188</v>
      </c>
      <c r="H1228" s="6">
        <v>4</v>
      </c>
      <c r="I1228" s="6"/>
      <c r="J1228" s="7">
        <f t="shared" si="58"/>
        <v>46192</v>
      </c>
      <c r="K1228" s="8">
        <v>60</v>
      </c>
      <c r="L1228" s="9">
        <f t="shared" si="57"/>
        <v>67</v>
      </c>
      <c r="M1228" s="9" t="str" cm="1">
        <f t="array" ref="M1228">_xlfn.IFS(L1228&gt;=10,"HIGH",L1228=0,"LOW",L1228&lt;=9,"MEDIUM")</f>
        <v>HIGH</v>
      </c>
      <c r="N1228" s="9" cm="1">
        <f t="array" ref="N1228">_xlfn.IFS(M1228="HIGH",K1228*L1228,M1228="MEDIUM",K1228*L1228,M1228="LOW","NA")</f>
        <v>4020</v>
      </c>
      <c r="O1228" s="18" t="str">
        <f t="shared" si="59"/>
        <v>still in yard</v>
      </c>
    </row>
    <row r="1229" spans="1:15" x14ac:dyDescent="0.25">
      <c r="A1229" s="17">
        <v>1225</v>
      </c>
      <c r="B1229" s="6" t="s">
        <v>1262</v>
      </c>
      <c r="C1229" s="6" t="s">
        <v>33</v>
      </c>
      <c r="D1229" s="6" t="s">
        <v>41</v>
      </c>
      <c r="E1229" s="6" t="s">
        <v>13</v>
      </c>
      <c r="F1229" s="6" t="s">
        <v>14</v>
      </c>
      <c r="G1229" s="7">
        <v>46180</v>
      </c>
      <c r="H1229" s="6">
        <v>5</v>
      </c>
      <c r="I1229" s="6"/>
      <c r="J1229" s="7">
        <f t="shared" si="58"/>
        <v>46185</v>
      </c>
      <c r="K1229" s="8">
        <v>130</v>
      </c>
      <c r="L1229" s="9">
        <f t="shared" si="57"/>
        <v>74</v>
      </c>
      <c r="M1229" s="9" t="str" cm="1">
        <f t="array" ref="M1229">_xlfn.IFS(L1229&gt;=10,"HIGH",L1229=0,"LOW",L1229&lt;=9,"MEDIUM")</f>
        <v>HIGH</v>
      </c>
      <c r="N1229" s="9" cm="1">
        <f t="array" ref="N1229">_xlfn.IFS(M1229="HIGH",K1229*L1229,M1229="MEDIUM",K1229*L1229,M1229="LOW","NA")</f>
        <v>9620</v>
      </c>
      <c r="O1229" s="18" t="str">
        <f t="shared" si="59"/>
        <v>still in yard</v>
      </c>
    </row>
    <row r="1230" spans="1:15" x14ac:dyDescent="0.25">
      <c r="A1230" s="17">
        <v>1226</v>
      </c>
      <c r="B1230" s="6" t="s">
        <v>1263</v>
      </c>
      <c r="C1230" s="6" t="s">
        <v>16</v>
      </c>
      <c r="D1230" s="6" t="s">
        <v>41</v>
      </c>
      <c r="E1230" s="6" t="s">
        <v>42</v>
      </c>
      <c r="F1230" s="6" t="s">
        <v>24</v>
      </c>
      <c r="G1230" s="7">
        <v>46201</v>
      </c>
      <c r="H1230" s="6">
        <v>7</v>
      </c>
      <c r="I1230" s="6"/>
      <c r="J1230" s="7">
        <f t="shared" si="58"/>
        <v>46208</v>
      </c>
      <c r="K1230" s="8">
        <v>130</v>
      </c>
      <c r="L1230" s="9">
        <f t="shared" si="57"/>
        <v>51</v>
      </c>
      <c r="M1230" s="9" t="str" cm="1">
        <f t="array" ref="M1230">_xlfn.IFS(L1230&gt;=10,"HIGH",L1230=0,"LOW",L1230&lt;=9,"MEDIUM")</f>
        <v>HIGH</v>
      </c>
      <c r="N1230" s="9" cm="1">
        <f t="array" ref="N1230">_xlfn.IFS(M1230="HIGH",K1230*L1230,M1230="MEDIUM",K1230*L1230,M1230="LOW","NA")</f>
        <v>6630</v>
      </c>
      <c r="O1230" s="18" t="str">
        <f t="shared" si="59"/>
        <v>still in yard</v>
      </c>
    </row>
    <row r="1231" spans="1:15" x14ac:dyDescent="0.25">
      <c r="A1231" s="17">
        <v>1227</v>
      </c>
      <c r="B1231" s="6" t="s">
        <v>1264</v>
      </c>
      <c r="C1231" s="6" t="s">
        <v>16</v>
      </c>
      <c r="D1231" s="6" t="s">
        <v>20</v>
      </c>
      <c r="E1231" s="6" t="s">
        <v>18</v>
      </c>
      <c r="F1231" s="6" t="s">
        <v>29</v>
      </c>
      <c r="G1231" s="7">
        <v>46238</v>
      </c>
      <c r="H1231" s="6">
        <v>3</v>
      </c>
      <c r="I1231" s="7">
        <v>46239</v>
      </c>
      <c r="J1231" s="7">
        <f t="shared" si="58"/>
        <v>46241</v>
      </c>
      <c r="K1231" s="8">
        <v>180</v>
      </c>
      <c r="L1231" s="9">
        <f t="shared" si="57"/>
        <v>0</v>
      </c>
      <c r="M1231" s="9" t="str" cm="1">
        <f t="array" ref="M1231">_xlfn.IFS(L1231&gt;=10,"HIGH",L1231=0,"LOW",L1231&lt;=9,"MEDIUM")</f>
        <v>LOW</v>
      </c>
      <c r="N1231" s="9" t="str" cm="1">
        <f t="array" ref="N1231">_xlfn.IFS(M1231="HIGH",K1231*L1231,M1231="MEDIUM",K1231*L1231,M1231="LOW","NA")</f>
        <v>NA</v>
      </c>
      <c r="O1231" s="18" t="str">
        <f t="shared" si="59"/>
        <v>cleared</v>
      </c>
    </row>
    <row r="1232" spans="1:15" x14ac:dyDescent="0.25">
      <c r="A1232" s="17">
        <v>1228</v>
      </c>
      <c r="B1232" s="6" t="s">
        <v>1265</v>
      </c>
      <c r="C1232" s="6" t="s">
        <v>37</v>
      </c>
      <c r="D1232" s="6" t="s">
        <v>26</v>
      </c>
      <c r="E1232" s="6" t="s">
        <v>21</v>
      </c>
      <c r="F1232" s="6" t="s">
        <v>14</v>
      </c>
      <c r="G1232" s="7">
        <v>46249</v>
      </c>
      <c r="H1232" s="6">
        <v>5</v>
      </c>
      <c r="I1232" s="7">
        <v>46251</v>
      </c>
      <c r="J1232" s="7">
        <f t="shared" si="58"/>
        <v>46254</v>
      </c>
      <c r="K1232" s="8">
        <v>110</v>
      </c>
      <c r="L1232" s="9">
        <f t="shared" si="57"/>
        <v>0</v>
      </c>
      <c r="M1232" s="9" t="str" cm="1">
        <f t="array" ref="M1232">_xlfn.IFS(L1232&gt;=10,"HIGH",L1232=0,"LOW",L1232&lt;=9,"MEDIUM")</f>
        <v>LOW</v>
      </c>
      <c r="N1232" s="9" t="str" cm="1">
        <f t="array" ref="N1232">_xlfn.IFS(M1232="HIGH",K1232*L1232,M1232="MEDIUM",K1232*L1232,M1232="LOW","NA")</f>
        <v>NA</v>
      </c>
      <c r="O1232" s="18" t="str">
        <f t="shared" si="59"/>
        <v>cleared</v>
      </c>
    </row>
    <row r="1233" spans="1:15" x14ac:dyDescent="0.25">
      <c r="A1233" s="17">
        <v>1229</v>
      </c>
      <c r="B1233" s="6" t="s">
        <v>1266</v>
      </c>
      <c r="C1233" s="6" t="s">
        <v>37</v>
      </c>
      <c r="D1233" s="6" t="s">
        <v>54</v>
      </c>
      <c r="E1233" s="6" t="s">
        <v>42</v>
      </c>
      <c r="F1233" s="6" t="s">
        <v>27</v>
      </c>
      <c r="G1233" s="7">
        <v>46236</v>
      </c>
      <c r="H1233" s="6">
        <v>7</v>
      </c>
      <c r="I1233" s="7">
        <v>46240</v>
      </c>
      <c r="J1233" s="7">
        <f t="shared" si="58"/>
        <v>46243</v>
      </c>
      <c r="K1233" s="8">
        <v>130</v>
      </c>
      <c r="L1233" s="9">
        <f t="shared" si="57"/>
        <v>0</v>
      </c>
      <c r="M1233" s="9" t="str" cm="1">
        <f t="array" ref="M1233">_xlfn.IFS(L1233&gt;=10,"HIGH",L1233=0,"LOW",L1233&lt;=9,"MEDIUM")</f>
        <v>LOW</v>
      </c>
      <c r="N1233" s="9" t="str" cm="1">
        <f t="array" ref="N1233">_xlfn.IFS(M1233="HIGH",K1233*L1233,M1233="MEDIUM",K1233*L1233,M1233="LOW","NA")</f>
        <v>NA</v>
      </c>
      <c r="O1233" s="18" t="str">
        <f t="shared" si="59"/>
        <v>cleared</v>
      </c>
    </row>
    <row r="1234" spans="1:15" x14ac:dyDescent="0.25">
      <c r="A1234" s="17">
        <v>1230</v>
      </c>
      <c r="B1234" s="6" t="s">
        <v>1267</v>
      </c>
      <c r="C1234" s="6" t="s">
        <v>11</v>
      </c>
      <c r="D1234" s="6" t="s">
        <v>34</v>
      </c>
      <c r="E1234" s="6" t="s">
        <v>42</v>
      </c>
      <c r="F1234" s="6" t="s">
        <v>14</v>
      </c>
      <c r="G1234" s="7">
        <v>46258</v>
      </c>
      <c r="H1234" s="6">
        <v>5</v>
      </c>
      <c r="I1234" s="7">
        <v>46259</v>
      </c>
      <c r="J1234" s="7">
        <f t="shared" si="58"/>
        <v>46263</v>
      </c>
      <c r="K1234" s="8">
        <v>75</v>
      </c>
      <c r="L1234" s="9">
        <f t="shared" si="57"/>
        <v>0</v>
      </c>
      <c r="M1234" s="9" t="str" cm="1">
        <f t="array" ref="M1234">_xlfn.IFS(L1234&gt;=10,"HIGH",L1234=0,"LOW",L1234&lt;=9,"MEDIUM")</f>
        <v>LOW</v>
      </c>
      <c r="N1234" s="9" t="str" cm="1">
        <f t="array" ref="N1234">_xlfn.IFS(M1234="HIGH",K1234*L1234,M1234="MEDIUM",K1234*L1234,M1234="LOW","NA")</f>
        <v>NA</v>
      </c>
      <c r="O1234" s="18" t="str">
        <f t="shared" si="59"/>
        <v>cleared</v>
      </c>
    </row>
    <row r="1235" spans="1:15" x14ac:dyDescent="0.25">
      <c r="A1235" s="17">
        <v>1231</v>
      </c>
      <c r="B1235" s="6" t="s">
        <v>1268</v>
      </c>
      <c r="C1235" s="6" t="s">
        <v>33</v>
      </c>
      <c r="D1235" s="6" t="s">
        <v>12</v>
      </c>
      <c r="E1235" s="6" t="s">
        <v>42</v>
      </c>
      <c r="F1235" s="6" t="s">
        <v>24</v>
      </c>
      <c r="G1235" s="7">
        <v>46179</v>
      </c>
      <c r="H1235" s="6">
        <v>4</v>
      </c>
      <c r="I1235" s="7">
        <v>46185</v>
      </c>
      <c r="J1235" s="7">
        <f t="shared" si="58"/>
        <v>46183</v>
      </c>
      <c r="K1235" s="8">
        <v>110</v>
      </c>
      <c r="L1235" s="9">
        <f t="shared" si="57"/>
        <v>2</v>
      </c>
      <c r="M1235" s="9" t="str" cm="1">
        <f t="array" ref="M1235">_xlfn.IFS(L1235&gt;=10,"HIGH",L1235=0,"LOW",L1235&lt;=9,"MEDIUM")</f>
        <v>MEDIUM</v>
      </c>
      <c r="N1235" s="9" cm="1">
        <f t="array" ref="N1235">_xlfn.IFS(M1235="HIGH",K1235*L1235,M1235="MEDIUM",K1235*L1235,M1235="LOW","NA")</f>
        <v>220</v>
      </c>
      <c r="O1235" s="18" t="str">
        <f t="shared" si="59"/>
        <v>cleared</v>
      </c>
    </row>
    <row r="1236" spans="1:15" x14ac:dyDescent="0.25">
      <c r="A1236" s="17">
        <v>1232</v>
      </c>
      <c r="B1236" s="6" t="s">
        <v>1269</v>
      </c>
      <c r="C1236" s="6" t="s">
        <v>37</v>
      </c>
      <c r="D1236" s="6" t="s">
        <v>26</v>
      </c>
      <c r="E1236" s="6" t="s">
        <v>61</v>
      </c>
      <c r="F1236" s="6" t="s">
        <v>14</v>
      </c>
      <c r="G1236" s="7">
        <v>46216</v>
      </c>
      <c r="H1236" s="6">
        <v>6</v>
      </c>
      <c r="I1236" s="6"/>
      <c r="J1236" s="7">
        <f t="shared" si="58"/>
        <v>46222</v>
      </c>
      <c r="K1236" s="8">
        <v>110</v>
      </c>
      <c r="L1236" s="9">
        <f t="shared" si="57"/>
        <v>37</v>
      </c>
      <c r="M1236" s="9" t="str" cm="1">
        <f t="array" ref="M1236">_xlfn.IFS(L1236&gt;=10,"HIGH",L1236=0,"LOW",L1236&lt;=9,"MEDIUM")</f>
        <v>HIGH</v>
      </c>
      <c r="N1236" s="9" cm="1">
        <f t="array" ref="N1236">_xlfn.IFS(M1236="HIGH",K1236*L1236,M1236="MEDIUM",K1236*L1236,M1236="LOW","NA")</f>
        <v>4070</v>
      </c>
      <c r="O1236" s="18" t="str">
        <f t="shared" si="59"/>
        <v>still in yard</v>
      </c>
    </row>
    <row r="1237" spans="1:15" x14ac:dyDescent="0.25">
      <c r="A1237" s="17">
        <v>1233</v>
      </c>
      <c r="B1237" s="6" t="s">
        <v>1270</v>
      </c>
      <c r="C1237" s="6" t="s">
        <v>37</v>
      </c>
      <c r="D1237" s="6" t="s">
        <v>49</v>
      </c>
      <c r="E1237" s="6" t="s">
        <v>44</v>
      </c>
      <c r="F1237" s="6" t="s">
        <v>24</v>
      </c>
      <c r="G1237" s="7">
        <v>46246</v>
      </c>
      <c r="H1237" s="6">
        <v>4</v>
      </c>
      <c r="I1237" s="6"/>
      <c r="J1237" s="7">
        <f t="shared" si="58"/>
        <v>46250</v>
      </c>
      <c r="K1237" s="8">
        <v>130</v>
      </c>
      <c r="L1237" s="9">
        <f t="shared" si="57"/>
        <v>9</v>
      </c>
      <c r="M1237" s="9" t="str" cm="1">
        <f t="array" ref="M1237">_xlfn.IFS(L1237&gt;=10,"HIGH",L1237=0,"LOW",L1237&lt;=9,"MEDIUM")</f>
        <v>MEDIUM</v>
      </c>
      <c r="N1237" s="9" cm="1">
        <f t="array" ref="N1237">_xlfn.IFS(M1237="HIGH",K1237*L1237,M1237="MEDIUM",K1237*L1237,M1237="LOW","NA")</f>
        <v>1170</v>
      </c>
      <c r="O1237" s="18" t="str">
        <f t="shared" si="59"/>
        <v>still in yard</v>
      </c>
    </row>
    <row r="1238" spans="1:15" x14ac:dyDescent="0.25">
      <c r="A1238" s="17">
        <v>1234</v>
      </c>
      <c r="B1238" s="6" t="s">
        <v>1271</v>
      </c>
      <c r="C1238" s="6" t="s">
        <v>37</v>
      </c>
      <c r="D1238" s="6" t="s">
        <v>12</v>
      </c>
      <c r="E1238" s="6" t="s">
        <v>46</v>
      </c>
      <c r="F1238" s="6" t="s">
        <v>27</v>
      </c>
      <c r="G1238" s="7">
        <v>46213</v>
      </c>
      <c r="H1238" s="6">
        <v>5</v>
      </c>
      <c r="I1238" s="7">
        <v>46217</v>
      </c>
      <c r="J1238" s="7">
        <f t="shared" si="58"/>
        <v>46218</v>
      </c>
      <c r="K1238" s="8">
        <v>110</v>
      </c>
      <c r="L1238" s="9">
        <f t="shared" si="57"/>
        <v>0</v>
      </c>
      <c r="M1238" s="9" t="str" cm="1">
        <f t="array" ref="M1238">_xlfn.IFS(L1238&gt;=10,"HIGH",L1238=0,"LOW",L1238&lt;=9,"MEDIUM")</f>
        <v>LOW</v>
      </c>
      <c r="N1238" s="9" t="str" cm="1">
        <f t="array" ref="N1238">_xlfn.IFS(M1238="HIGH",K1238*L1238,M1238="MEDIUM",K1238*L1238,M1238="LOW","NA")</f>
        <v>NA</v>
      </c>
      <c r="O1238" s="18" t="str">
        <f t="shared" si="59"/>
        <v>cleared</v>
      </c>
    </row>
    <row r="1239" spans="1:15" x14ac:dyDescent="0.25">
      <c r="A1239" s="17">
        <v>1235</v>
      </c>
      <c r="B1239" s="6" t="s">
        <v>1272</v>
      </c>
      <c r="C1239" s="6" t="s">
        <v>16</v>
      </c>
      <c r="D1239" s="6" t="s">
        <v>34</v>
      </c>
      <c r="E1239" s="6" t="s">
        <v>46</v>
      </c>
      <c r="F1239" s="6" t="s">
        <v>24</v>
      </c>
      <c r="G1239" s="7">
        <v>46240</v>
      </c>
      <c r="H1239" s="6">
        <v>6</v>
      </c>
      <c r="I1239" s="7">
        <v>46241</v>
      </c>
      <c r="J1239" s="7">
        <f t="shared" si="58"/>
        <v>46246</v>
      </c>
      <c r="K1239" s="8">
        <v>90</v>
      </c>
      <c r="L1239" s="9">
        <f t="shared" si="57"/>
        <v>0</v>
      </c>
      <c r="M1239" s="9" t="str" cm="1">
        <f t="array" ref="M1239">_xlfn.IFS(L1239&gt;=10,"HIGH",L1239=0,"LOW",L1239&lt;=9,"MEDIUM")</f>
        <v>LOW</v>
      </c>
      <c r="N1239" s="9" t="str" cm="1">
        <f t="array" ref="N1239">_xlfn.IFS(M1239="HIGH",K1239*L1239,M1239="MEDIUM",K1239*L1239,M1239="LOW","NA")</f>
        <v>NA</v>
      </c>
      <c r="O1239" s="18" t="str">
        <f t="shared" si="59"/>
        <v>cleared</v>
      </c>
    </row>
    <row r="1240" spans="1:15" x14ac:dyDescent="0.25">
      <c r="A1240" s="17">
        <v>1236</v>
      </c>
      <c r="B1240" s="6" t="s">
        <v>1273</v>
      </c>
      <c r="C1240" s="6" t="s">
        <v>16</v>
      </c>
      <c r="D1240" s="6" t="s">
        <v>12</v>
      </c>
      <c r="E1240" s="6" t="s">
        <v>21</v>
      </c>
      <c r="F1240" s="6" t="s">
        <v>14</v>
      </c>
      <c r="G1240" s="7">
        <v>46222</v>
      </c>
      <c r="H1240" s="6">
        <v>5</v>
      </c>
      <c r="I1240" s="7">
        <v>46226</v>
      </c>
      <c r="J1240" s="7">
        <f t="shared" si="58"/>
        <v>46227</v>
      </c>
      <c r="K1240" s="8">
        <v>110</v>
      </c>
      <c r="L1240" s="9">
        <f t="shared" si="57"/>
        <v>0</v>
      </c>
      <c r="M1240" s="9" t="str" cm="1">
        <f t="array" ref="M1240">_xlfn.IFS(L1240&gt;=10,"HIGH",L1240=0,"LOW",L1240&lt;=9,"MEDIUM")</f>
        <v>LOW</v>
      </c>
      <c r="N1240" s="9" t="str" cm="1">
        <f t="array" ref="N1240">_xlfn.IFS(M1240="HIGH",K1240*L1240,M1240="MEDIUM",K1240*L1240,M1240="LOW","NA")</f>
        <v>NA</v>
      </c>
      <c r="O1240" s="18" t="str">
        <f t="shared" si="59"/>
        <v>cleared</v>
      </c>
    </row>
    <row r="1241" spans="1:15" x14ac:dyDescent="0.25">
      <c r="A1241" s="17">
        <v>1237</v>
      </c>
      <c r="B1241" s="6" t="s">
        <v>1274</v>
      </c>
      <c r="C1241" s="6" t="s">
        <v>16</v>
      </c>
      <c r="D1241" s="6" t="s">
        <v>34</v>
      </c>
      <c r="E1241" s="6" t="s">
        <v>61</v>
      </c>
      <c r="F1241" s="6" t="s">
        <v>24</v>
      </c>
      <c r="G1241" s="7">
        <v>46245</v>
      </c>
      <c r="H1241" s="6">
        <v>6</v>
      </c>
      <c r="I1241" s="7">
        <v>46254</v>
      </c>
      <c r="J1241" s="7">
        <f t="shared" si="58"/>
        <v>46251</v>
      </c>
      <c r="K1241" s="8">
        <v>60</v>
      </c>
      <c r="L1241" s="9">
        <f t="shared" si="57"/>
        <v>3</v>
      </c>
      <c r="M1241" s="9" t="str" cm="1">
        <f t="array" ref="M1241">_xlfn.IFS(L1241&gt;=10,"HIGH",L1241=0,"LOW",L1241&lt;=9,"MEDIUM")</f>
        <v>MEDIUM</v>
      </c>
      <c r="N1241" s="9" cm="1">
        <f t="array" ref="N1241">_xlfn.IFS(M1241="HIGH",K1241*L1241,M1241="MEDIUM",K1241*L1241,M1241="LOW","NA")</f>
        <v>180</v>
      </c>
      <c r="O1241" s="18" t="str">
        <f t="shared" si="59"/>
        <v>cleared</v>
      </c>
    </row>
    <row r="1242" spans="1:15" x14ac:dyDescent="0.25">
      <c r="A1242" s="17">
        <v>1238</v>
      </c>
      <c r="B1242" s="6" t="s">
        <v>1275</v>
      </c>
      <c r="C1242" s="6" t="s">
        <v>33</v>
      </c>
      <c r="D1242" s="6" t="s">
        <v>12</v>
      </c>
      <c r="E1242" s="6" t="s">
        <v>18</v>
      </c>
      <c r="F1242" s="6" t="s">
        <v>14</v>
      </c>
      <c r="G1242" s="7">
        <v>46208</v>
      </c>
      <c r="H1242" s="6">
        <v>4</v>
      </c>
      <c r="I1242" s="7">
        <v>46214</v>
      </c>
      <c r="J1242" s="7">
        <f t="shared" si="58"/>
        <v>46212</v>
      </c>
      <c r="K1242" s="8">
        <v>60</v>
      </c>
      <c r="L1242" s="9">
        <f t="shared" si="57"/>
        <v>2</v>
      </c>
      <c r="M1242" s="9" t="str" cm="1">
        <f t="array" ref="M1242">_xlfn.IFS(L1242&gt;=10,"HIGH",L1242=0,"LOW",L1242&lt;=9,"MEDIUM")</f>
        <v>MEDIUM</v>
      </c>
      <c r="N1242" s="9" cm="1">
        <f t="array" ref="N1242">_xlfn.IFS(M1242="HIGH",K1242*L1242,M1242="MEDIUM",K1242*L1242,M1242="LOW","NA")</f>
        <v>120</v>
      </c>
      <c r="O1242" s="18" t="str">
        <f t="shared" si="59"/>
        <v>cleared</v>
      </c>
    </row>
    <row r="1243" spans="1:15" x14ac:dyDescent="0.25">
      <c r="A1243" s="17">
        <v>1239</v>
      </c>
      <c r="B1243" s="6" t="s">
        <v>1276</v>
      </c>
      <c r="C1243" s="6" t="s">
        <v>11</v>
      </c>
      <c r="D1243" s="6" t="s">
        <v>49</v>
      </c>
      <c r="E1243" s="6" t="s">
        <v>13</v>
      </c>
      <c r="F1243" s="6" t="s">
        <v>27</v>
      </c>
      <c r="G1243" s="7">
        <v>46204</v>
      </c>
      <c r="H1243" s="6">
        <v>4</v>
      </c>
      <c r="I1243" s="6"/>
      <c r="J1243" s="7">
        <f t="shared" si="58"/>
        <v>46208</v>
      </c>
      <c r="K1243" s="8">
        <v>110</v>
      </c>
      <c r="L1243" s="9">
        <f t="shared" si="57"/>
        <v>51</v>
      </c>
      <c r="M1243" s="9" t="str" cm="1">
        <f t="array" ref="M1243">_xlfn.IFS(L1243&gt;=10,"HIGH",L1243=0,"LOW",L1243&lt;=9,"MEDIUM")</f>
        <v>HIGH</v>
      </c>
      <c r="N1243" s="9" cm="1">
        <f t="array" ref="N1243">_xlfn.IFS(M1243="HIGH",K1243*L1243,M1243="MEDIUM",K1243*L1243,M1243="LOW","NA")</f>
        <v>5610</v>
      </c>
      <c r="O1243" s="18" t="str">
        <f t="shared" si="59"/>
        <v>still in yard</v>
      </c>
    </row>
    <row r="1244" spans="1:15" x14ac:dyDescent="0.25">
      <c r="A1244" s="17">
        <v>1240</v>
      </c>
      <c r="B1244" s="6" t="s">
        <v>1277</v>
      </c>
      <c r="C1244" s="6" t="s">
        <v>11</v>
      </c>
      <c r="D1244" s="6" t="s">
        <v>26</v>
      </c>
      <c r="E1244" s="6" t="s">
        <v>39</v>
      </c>
      <c r="F1244" s="6" t="s">
        <v>14</v>
      </c>
      <c r="G1244" s="7">
        <v>46256</v>
      </c>
      <c r="H1244" s="6">
        <v>5</v>
      </c>
      <c r="I1244" s="7">
        <v>46257</v>
      </c>
      <c r="J1244" s="7">
        <f t="shared" si="58"/>
        <v>46261</v>
      </c>
      <c r="K1244" s="8">
        <v>75</v>
      </c>
      <c r="L1244" s="9">
        <f t="shared" si="57"/>
        <v>0</v>
      </c>
      <c r="M1244" s="9" t="str" cm="1">
        <f t="array" ref="M1244">_xlfn.IFS(L1244&gt;=10,"HIGH",L1244=0,"LOW",L1244&lt;=9,"MEDIUM")</f>
        <v>LOW</v>
      </c>
      <c r="N1244" s="9" t="str" cm="1">
        <f t="array" ref="N1244">_xlfn.IFS(M1244="HIGH",K1244*L1244,M1244="MEDIUM",K1244*L1244,M1244="LOW","NA")</f>
        <v>NA</v>
      </c>
      <c r="O1244" s="18" t="str">
        <f t="shared" si="59"/>
        <v>cleared</v>
      </c>
    </row>
    <row r="1245" spans="1:15" x14ac:dyDescent="0.25">
      <c r="A1245" s="17">
        <v>1241</v>
      </c>
      <c r="B1245" s="6" t="s">
        <v>1278</v>
      </c>
      <c r="C1245" s="6" t="s">
        <v>11</v>
      </c>
      <c r="D1245" s="6" t="s">
        <v>12</v>
      </c>
      <c r="E1245" s="6" t="s">
        <v>61</v>
      </c>
      <c r="F1245" s="6" t="s">
        <v>14</v>
      </c>
      <c r="G1245" s="7">
        <v>46218</v>
      </c>
      <c r="H1245" s="6">
        <v>5</v>
      </c>
      <c r="I1245" s="7">
        <v>46219</v>
      </c>
      <c r="J1245" s="7">
        <f t="shared" si="58"/>
        <v>46223</v>
      </c>
      <c r="K1245" s="8">
        <v>60</v>
      </c>
      <c r="L1245" s="9">
        <f t="shared" si="57"/>
        <v>0</v>
      </c>
      <c r="M1245" s="9" t="str" cm="1">
        <f t="array" ref="M1245">_xlfn.IFS(L1245&gt;=10,"HIGH",L1245=0,"LOW",L1245&lt;=9,"MEDIUM")</f>
        <v>LOW</v>
      </c>
      <c r="N1245" s="9" t="str" cm="1">
        <f t="array" ref="N1245">_xlfn.IFS(M1245="HIGH",K1245*L1245,M1245="MEDIUM",K1245*L1245,M1245="LOW","NA")</f>
        <v>NA</v>
      </c>
      <c r="O1245" s="18" t="str">
        <f t="shared" si="59"/>
        <v>cleared</v>
      </c>
    </row>
    <row r="1246" spans="1:15" x14ac:dyDescent="0.25">
      <c r="A1246" s="17">
        <v>1242</v>
      </c>
      <c r="B1246" s="6" t="s">
        <v>1279</v>
      </c>
      <c r="C1246" s="6" t="s">
        <v>11</v>
      </c>
      <c r="D1246" s="6" t="s">
        <v>26</v>
      </c>
      <c r="E1246" s="6" t="s">
        <v>46</v>
      </c>
      <c r="F1246" s="6" t="s">
        <v>29</v>
      </c>
      <c r="G1246" s="7">
        <v>46196</v>
      </c>
      <c r="H1246" s="6">
        <v>4</v>
      </c>
      <c r="I1246" s="7">
        <v>46203</v>
      </c>
      <c r="J1246" s="7">
        <f t="shared" si="58"/>
        <v>46200</v>
      </c>
      <c r="K1246" s="8">
        <v>180</v>
      </c>
      <c r="L1246" s="9">
        <f t="shared" si="57"/>
        <v>3</v>
      </c>
      <c r="M1246" s="9" t="str" cm="1">
        <f t="array" ref="M1246">_xlfn.IFS(L1246&gt;=10,"HIGH",L1246=0,"LOW",L1246&lt;=9,"MEDIUM")</f>
        <v>MEDIUM</v>
      </c>
      <c r="N1246" s="9" cm="1">
        <f t="array" ref="N1246">_xlfn.IFS(M1246="HIGH",K1246*L1246,M1246="MEDIUM",K1246*L1246,M1246="LOW","NA")</f>
        <v>540</v>
      </c>
      <c r="O1246" s="18" t="str">
        <f t="shared" si="59"/>
        <v>cleared</v>
      </c>
    </row>
    <row r="1247" spans="1:15" x14ac:dyDescent="0.25">
      <c r="A1247" s="17">
        <v>1243</v>
      </c>
      <c r="B1247" s="6" t="s">
        <v>1280</v>
      </c>
      <c r="C1247" s="6" t="s">
        <v>33</v>
      </c>
      <c r="D1247" s="6" t="s">
        <v>26</v>
      </c>
      <c r="E1247" s="6" t="s">
        <v>46</v>
      </c>
      <c r="F1247" s="6" t="s">
        <v>27</v>
      </c>
      <c r="G1247" s="7">
        <v>46189</v>
      </c>
      <c r="H1247" s="6">
        <v>7</v>
      </c>
      <c r="I1247" s="7">
        <v>46194</v>
      </c>
      <c r="J1247" s="7">
        <f t="shared" si="58"/>
        <v>46196</v>
      </c>
      <c r="K1247" s="8">
        <v>75</v>
      </c>
      <c r="L1247" s="9">
        <f t="shared" si="57"/>
        <v>0</v>
      </c>
      <c r="M1247" s="9" t="str" cm="1">
        <f t="array" ref="M1247">_xlfn.IFS(L1247&gt;=10,"HIGH",L1247=0,"LOW",L1247&lt;=9,"MEDIUM")</f>
        <v>LOW</v>
      </c>
      <c r="N1247" s="9" t="str" cm="1">
        <f t="array" ref="N1247">_xlfn.IFS(M1247="HIGH",K1247*L1247,M1247="MEDIUM",K1247*L1247,M1247="LOW","NA")</f>
        <v>NA</v>
      </c>
      <c r="O1247" s="18" t="str">
        <f t="shared" si="59"/>
        <v>cleared</v>
      </c>
    </row>
    <row r="1248" spans="1:15" x14ac:dyDescent="0.25">
      <c r="A1248" s="17">
        <v>1244</v>
      </c>
      <c r="B1248" s="6" t="s">
        <v>1281</v>
      </c>
      <c r="C1248" s="6" t="s">
        <v>16</v>
      </c>
      <c r="D1248" s="6" t="s">
        <v>49</v>
      </c>
      <c r="E1248" s="6" t="s">
        <v>42</v>
      </c>
      <c r="F1248" s="6" t="s">
        <v>27</v>
      </c>
      <c r="G1248" s="7">
        <v>46176</v>
      </c>
      <c r="H1248" s="6">
        <v>5</v>
      </c>
      <c r="I1248" s="6"/>
      <c r="J1248" s="7">
        <f t="shared" si="58"/>
        <v>46181</v>
      </c>
      <c r="K1248" s="8">
        <v>60</v>
      </c>
      <c r="L1248" s="9">
        <f t="shared" si="57"/>
        <v>78</v>
      </c>
      <c r="M1248" s="9" t="str" cm="1">
        <f t="array" ref="M1248">_xlfn.IFS(L1248&gt;=10,"HIGH",L1248=0,"LOW",L1248&lt;=9,"MEDIUM")</f>
        <v>HIGH</v>
      </c>
      <c r="N1248" s="9" cm="1">
        <f t="array" ref="N1248">_xlfn.IFS(M1248="HIGH",K1248*L1248,M1248="MEDIUM",K1248*L1248,M1248="LOW","NA")</f>
        <v>4680</v>
      </c>
      <c r="O1248" s="18" t="str">
        <f t="shared" si="59"/>
        <v>still in yard</v>
      </c>
    </row>
    <row r="1249" spans="1:15" x14ac:dyDescent="0.25">
      <c r="A1249" s="17">
        <v>1245</v>
      </c>
      <c r="B1249" s="6" t="s">
        <v>1282</v>
      </c>
      <c r="C1249" s="6" t="s">
        <v>33</v>
      </c>
      <c r="D1249" s="6" t="s">
        <v>56</v>
      </c>
      <c r="E1249" s="6" t="s">
        <v>35</v>
      </c>
      <c r="F1249" s="6" t="s">
        <v>14</v>
      </c>
      <c r="G1249" s="7">
        <v>46171</v>
      </c>
      <c r="H1249" s="6">
        <v>7</v>
      </c>
      <c r="I1249" s="7">
        <v>46172</v>
      </c>
      <c r="J1249" s="7">
        <f t="shared" si="58"/>
        <v>46178</v>
      </c>
      <c r="K1249" s="8">
        <v>60</v>
      </c>
      <c r="L1249" s="9">
        <f t="shared" si="57"/>
        <v>0</v>
      </c>
      <c r="M1249" s="9" t="str" cm="1">
        <f t="array" ref="M1249">_xlfn.IFS(L1249&gt;=10,"HIGH",L1249=0,"LOW",L1249&lt;=9,"MEDIUM")</f>
        <v>LOW</v>
      </c>
      <c r="N1249" s="9" t="str" cm="1">
        <f t="array" ref="N1249">_xlfn.IFS(M1249="HIGH",K1249*L1249,M1249="MEDIUM",K1249*L1249,M1249="LOW","NA")</f>
        <v>NA</v>
      </c>
      <c r="O1249" s="18" t="str">
        <f t="shared" si="59"/>
        <v>cleared</v>
      </c>
    </row>
    <row r="1250" spans="1:15" x14ac:dyDescent="0.25">
      <c r="A1250" s="17">
        <v>1246</v>
      </c>
      <c r="B1250" s="6" t="s">
        <v>1283</v>
      </c>
      <c r="C1250" s="6" t="s">
        <v>11</v>
      </c>
      <c r="D1250" s="6" t="s">
        <v>20</v>
      </c>
      <c r="E1250" s="6" t="s">
        <v>35</v>
      </c>
      <c r="F1250" s="6" t="s">
        <v>14</v>
      </c>
      <c r="G1250" s="7">
        <v>46237</v>
      </c>
      <c r="H1250" s="6">
        <v>5</v>
      </c>
      <c r="I1250" s="7">
        <v>46239</v>
      </c>
      <c r="J1250" s="7">
        <f t="shared" si="58"/>
        <v>46242</v>
      </c>
      <c r="K1250" s="8">
        <v>90</v>
      </c>
      <c r="L1250" s="9">
        <f t="shared" si="57"/>
        <v>0</v>
      </c>
      <c r="M1250" s="9" t="str" cm="1">
        <f t="array" ref="M1250">_xlfn.IFS(L1250&gt;=10,"HIGH",L1250=0,"LOW",L1250&lt;=9,"MEDIUM")</f>
        <v>LOW</v>
      </c>
      <c r="N1250" s="9" t="str" cm="1">
        <f t="array" ref="N1250">_xlfn.IFS(M1250="HIGH",K1250*L1250,M1250="MEDIUM",K1250*L1250,M1250="LOW","NA")</f>
        <v>NA</v>
      </c>
      <c r="O1250" s="18" t="str">
        <f t="shared" si="59"/>
        <v>cleared</v>
      </c>
    </row>
    <row r="1251" spans="1:15" x14ac:dyDescent="0.25">
      <c r="A1251" s="17">
        <v>1247</v>
      </c>
      <c r="B1251" s="6" t="s">
        <v>1284</v>
      </c>
      <c r="C1251" s="6" t="s">
        <v>33</v>
      </c>
      <c r="D1251" s="6" t="s">
        <v>17</v>
      </c>
      <c r="E1251" s="6" t="s">
        <v>13</v>
      </c>
      <c r="F1251" s="6" t="s">
        <v>14</v>
      </c>
      <c r="G1251" s="7">
        <v>46194</v>
      </c>
      <c r="H1251" s="6">
        <v>5</v>
      </c>
      <c r="I1251" s="7">
        <v>46200</v>
      </c>
      <c r="J1251" s="7">
        <f t="shared" si="58"/>
        <v>46199</v>
      </c>
      <c r="K1251" s="8">
        <v>110</v>
      </c>
      <c r="L1251" s="9">
        <f t="shared" si="57"/>
        <v>1</v>
      </c>
      <c r="M1251" s="9" t="str" cm="1">
        <f t="array" ref="M1251">_xlfn.IFS(L1251&gt;=10,"HIGH",L1251=0,"LOW",L1251&lt;=9,"MEDIUM")</f>
        <v>MEDIUM</v>
      </c>
      <c r="N1251" s="9" cm="1">
        <f t="array" ref="N1251">_xlfn.IFS(M1251="HIGH",K1251*L1251,M1251="MEDIUM",K1251*L1251,M1251="LOW","NA")</f>
        <v>110</v>
      </c>
      <c r="O1251" s="18" t="str">
        <f t="shared" si="59"/>
        <v>cleared</v>
      </c>
    </row>
    <row r="1252" spans="1:15" x14ac:dyDescent="0.25">
      <c r="A1252" s="17">
        <v>1248</v>
      </c>
      <c r="B1252" s="6" t="s">
        <v>1285</v>
      </c>
      <c r="C1252" s="6" t="s">
        <v>37</v>
      </c>
      <c r="D1252" s="6" t="s">
        <v>17</v>
      </c>
      <c r="E1252" s="6" t="s">
        <v>35</v>
      </c>
      <c r="F1252" s="6" t="s">
        <v>14</v>
      </c>
      <c r="G1252" s="7">
        <v>46216</v>
      </c>
      <c r="H1252" s="6">
        <v>4</v>
      </c>
      <c r="I1252" s="6"/>
      <c r="J1252" s="7">
        <f t="shared" si="58"/>
        <v>46220</v>
      </c>
      <c r="K1252" s="8">
        <v>60</v>
      </c>
      <c r="L1252" s="9">
        <f t="shared" si="57"/>
        <v>39</v>
      </c>
      <c r="M1252" s="9" t="str" cm="1">
        <f t="array" ref="M1252">_xlfn.IFS(L1252&gt;=10,"HIGH",L1252=0,"LOW",L1252&lt;=9,"MEDIUM")</f>
        <v>HIGH</v>
      </c>
      <c r="N1252" s="9" cm="1">
        <f t="array" ref="N1252">_xlfn.IFS(M1252="HIGH",K1252*L1252,M1252="MEDIUM",K1252*L1252,M1252="LOW","NA")</f>
        <v>2340</v>
      </c>
      <c r="O1252" s="18" t="str">
        <f t="shared" si="59"/>
        <v>still in yard</v>
      </c>
    </row>
    <row r="1253" spans="1:15" x14ac:dyDescent="0.25">
      <c r="A1253" s="17">
        <v>1249</v>
      </c>
      <c r="B1253" s="6" t="s">
        <v>1286</v>
      </c>
      <c r="C1253" s="6" t="s">
        <v>37</v>
      </c>
      <c r="D1253" s="6" t="s">
        <v>17</v>
      </c>
      <c r="E1253" s="6" t="s">
        <v>18</v>
      </c>
      <c r="F1253" s="6" t="s">
        <v>27</v>
      </c>
      <c r="G1253" s="7">
        <v>46178</v>
      </c>
      <c r="H1253" s="6">
        <v>7</v>
      </c>
      <c r="I1253" s="7">
        <v>46186</v>
      </c>
      <c r="J1253" s="7">
        <f t="shared" si="58"/>
        <v>46185</v>
      </c>
      <c r="K1253" s="8">
        <v>130</v>
      </c>
      <c r="L1253" s="9">
        <f t="shared" si="57"/>
        <v>1</v>
      </c>
      <c r="M1253" s="9" t="str" cm="1">
        <f t="array" ref="M1253">_xlfn.IFS(L1253&gt;=10,"HIGH",L1253=0,"LOW",L1253&lt;=9,"MEDIUM")</f>
        <v>MEDIUM</v>
      </c>
      <c r="N1253" s="9" cm="1">
        <f t="array" ref="N1253">_xlfn.IFS(M1253="HIGH",K1253*L1253,M1253="MEDIUM",K1253*L1253,M1253="LOW","NA")</f>
        <v>130</v>
      </c>
      <c r="O1253" s="18" t="str">
        <f t="shared" si="59"/>
        <v>cleared</v>
      </c>
    </row>
    <row r="1254" spans="1:15" x14ac:dyDescent="0.25">
      <c r="A1254" s="17">
        <v>1250</v>
      </c>
      <c r="B1254" s="6" t="s">
        <v>1287</v>
      </c>
      <c r="C1254" s="6" t="s">
        <v>37</v>
      </c>
      <c r="D1254" s="6" t="s">
        <v>26</v>
      </c>
      <c r="E1254" s="6" t="s">
        <v>35</v>
      </c>
      <c r="F1254" s="6" t="s">
        <v>29</v>
      </c>
      <c r="G1254" s="7">
        <v>46179</v>
      </c>
      <c r="H1254" s="6">
        <v>4</v>
      </c>
      <c r="I1254" s="6"/>
      <c r="J1254" s="7">
        <f t="shared" si="58"/>
        <v>46183</v>
      </c>
      <c r="K1254" s="8">
        <v>150</v>
      </c>
      <c r="L1254" s="9">
        <f t="shared" si="57"/>
        <v>76</v>
      </c>
      <c r="M1254" s="9" t="str" cm="1">
        <f t="array" ref="M1254">_xlfn.IFS(L1254&gt;=10,"HIGH",L1254=0,"LOW",L1254&lt;=9,"MEDIUM")</f>
        <v>HIGH</v>
      </c>
      <c r="N1254" s="9" cm="1">
        <f t="array" ref="N1254">_xlfn.IFS(M1254="HIGH",K1254*L1254,M1254="MEDIUM",K1254*L1254,M1254="LOW","NA")</f>
        <v>11400</v>
      </c>
      <c r="O1254" s="18" t="str">
        <f t="shared" si="59"/>
        <v>still in yard</v>
      </c>
    </row>
    <row r="1255" spans="1:15" x14ac:dyDescent="0.25">
      <c r="A1255" s="17">
        <v>1251</v>
      </c>
      <c r="B1255" s="6" t="s">
        <v>1288</v>
      </c>
      <c r="C1255" s="6" t="s">
        <v>33</v>
      </c>
      <c r="D1255" s="6" t="s">
        <v>54</v>
      </c>
      <c r="E1255" s="6" t="s">
        <v>21</v>
      </c>
      <c r="F1255" s="6" t="s">
        <v>29</v>
      </c>
      <c r="G1255" s="7">
        <v>46191</v>
      </c>
      <c r="H1255" s="6">
        <v>4</v>
      </c>
      <c r="I1255" s="7">
        <v>46204</v>
      </c>
      <c r="J1255" s="7">
        <f t="shared" si="58"/>
        <v>46195</v>
      </c>
      <c r="K1255" s="8">
        <v>180</v>
      </c>
      <c r="L1255" s="9">
        <f t="shared" si="57"/>
        <v>9</v>
      </c>
      <c r="M1255" s="9" t="str" cm="1">
        <f t="array" ref="M1255">_xlfn.IFS(L1255&gt;=10,"HIGH",L1255=0,"LOW",L1255&lt;=9,"MEDIUM")</f>
        <v>MEDIUM</v>
      </c>
      <c r="N1255" s="9" cm="1">
        <f t="array" ref="N1255">_xlfn.IFS(M1255="HIGH",K1255*L1255,M1255="MEDIUM",K1255*L1255,M1255="LOW","NA")</f>
        <v>1620</v>
      </c>
      <c r="O1255" s="18" t="str">
        <f t="shared" si="59"/>
        <v>cleared</v>
      </c>
    </row>
    <row r="1256" spans="1:15" x14ac:dyDescent="0.25">
      <c r="A1256" s="17">
        <v>1252</v>
      </c>
      <c r="B1256" s="6" t="s">
        <v>1289</v>
      </c>
      <c r="C1256" s="6" t="s">
        <v>33</v>
      </c>
      <c r="D1256" s="6" t="s">
        <v>31</v>
      </c>
      <c r="E1256" s="6" t="s">
        <v>13</v>
      </c>
      <c r="F1256" s="6" t="s">
        <v>29</v>
      </c>
      <c r="G1256" s="7">
        <v>46195</v>
      </c>
      <c r="H1256" s="6">
        <v>3</v>
      </c>
      <c r="I1256" s="7">
        <v>46197</v>
      </c>
      <c r="J1256" s="7">
        <f t="shared" si="58"/>
        <v>46198</v>
      </c>
      <c r="K1256" s="8">
        <v>150</v>
      </c>
      <c r="L1256" s="9">
        <f t="shared" si="57"/>
        <v>0</v>
      </c>
      <c r="M1256" s="9" t="str" cm="1">
        <f t="array" ref="M1256">_xlfn.IFS(L1256&gt;=10,"HIGH",L1256=0,"LOW",L1256&lt;=9,"MEDIUM")</f>
        <v>LOW</v>
      </c>
      <c r="N1256" s="9" t="str" cm="1">
        <f t="array" ref="N1256">_xlfn.IFS(M1256="HIGH",K1256*L1256,M1256="MEDIUM",K1256*L1256,M1256="LOW","NA")</f>
        <v>NA</v>
      </c>
      <c r="O1256" s="18" t="str">
        <f t="shared" si="59"/>
        <v>cleared</v>
      </c>
    </row>
    <row r="1257" spans="1:15" x14ac:dyDescent="0.25">
      <c r="A1257" s="17">
        <v>1253</v>
      </c>
      <c r="B1257" s="6" t="s">
        <v>1290</v>
      </c>
      <c r="C1257" s="6" t="s">
        <v>11</v>
      </c>
      <c r="D1257" s="6" t="s">
        <v>20</v>
      </c>
      <c r="E1257" s="6" t="s">
        <v>39</v>
      </c>
      <c r="F1257" s="6" t="s">
        <v>27</v>
      </c>
      <c r="G1257" s="7">
        <v>46249</v>
      </c>
      <c r="H1257" s="6">
        <v>5</v>
      </c>
      <c r="I1257" s="7">
        <v>46250</v>
      </c>
      <c r="J1257" s="7">
        <f t="shared" si="58"/>
        <v>46254</v>
      </c>
      <c r="K1257" s="8">
        <v>130</v>
      </c>
      <c r="L1257" s="9">
        <f t="shared" si="57"/>
        <v>0</v>
      </c>
      <c r="M1257" s="9" t="str" cm="1">
        <f t="array" ref="M1257">_xlfn.IFS(L1257&gt;=10,"HIGH",L1257=0,"LOW",L1257&lt;=9,"MEDIUM")</f>
        <v>LOW</v>
      </c>
      <c r="N1257" s="9" t="str" cm="1">
        <f t="array" ref="N1257">_xlfn.IFS(M1257="HIGH",K1257*L1257,M1257="MEDIUM",K1257*L1257,M1257="LOW","NA")</f>
        <v>NA</v>
      </c>
      <c r="O1257" s="18" t="str">
        <f t="shared" si="59"/>
        <v>cleared</v>
      </c>
    </row>
    <row r="1258" spans="1:15" x14ac:dyDescent="0.25">
      <c r="A1258" s="17">
        <v>1254</v>
      </c>
      <c r="B1258" s="6" t="s">
        <v>1291</v>
      </c>
      <c r="C1258" s="6" t="s">
        <v>37</v>
      </c>
      <c r="D1258" s="6" t="s">
        <v>34</v>
      </c>
      <c r="E1258" s="6" t="s">
        <v>21</v>
      </c>
      <c r="F1258" s="6" t="s">
        <v>14</v>
      </c>
      <c r="G1258" s="7">
        <v>46183</v>
      </c>
      <c r="H1258" s="6">
        <v>5</v>
      </c>
      <c r="I1258" s="7">
        <v>46187</v>
      </c>
      <c r="J1258" s="7">
        <f t="shared" si="58"/>
        <v>46188</v>
      </c>
      <c r="K1258" s="8">
        <v>110</v>
      </c>
      <c r="L1258" s="9">
        <f t="shared" si="57"/>
        <v>0</v>
      </c>
      <c r="M1258" s="9" t="str" cm="1">
        <f t="array" ref="M1258">_xlfn.IFS(L1258&gt;=10,"HIGH",L1258=0,"LOW",L1258&lt;=9,"MEDIUM")</f>
        <v>LOW</v>
      </c>
      <c r="N1258" s="9" t="str" cm="1">
        <f t="array" ref="N1258">_xlfn.IFS(M1258="HIGH",K1258*L1258,M1258="MEDIUM",K1258*L1258,M1258="LOW","NA")</f>
        <v>NA</v>
      </c>
      <c r="O1258" s="18" t="str">
        <f t="shared" si="59"/>
        <v>cleared</v>
      </c>
    </row>
    <row r="1259" spans="1:15" x14ac:dyDescent="0.25">
      <c r="A1259" s="17">
        <v>1255</v>
      </c>
      <c r="B1259" s="6" t="s">
        <v>1292</v>
      </c>
      <c r="C1259" s="6" t="s">
        <v>37</v>
      </c>
      <c r="D1259" s="6" t="s">
        <v>49</v>
      </c>
      <c r="E1259" s="6" t="s">
        <v>44</v>
      </c>
      <c r="F1259" s="6" t="s">
        <v>14</v>
      </c>
      <c r="G1259" s="7">
        <v>46223</v>
      </c>
      <c r="H1259" s="6">
        <v>6</v>
      </c>
      <c r="I1259" s="6"/>
      <c r="J1259" s="7">
        <f t="shared" si="58"/>
        <v>46229</v>
      </c>
      <c r="K1259" s="8">
        <v>130</v>
      </c>
      <c r="L1259" s="9">
        <f t="shared" si="57"/>
        <v>30</v>
      </c>
      <c r="M1259" s="9" t="str" cm="1">
        <f t="array" ref="M1259">_xlfn.IFS(L1259&gt;=10,"HIGH",L1259=0,"LOW",L1259&lt;=9,"MEDIUM")</f>
        <v>HIGH</v>
      </c>
      <c r="N1259" s="9" cm="1">
        <f t="array" ref="N1259">_xlfn.IFS(M1259="HIGH",K1259*L1259,M1259="MEDIUM",K1259*L1259,M1259="LOW","NA")</f>
        <v>3900</v>
      </c>
      <c r="O1259" s="18" t="str">
        <f t="shared" si="59"/>
        <v>still in yard</v>
      </c>
    </row>
    <row r="1260" spans="1:15" x14ac:dyDescent="0.25">
      <c r="A1260" s="17">
        <v>1256</v>
      </c>
      <c r="B1260" s="6" t="s">
        <v>1293</v>
      </c>
      <c r="C1260" s="6" t="s">
        <v>11</v>
      </c>
      <c r="D1260" s="6" t="s">
        <v>56</v>
      </c>
      <c r="E1260" s="6" t="s">
        <v>44</v>
      </c>
      <c r="F1260" s="6" t="s">
        <v>24</v>
      </c>
      <c r="G1260" s="7">
        <v>46249</v>
      </c>
      <c r="H1260" s="6">
        <v>5</v>
      </c>
      <c r="I1260" s="7">
        <v>46252</v>
      </c>
      <c r="J1260" s="7">
        <f t="shared" si="58"/>
        <v>46254</v>
      </c>
      <c r="K1260" s="8">
        <v>60</v>
      </c>
      <c r="L1260" s="9">
        <f t="shared" si="57"/>
        <v>0</v>
      </c>
      <c r="M1260" s="9" t="str" cm="1">
        <f t="array" ref="M1260">_xlfn.IFS(L1260&gt;=10,"HIGH",L1260=0,"LOW",L1260&lt;=9,"MEDIUM")</f>
        <v>LOW</v>
      </c>
      <c r="N1260" s="9" t="str" cm="1">
        <f t="array" ref="N1260">_xlfn.IFS(M1260="HIGH",K1260*L1260,M1260="MEDIUM",K1260*L1260,M1260="LOW","NA")</f>
        <v>NA</v>
      </c>
      <c r="O1260" s="18" t="str">
        <f t="shared" si="59"/>
        <v>cleared</v>
      </c>
    </row>
    <row r="1261" spans="1:15" x14ac:dyDescent="0.25">
      <c r="A1261" s="17">
        <v>1257</v>
      </c>
      <c r="B1261" s="6" t="s">
        <v>1294</v>
      </c>
      <c r="C1261" s="6" t="s">
        <v>37</v>
      </c>
      <c r="D1261" s="6" t="s">
        <v>41</v>
      </c>
      <c r="E1261" s="6" t="s">
        <v>46</v>
      </c>
      <c r="F1261" s="6" t="s">
        <v>27</v>
      </c>
      <c r="G1261" s="7">
        <v>46240</v>
      </c>
      <c r="H1261" s="6">
        <v>5</v>
      </c>
      <c r="I1261" s="7">
        <v>46248</v>
      </c>
      <c r="J1261" s="7">
        <f t="shared" si="58"/>
        <v>46245</v>
      </c>
      <c r="K1261" s="8">
        <v>60</v>
      </c>
      <c r="L1261" s="9">
        <f t="shared" si="57"/>
        <v>3</v>
      </c>
      <c r="M1261" s="9" t="str" cm="1">
        <f t="array" ref="M1261">_xlfn.IFS(L1261&gt;=10,"HIGH",L1261=0,"LOW",L1261&lt;=9,"MEDIUM")</f>
        <v>MEDIUM</v>
      </c>
      <c r="N1261" s="9" cm="1">
        <f t="array" ref="N1261">_xlfn.IFS(M1261="HIGH",K1261*L1261,M1261="MEDIUM",K1261*L1261,M1261="LOW","NA")</f>
        <v>180</v>
      </c>
      <c r="O1261" s="18" t="str">
        <f t="shared" si="59"/>
        <v>cleared</v>
      </c>
    </row>
    <row r="1262" spans="1:15" x14ac:dyDescent="0.25">
      <c r="A1262" s="17">
        <v>1258</v>
      </c>
      <c r="B1262" s="6" t="s">
        <v>1295</v>
      </c>
      <c r="C1262" s="6" t="s">
        <v>11</v>
      </c>
      <c r="D1262" s="6" t="s">
        <v>26</v>
      </c>
      <c r="E1262" s="6" t="s">
        <v>35</v>
      </c>
      <c r="F1262" s="6" t="s">
        <v>14</v>
      </c>
      <c r="G1262" s="7">
        <v>46191</v>
      </c>
      <c r="H1262" s="6">
        <v>4</v>
      </c>
      <c r="I1262" s="7">
        <v>46192</v>
      </c>
      <c r="J1262" s="7">
        <f t="shared" si="58"/>
        <v>46195</v>
      </c>
      <c r="K1262" s="8">
        <v>130</v>
      </c>
      <c r="L1262" s="9">
        <f t="shared" si="57"/>
        <v>0</v>
      </c>
      <c r="M1262" s="9" t="str" cm="1">
        <f t="array" ref="M1262">_xlfn.IFS(L1262&gt;=10,"HIGH",L1262=0,"LOW",L1262&lt;=9,"MEDIUM")</f>
        <v>LOW</v>
      </c>
      <c r="N1262" s="9" t="str" cm="1">
        <f t="array" ref="N1262">_xlfn.IFS(M1262="HIGH",K1262*L1262,M1262="MEDIUM",K1262*L1262,M1262="LOW","NA")</f>
        <v>NA</v>
      </c>
      <c r="O1262" s="18" t="str">
        <f t="shared" si="59"/>
        <v>cleared</v>
      </c>
    </row>
    <row r="1263" spans="1:15" x14ac:dyDescent="0.25">
      <c r="A1263" s="17">
        <v>1259</v>
      </c>
      <c r="B1263" s="6" t="s">
        <v>1296</v>
      </c>
      <c r="C1263" s="6" t="s">
        <v>33</v>
      </c>
      <c r="D1263" s="6" t="s">
        <v>49</v>
      </c>
      <c r="E1263" s="6" t="s">
        <v>23</v>
      </c>
      <c r="F1263" s="6" t="s">
        <v>27</v>
      </c>
      <c r="G1263" s="7">
        <v>46181</v>
      </c>
      <c r="H1263" s="6">
        <v>4</v>
      </c>
      <c r="I1263" s="6"/>
      <c r="J1263" s="7">
        <f t="shared" si="58"/>
        <v>46185</v>
      </c>
      <c r="K1263" s="8">
        <v>75</v>
      </c>
      <c r="L1263" s="9">
        <f t="shared" si="57"/>
        <v>74</v>
      </c>
      <c r="M1263" s="9" t="str" cm="1">
        <f t="array" ref="M1263">_xlfn.IFS(L1263&gt;=10,"HIGH",L1263=0,"LOW",L1263&lt;=9,"MEDIUM")</f>
        <v>HIGH</v>
      </c>
      <c r="N1263" s="9" cm="1">
        <f t="array" ref="N1263">_xlfn.IFS(M1263="HIGH",K1263*L1263,M1263="MEDIUM",K1263*L1263,M1263="LOW","NA")</f>
        <v>5550</v>
      </c>
      <c r="O1263" s="18" t="str">
        <f t="shared" si="59"/>
        <v>still in yard</v>
      </c>
    </row>
    <row r="1264" spans="1:15" x14ac:dyDescent="0.25">
      <c r="A1264" s="17">
        <v>1260</v>
      </c>
      <c r="B1264" s="6" t="s">
        <v>1297</v>
      </c>
      <c r="C1264" s="6" t="s">
        <v>11</v>
      </c>
      <c r="D1264" s="6" t="s">
        <v>34</v>
      </c>
      <c r="E1264" s="6" t="s">
        <v>21</v>
      </c>
      <c r="F1264" s="6" t="s">
        <v>14</v>
      </c>
      <c r="G1264" s="7">
        <v>46176</v>
      </c>
      <c r="H1264" s="6">
        <v>5</v>
      </c>
      <c r="I1264" s="6"/>
      <c r="J1264" s="7">
        <f t="shared" si="58"/>
        <v>46181</v>
      </c>
      <c r="K1264" s="8">
        <v>90</v>
      </c>
      <c r="L1264" s="9">
        <f t="shared" si="57"/>
        <v>78</v>
      </c>
      <c r="M1264" s="9" t="str" cm="1">
        <f t="array" ref="M1264">_xlfn.IFS(L1264&gt;=10,"HIGH",L1264=0,"LOW",L1264&lt;=9,"MEDIUM")</f>
        <v>HIGH</v>
      </c>
      <c r="N1264" s="9" cm="1">
        <f t="array" ref="N1264">_xlfn.IFS(M1264="HIGH",K1264*L1264,M1264="MEDIUM",K1264*L1264,M1264="LOW","NA")</f>
        <v>7020</v>
      </c>
      <c r="O1264" s="18" t="str">
        <f t="shared" si="59"/>
        <v>still in yard</v>
      </c>
    </row>
    <row r="1265" spans="1:15" x14ac:dyDescent="0.25">
      <c r="A1265" s="17">
        <v>1261</v>
      </c>
      <c r="B1265" s="6" t="s">
        <v>1298</v>
      </c>
      <c r="C1265" s="6" t="s">
        <v>11</v>
      </c>
      <c r="D1265" s="6" t="s">
        <v>49</v>
      </c>
      <c r="E1265" s="6" t="s">
        <v>23</v>
      </c>
      <c r="F1265" s="6" t="s">
        <v>27</v>
      </c>
      <c r="G1265" s="7">
        <v>46231</v>
      </c>
      <c r="H1265" s="6">
        <v>6</v>
      </c>
      <c r="I1265" s="7">
        <v>46238</v>
      </c>
      <c r="J1265" s="7">
        <f t="shared" si="58"/>
        <v>46237</v>
      </c>
      <c r="K1265" s="8">
        <v>75</v>
      </c>
      <c r="L1265" s="9">
        <f t="shared" si="57"/>
        <v>1</v>
      </c>
      <c r="M1265" s="9" t="str" cm="1">
        <f t="array" ref="M1265">_xlfn.IFS(L1265&gt;=10,"HIGH",L1265=0,"LOW",L1265&lt;=9,"MEDIUM")</f>
        <v>MEDIUM</v>
      </c>
      <c r="N1265" s="9" cm="1">
        <f t="array" ref="N1265">_xlfn.IFS(M1265="HIGH",K1265*L1265,M1265="MEDIUM",K1265*L1265,M1265="LOW","NA")</f>
        <v>75</v>
      </c>
      <c r="O1265" s="18" t="str">
        <f t="shared" si="59"/>
        <v>cleared</v>
      </c>
    </row>
    <row r="1266" spans="1:15" x14ac:dyDescent="0.25">
      <c r="A1266" s="17">
        <v>1262</v>
      </c>
      <c r="B1266" s="6" t="s">
        <v>1299</v>
      </c>
      <c r="C1266" s="6" t="s">
        <v>37</v>
      </c>
      <c r="D1266" s="6" t="s">
        <v>12</v>
      </c>
      <c r="E1266" s="6" t="s">
        <v>46</v>
      </c>
      <c r="F1266" s="6" t="s">
        <v>14</v>
      </c>
      <c r="G1266" s="7">
        <v>46252</v>
      </c>
      <c r="H1266" s="6">
        <v>7</v>
      </c>
      <c r="I1266" s="7">
        <v>46253</v>
      </c>
      <c r="J1266" s="7">
        <f t="shared" si="58"/>
        <v>46259</v>
      </c>
      <c r="K1266" s="8">
        <v>130</v>
      </c>
      <c r="L1266" s="9">
        <f t="shared" si="57"/>
        <v>0</v>
      </c>
      <c r="M1266" s="9" t="str" cm="1">
        <f t="array" ref="M1266">_xlfn.IFS(L1266&gt;=10,"HIGH",L1266=0,"LOW",L1266&lt;=9,"MEDIUM")</f>
        <v>LOW</v>
      </c>
      <c r="N1266" s="9" t="str" cm="1">
        <f t="array" ref="N1266">_xlfn.IFS(M1266="HIGH",K1266*L1266,M1266="MEDIUM",K1266*L1266,M1266="LOW","NA")</f>
        <v>NA</v>
      </c>
      <c r="O1266" s="18" t="str">
        <f t="shared" si="59"/>
        <v>cleared</v>
      </c>
    </row>
    <row r="1267" spans="1:15" x14ac:dyDescent="0.25">
      <c r="A1267" s="17">
        <v>1263</v>
      </c>
      <c r="B1267" s="6" t="s">
        <v>1300</v>
      </c>
      <c r="C1267" s="6" t="s">
        <v>16</v>
      </c>
      <c r="D1267" s="6" t="s">
        <v>41</v>
      </c>
      <c r="E1267" s="6" t="s">
        <v>39</v>
      </c>
      <c r="F1267" s="6" t="s">
        <v>14</v>
      </c>
      <c r="G1267" s="7">
        <v>46238</v>
      </c>
      <c r="H1267" s="6">
        <v>7</v>
      </c>
      <c r="I1267" s="7">
        <v>46245</v>
      </c>
      <c r="J1267" s="7">
        <f t="shared" si="58"/>
        <v>46245</v>
      </c>
      <c r="K1267" s="8">
        <v>75</v>
      </c>
      <c r="L1267" s="9">
        <f t="shared" si="57"/>
        <v>0</v>
      </c>
      <c r="M1267" s="9" t="str" cm="1">
        <f t="array" ref="M1267">_xlfn.IFS(L1267&gt;=10,"HIGH",L1267=0,"LOW",L1267&lt;=9,"MEDIUM")</f>
        <v>LOW</v>
      </c>
      <c r="N1267" s="9" t="str" cm="1">
        <f t="array" ref="N1267">_xlfn.IFS(M1267="HIGH",K1267*L1267,M1267="MEDIUM",K1267*L1267,M1267="LOW","NA")</f>
        <v>NA</v>
      </c>
      <c r="O1267" s="18" t="str">
        <f t="shared" si="59"/>
        <v>cleared</v>
      </c>
    </row>
    <row r="1268" spans="1:15" x14ac:dyDescent="0.25">
      <c r="A1268" s="17">
        <v>1264</v>
      </c>
      <c r="B1268" s="6" t="s">
        <v>1301</v>
      </c>
      <c r="C1268" s="6" t="s">
        <v>16</v>
      </c>
      <c r="D1268" s="6" t="s">
        <v>26</v>
      </c>
      <c r="E1268" s="6" t="s">
        <v>23</v>
      </c>
      <c r="F1268" s="6" t="s">
        <v>29</v>
      </c>
      <c r="G1268" s="7">
        <v>46214</v>
      </c>
      <c r="H1268" s="6">
        <v>4</v>
      </c>
      <c r="I1268" s="7">
        <v>46219</v>
      </c>
      <c r="J1268" s="7">
        <f t="shared" si="58"/>
        <v>46218</v>
      </c>
      <c r="K1268" s="8">
        <v>180</v>
      </c>
      <c r="L1268" s="9">
        <f t="shared" si="57"/>
        <v>1</v>
      </c>
      <c r="M1268" s="9" t="str" cm="1">
        <f t="array" ref="M1268">_xlfn.IFS(L1268&gt;=10,"HIGH",L1268=0,"LOW",L1268&lt;=9,"MEDIUM")</f>
        <v>MEDIUM</v>
      </c>
      <c r="N1268" s="9" cm="1">
        <f t="array" ref="N1268">_xlfn.IFS(M1268="HIGH",K1268*L1268,M1268="MEDIUM",K1268*L1268,M1268="LOW","NA")</f>
        <v>180</v>
      </c>
      <c r="O1268" s="18" t="str">
        <f t="shared" si="59"/>
        <v>cleared</v>
      </c>
    </row>
    <row r="1269" spans="1:15" x14ac:dyDescent="0.25">
      <c r="A1269" s="17">
        <v>1265</v>
      </c>
      <c r="B1269" s="6" t="s">
        <v>1302</v>
      </c>
      <c r="C1269" s="6" t="s">
        <v>37</v>
      </c>
      <c r="D1269" s="6" t="s">
        <v>49</v>
      </c>
      <c r="E1269" s="6" t="s">
        <v>39</v>
      </c>
      <c r="F1269" s="6" t="s">
        <v>29</v>
      </c>
      <c r="G1269" s="7">
        <v>46210</v>
      </c>
      <c r="H1269" s="6">
        <v>4</v>
      </c>
      <c r="I1269" s="7">
        <v>46212</v>
      </c>
      <c r="J1269" s="7">
        <f t="shared" si="58"/>
        <v>46214</v>
      </c>
      <c r="K1269" s="8">
        <v>180</v>
      </c>
      <c r="L1269" s="9">
        <f t="shared" si="57"/>
        <v>0</v>
      </c>
      <c r="M1269" s="9" t="str" cm="1">
        <f t="array" ref="M1269">_xlfn.IFS(L1269&gt;=10,"HIGH",L1269=0,"LOW",L1269&lt;=9,"MEDIUM")</f>
        <v>LOW</v>
      </c>
      <c r="N1269" s="9" t="str" cm="1">
        <f t="array" ref="N1269">_xlfn.IFS(M1269="HIGH",K1269*L1269,M1269="MEDIUM",K1269*L1269,M1269="LOW","NA")</f>
        <v>NA</v>
      </c>
      <c r="O1269" s="18" t="str">
        <f t="shared" si="59"/>
        <v>cleared</v>
      </c>
    </row>
    <row r="1270" spans="1:15" x14ac:dyDescent="0.25">
      <c r="A1270" s="17">
        <v>1266</v>
      </c>
      <c r="B1270" s="6" t="s">
        <v>1303</v>
      </c>
      <c r="C1270" s="6" t="s">
        <v>11</v>
      </c>
      <c r="D1270" s="6" t="s">
        <v>56</v>
      </c>
      <c r="E1270" s="6" t="s">
        <v>46</v>
      </c>
      <c r="F1270" s="6" t="s">
        <v>14</v>
      </c>
      <c r="G1270" s="7">
        <v>46183</v>
      </c>
      <c r="H1270" s="6">
        <v>4</v>
      </c>
      <c r="I1270" s="7">
        <v>46184</v>
      </c>
      <c r="J1270" s="7">
        <f t="shared" si="58"/>
        <v>46187</v>
      </c>
      <c r="K1270" s="8">
        <v>110</v>
      </c>
      <c r="L1270" s="9">
        <f t="shared" si="57"/>
        <v>0</v>
      </c>
      <c r="M1270" s="9" t="str" cm="1">
        <f t="array" ref="M1270">_xlfn.IFS(L1270&gt;=10,"HIGH",L1270=0,"LOW",L1270&lt;=9,"MEDIUM")</f>
        <v>LOW</v>
      </c>
      <c r="N1270" s="9" t="str" cm="1">
        <f t="array" ref="N1270">_xlfn.IFS(M1270="HIGH",K1270*L1270,M1270="MEDIUM",K1270*L1270,M1270="LOW","NA")</f>
        <v>NA</v>
      </c>
      <c r="O1270" s="18" t="str">
        <f t="shared" si="59"/>
        <v>cleared</v>
      </c>
    </row>
    <row r="1271" spans="1:15" x14ac:dyDescent="0.25">
      <c r="A1271" s="17">
        <v>1267</v>
      </c>
      <c r="B1271" s="6" t="s">
        <v>1304</v>
      </c>
      <c r="C1271" s="6" t="s">
        <v>33</v>
      </c>
      <c r="D1271" s="6" t="s">
        <v>56</v>
      </c>
      <c r="E1271" s="6" t="s">
        <v>21</v>
      </c>
      <c r="F1271" s="6" t="s">
        <v>14</v>
      </c>
      <c r="G1271" s="7">
        <v>46256</v>
      </c>
      <c r="H1271" s="6">
        <v>5</v>
      </c>
      <c r="I1271" s="7">
        <v>46259</v>
      </c>
      <c r="J1271" s="7">
        <f t="shared" si="58"/>
        <v>46261</v>
      </c>
      <c r="K1271" s="8">
        <v>75</v>
      </c>
      <c r="L1271" s="9">
        <f t="shared" si="57"/>
        <v>0</v>
      </c>
      <c r="M1271" s="9" t="str" cm="1">
        <f t="array" ref="M1271">_xlfn.IFS(L1271&gt;=10,"HIGH",L1271=0,"LOW",L1271&lt;=9,"MEDIUM")</f>
        <v>LOW</v>
      </c>
      <c r="N1271" s="9" t="str" cm="1">
        <f t="array" ref="N1271">_xlfn.IFS(M1271="HIGH",K1271*L1271,M1271="MEDIUM",K1271*L1271,M1271="LOW","NA")</f>
        <v>NA</v>
      </c>
      <c r="O1271" s="18" t="str">
        <f t="shared" si="59"/>
        <v>cleared</v>
      </c>
    </row>
    <row r="1272" spans="1:15" x14ac:dyDescent="0.25">
      <c r="A1272" s="17">
        <v>1268</v>
      </c>
      <c r="B1272" s="6" t="s">
        <v>1305</v>
      </c>
      <c r="C1272" s="6" t="s">
        <v>37</v>
      </c>
      <c r="D1272" s="6" t="s">
        <v>56</v>
      </c>
      <c r="E1272" s="6" t="s">
        <v>13</v>
      </c>
      <c r="F1272" s="6" t="s">
        <v>14</v>
      </c>
      <c r="G1272" s="7">
        <v>46230</v>
      </c>
      <c r="H1272" s="6">
        <v>4</v>
      </c>
      <c r="I1272" s="6"/>
      <c r="J1272" s="7">
        <f t="shared" si="58"/>
        <v>46234</v>
      </c>
      <c r="K1272" s="8">
        <v>75</v>
      </c>
      <c r="L1272" s="9">
        <f t="shared" si="57"/>
        <v>25</v>
      </c>
      <c r="M1272" s="9" t="str" cm="1">
        <f t="array" ref="M1272">_xlfn.IFS(L1272&gt;=10,"HIGH",L1272=0,"LOW",L1272&lt;=9,"MEDIUM")</f>
        <v>HIGH</v>
      </c>
      <c r="N1272" s="9" cm="1">
        <f t="array" ref="N1272">_xlfn.IFS(M1272="HIGH",K1272*L1272,M1272="MEDIUM",K1272*L1272,M1272="LOW","NA")</f>
        <v>1875</v>
      </c>
      <c r="O1272" s="18" t="str">
        <f t="shared" si="59"/>
        <v>still in yard</v>
      </c>
    </row>
    <row r="1273" spans="1:15" x14ac:dyDescent="0.25">
      <c r="A1273" s="17">
        <v>1269</v>
      </c>
      <c r="B1273" s="6" t="s">
        <v>1306</v>
      </c>
      <c r="C1273" s="6" t="s">
        <v>16</v>
      </c>
      <c r="D1273" s="6" t="s">
        <v>12</v>
      </c>
      <c r="E1273" s="6" t="s">
        <v>44</v>
      </c>
      <c r="F1273" s="6" t="s">
        <v>24</v>
      </c>
      <c r="G1273" s="7">
        <v>46231</v>
      </c>
      <c r="H1273" s="6">
        <v>5</v>
      </c>
      <c r="I1273" s="7">
        <v>46238</v>
      </c>
      <c r="J1273" s="7">
        <f t="shared" si="58"/>
        <v>46236</v>
      </c>
      <c r="K1273" s="8">
        <v>75</v>
      </c>
      <c r="L1273" s="9">
        <f t="shared" si="57"/>
        <v>2</v>
      </c>
      <c r="M1273" s="9" t="str" cm="1">
        <f t="array" ref="M1273">_xlfn.IFS(L1273&gt;=10,"HIGH",L1273=0,"LOW",L1273&lt;=9,"MEDIUM")</f>
        <v>MEDIUM</v>
      </c>
      <c r="N1273" s="9" cm="1">
        <f t="array" ref="N1273">_xlfn.IFS(M1273="HIGH",K1273*L1273,M1273="MEDIUM",K1273*L1273,M1273="LOW","NA")</f>
        <v>150</v>
      </c>
      <c r="O1273" s="18" t="str">
        <f t="shared" si="59"/>
        <v>cleared</v>
      </c>
    </row>
    <row r="1274" spans="1:15" x14ac:dyDescent="0.25">
      <c r="A1274" s="17">
        <v>1270</v>
      </c>
      <c r="B1274" s="6" t="s">
        <v>1307</v>
      </c>
      <c r="C1274" s="6" t="s">
        <v>11</v>
      </c>
      <c r="D1274" s="6" t="s">
        <v>34</v>
      </c>
      <c r="E1274" s="6" t="s">
        <v>35</v>
      </c>
      <c r="F1274" s="6" t="s">
        <v>27</v>
      </c>
      <c r="G1274" s="7">
        <v>46204</v>
      </c>
      <c r="H1274" s="6">
        <v>5</v>
      </c>
      <c r="I1274" s="7">
        <v>46213</v>
      </c>
      <c r="J1274" s="7">
        <f t="shared" si="58"/>
        <v>46209</v>
      </c>
      <c r="K1274" s="8">
        <v>130</v>
      </c>
      <c r="L1274" s="9">
        <f t="shared" si="57"/>
        <v>4</v>
      </c>
      <c r="M1274" s="9" t="str" cm="1">
        <f t="array" ref="M1274">_xlfn.IFS(L1274&gt;=10,"HIGH",L1274=0,"LOW",L1274&lt;=9,"MEDIUM")</f>
        <v>MEDIUM</v>
      </c>
      <c r="N1274" s="9" cm="1">
        <f t="array" ref="N1274">_xlfn.IFS(M1274="HIGH",K1274*L1274,M1274="MEDIUM",K1274*L1274,M1274="LOW","NA")</f>
        <v>520</v>
      </c>
      <c r="O1274" s="18" t="str">
        <f t="shared" si="59"/>
        <v>cleared</v>
      </c>
    </row>
    <row r="1275" spans="1:15" x14ac:dyDescent="0.25">
      <c r="A1275" s="17">
        <v>1271</v>
      </c>
      <c r="B1275" s="6" t="s">
        <v>1308</v>
      </c>
      <c r="C1275" s="6" t="s">
        <v>37</v>
      </c>
      <c r="D1275" s="6" t="s">
        <v>54</v>
      </c>
      <c r="E1275" s="6" t="s">
        <v>23</v>
      </c>
      <c r="F1275" s="6" t="s">
        <v>24</v>
      </c>
      <c r="G1275" s="7">
        <v>46186</v>
      </c>
      <c r="H1275" s="6">
        <v>4</v>
      </c>
      <c r="I1275" s="6"/>
      <c r="J1275" s="7">
        <f t="shared" si="58"/>
        <v>46190</v>
      </c>
      <c r="K1275" s="8">
        <v>110</v>
      </c>
      <c r="L1275" s="9">
        <f t="shared" si="57"/>
        <v>69</v>
      </c>
      <c r="M1275" s="9" t="str" cm="1">
        <f t="array" ref="M1275">_xlfn.IFS(L1275&gt;=10,"HIGH",L1275=0,"LOW",L1275&lt;=9,"MEDIUM")</f>
        <v>HIGH</v>
      </c>
      <c r="N1275" s="9" cm="1">
        <f t="array" ref="N1275">_xlfn.IFS(M1275="HIGH",K1275*L1275,M1275="MEDIUM",K1275*L1275,M1275="LOW","NA")</f>
        <v>7590</v>
      </c>
      <c r="O1275" s="18" t="str">
        <f t="shared" si="59"/>
        <v>still in yard</v>
      </c>
    </row>
    <row r="1276" spans="1:15" x14ac:dyDescent="0.25">
      <c r="A1276" s="17">
        <v>1272</v>
      </c>
      <c r="B1276" s="6" t="s">
        <v>1309</v>
      </c>
      <c r="C1276" s="6" t="s">
        <v>33</v>
      </c>
      <c r="D1276" s="6" t="s">
        <v>17</v>
      </c>
      <c r="E1276" s="6" t="s">
        <v>44</v>
      </c>
      <c r="F1276" s="6" t="s">
        <v>24</v>
      </c>
      <c r="G1276" s="7">
        <v>46243</v>
      </c>
      <c r="H1276" s="6">
        <v>5</v>
      </c>
      <c r="I1276" s="7">
        <v>46249</v>
      </c>
      <c r="J1276" s="7">
        <f t="shared" si="58"/>
        <v>46248</v>
      </c>
      <c r="K1276" s="8">
        <v>75</v>
      </c>
      <c r="L1276" s="9">
        <f t="shared" si="57"/>
        <v>1</v>
      </c>
      <c r="M1276" s="9" t="str" cm="1">
        <f t="array" ref="M1276">_xlfn.IFS(L1276&gt;=10,"HIGH",L1276=0,"LOW",L1276&lt;=9,"MEDIUM")</f>
        <v>MEDIUM</v>
      </c>
      <c r="N1276" s="9" cm="1">
        <f t="array" ref="N1276">_xlfn.IFS(M1276="HIGH",K1276*L1276,M1276="MEDIUM",K1276*L1276,M1276="LOW","NA")</f>
        <v>75</v>
      </c>
      <c r="O1276" s="18" t="str">
        <f t="shared" si="59"/>
        <v>cleared</v>
      </c>
    </row>
    <row r="1277" spans="1:15" x14ac:dyDescent="0.25">
      <c r="A1277" s="17">
        <v>1273</v>
      </c>
      <c r="B1277" s="6" t="s">
        <v>1310</v>
      </c>
      <c r="C1277" s="6" t="s">
        <v>16</v>
      </c>
      <c r="D1277" s="6" t="s">
        <v>17</v>
      </c>
      <c r="E1277" s="6" t="s">
        <v>61</v>
      </c>
      <c r="F1277" s="6" t="s">
        <v>27</v>
      </c>
      <c r="G1277" s="7">
        <v>46206</v>
      </c>
      <c r="H1277" s="6">
        <v>5</v>
      </c>
      <c r="I1277" s="7">
        <v>46213</v>
      </c>
      <c r="J1277" s="7">
        <f t="shared" si="58"/>
        <v>46211</v>
      </c>
      <c r="K1277" s="8">
        <v>90</v>
      </c>
      <c r="L1277" s="9">
        <f t="shared" si="57"/>
        <v>2</v>
      </c>
      <c r="M1277" s="9" t="str" cm="1">
        <f t="array" ref="M1277">_xlfn.IFS(L1277&gt;=10,"HIGH",L1277=0,"LOW",L1277&lt;=9,"MEDIUM")</f>
        <v>MEDIUM</v>
      </c>
      <c r="N1277" s="9" cm="1">
        <f t="array" ref="N1277">_xlfn.IFS(M1277="HIGH",K1277*L1277,M1277="MEDIUM",K1277*L1277,M1277="LOW","NA")</f>
        <v>180</v>
      </c>
      <c r="O1277" s="18" t="str">
        <f t="shared" si="59"/>
        <v>cleared</v>
      </c>
    </row>
    <row r="1278" spans="1:15" x14ac:dyDescent="0.25">
      <c r="A1278" s="17">
        <v>1274</v>
      </c>
      <c r="B1278" s="6" t="s">
        <v>1311</v>
      </c>
      <c r="C1278" s="6" t="s">
        <v>16</v>
      </c>
      <c r="D1278" s="6" t="s">
        <v>34</v>
      </c>
      <c r="E1278" s="6" t="s">
        <v>18</v>
      </c>
      <c r="F1278" s="6" t="s">
        <v>14</v>
      </c>
      <c r="G1278" s="7">
        <v>46182</v>
      </c>
      <c r="H1278" s="6">
        <v>5</v>
      </c>
      <c r="I1278" s="7">
        <v>46184</v>
      </c>
      <c r="J1278" s="7">
        <f t="shared" si="58"/>
        <v>46187</v>
      </c>
      <c r="K1278" s="8">
        <v>130</v>
      </c>
      <c r="L1278" s="9">
        <f t="shared" si="57"/>
        <v>0</v>
      </c>
      <c r="M1278" s="9" t="str" cm="1">
        <f t="array" ref="M1278">_xlfn.IFS(L1278&gt;=10,"HIGH",L1278=0,"LOW",L1278&lt;=9,"MEDIUM")</f>
        <v>LOW</v>
      </c>
      <c r="N1278" s="9" t="str" cm="1">
        <f t="array" ref="N1278">_xlfn.IFS(M1278="HIGH",K1278*L1278,M1278="MEDIUM",K1278*L1278,M1278="LOW","NA")</f>
        <v>NA</v>
      </c>
      <c r="O1278" s="18" t="str">
        <f t="shared" si="59"/>
        <v>cleared</v>
      </c>
    </row>
    <row r="1279" spans="1:15" x14ac:dyDescent="0.25">
      <c r="A1279" s="17">
        <v>1275</v>
      </c>
      <c r="B1279" s="6" t="s">
        <v>1312</v>
      </c>
      <c r="C1279" s="6" t="s">
        <v>37</v>
      </c>
      <c r="D1279" s="6" t="s">
        <v>31</v>
      </c>
      <c r="E1279" s="6" t="s">
        <v>23</v>
      </c>
      <c r="F1279" s="6" t="s">
        <v>29</v>
      </c>
      <c r="G1279" s="7">
        <v>46215</v>
      </c>
      <c r="H1279" s="6">
        <v>4</v>
      </c>
      <c r="I1279" s="7">
        <v>46224</v>
      </c>
      <c r="J1279" s="7">
        <f t="shared" si="58"/>
        <v>46219</v>
      </c>
      <c r="K1279" s="8">
        <v>180</v>
      </c>
      <c r="L1279" s="9">
        <f t="shared" si="57"/>
        <v>5</v>
      </c>
      <c r="M1279" s="9" t="str" cm="1">
        <f t="array" ref="M1279">_xlfn.IFS(L1279&gt;=10,"HIGH",L1279=0,"LOW",L1279&lt;=9,"MEDIUM")</f>
        <v>MEDIUM</v>
      </c>
      <c r="N1279" s="9" cm="1">
        <f t="array" ref="N1279">_xlfn.IFS(M1279="HIGH",K1279*L1279,M1279="MEDIUM",K1279*L1279,M1279="LOW","NA")</f>
        <v>900</v>
      </c>
      <c r="O1279" s="18" t="str">
        <f t="shared" si="59"/>
        <v>cleared</v>
      </c>
    </row>
    <row r="1280" spans="1:15" x14ac:dyDescent="0.25">
      <c r="A1280" s="17">
        <v>1276</v>
      </c>
      <c r="B1280" s="6" t="s">
        <v>1313</v>
      </c>
      <c r="C1280" s="6" t="s">
        <v>33</v>
      </c>
      <c r="D1280" s="6" t="s">
        <v>17</v>
      </c>
      <c r="E1280" s="6" t="s">
        <v>35</v>
      </c>
      <c r="F1280" s="6" t="s">
        <v>14</v>
      </c>
      <c r="G1280" s="7">
        <v>46177</v>
      </c>
      <c r="H1280" s="6">
        <v>5</v>
      </c>
      <c r="I1280" s="7">
        <v>46186</v>
      </c>
      <c r="J1280" s="7">
        <f t="shared" si="58"/>
        <v>46182</v>
      </c>
      <c r="K1280" s="8">
        <v>110</v>
      </c>
      <c r="L1280" s="9">
        <f t="shared" si="57"/>
        <v>4</v>
      </c>
      <c r="M1280" s="9" t="str" cm="1">
        <f t="array" ref="M1280">_xlfn.IFS(L1280&gt;=10,"HIGH",L1280=0,"LOW",L1280&lt;=9,"MEDIUM")</f>
        <v>MEDIUM</v>
      </c>
      <c r="N1280" s="9" cm="1">
        <f t="array" ref="N1280">_xlfn.IFS(M1280="HIGH",K1280*L1280,M1280="MEDIUM",K1280*L1280,M1280="LOW","NA")</f>
        <v>440</v>
      </c>
      <c r="O1280" s="18" t="str">
        <f t="shared" si="59"/>
        <v>cleared</v>
      </c>
    </row>
    <row r="1281" spans="1:15" x14ac:dyDescent="0.25">
      <c r="A1281" s="17">
        <v>1277</v>
      </c>
      <c r="B1281" s="6" t="s">
        <v>1314</v>
      </c>
      <c r="C1281" s="6" t="s">
        <v>11</v>
      </c>
      <c r="D1281" s="6" t="s">
        <v>17</v>
      </c>
      <c r="E1281" s="6" t="s">
        <v>13</v>
      </c>
      <c r="F1281" s="6" t="s">
        <v>29</v>
      </c>
      <c r="G1281" s="7">
        <v>46204</v>
      </c>
      <c r="H1281" s="6">
        <v>4</v>
      </c>
      <c r="I1281" s="7">
        <v>46209</v>
      </c>
      <c r="J1281" s="7">
        <f t="shared" si="58"/>
        <v>46208</v>
      </c>
      <c r="K1281" s="8">
        <v>150</v>
      </c>
      <c r="L1281" s="9">
        <f t="shared" si="57"/>
        <v>1</v>
      </c>
      <c r="M1281" s="9" t="str" cm="1">
        <f t="array" ref="M1281">_xlfn.IFS(L1281&gt;=10,"HIGH",L1281=0,"LOW",L1281&lt;=9,"MEDIUM")</f>
        <v>MEDIUM</v>
      </c>
      <c r="N1281" s="9" cm="1">
        <f t="array" ref="N1281">_xlfn.IFS(M1281="HIGH",K1281*L1281,M1281="MEDIUM",K1281*L1281,M1281="LOW","NA")</f>
        <v>150</v>
      </c>
      <c r="O1281" s="18" t="str">
        <f t="shared" si="59"/>
        <v>cleared</v>
      </c>
    </row>
    <row r="1282" spans="1:15" x14ac:dyDescent="0.25">
      <c r="A1282" s="17">
        <v>1278</v>
      </c>
      <c r="B1282" s="6" t="s">
        <v>1315</v>
      </c>
      <c r="C1282" s="6" t="s">
        <v>37</v>
      </c>
      <c r="D1282" s="6" t="s">
        <v>31</v>
      </c>
      <c r="E1282" s="6" t="s">
        <v>35</v>
      </c>
      <c r="F1282" s="6" t="s">
        <v>29</v>
      </c>
      <c r="G1282" s="7">
        <v>46202</v>
      </c>
      <c r="H1282" s="6">
        <v>4</v>
      </c>
      <c r="I1282" s="7">
        <v>46206</v>
      </c>
      <c r="J1282" s="7">
        <f t="shared" si="58"/>
        <v>46206</v>
      </c>
      <c r="K1282" s="8">
        <v>150</v>
      </c>
      <c r="L1282" s="9">
        <f t="shared" si="57"/>
        <v>0</v>
      </c>
      <c r="M1282" s="9" t="str" cm="1">
        <f t="array" ref="M1282">_xlfn.IFS(L1282&gt;=10,"HIGH",L1282=0,"LOW",L1282&lt;=9,"MEDIUM")</f>
        <v>LOW</v>
      </c>
      <c r="N1282" s="9" t="str" cm="1">
        <f t="array" ref="N1282">_xlfn.IFS(M1282="HIGH",K1282*L1282,M1282="MEDIUM",K1282*L1282,M1282="LOW","NA")</f>
        <v>NA</v>
      </c>
      <c r="O1282" s="18" t="str">
        <f t="shared" si="59"/>
        <v>cleared</v>
      </c>
    </row>
    <row r="1283" spans="1:15" x14ac:dyDescent="0.25">
      <c r="A1283" s="17">
        <v>1279</v>
      </c>
      <c r="B1283" s="6" t="s">
        <v>1316</v>
      </c>
      <c r="C1283" s="6" t="s">
        <v>33</v>
      </c>
      <c r="D1283" s="6" t="s">
        <v>31</v>
      </c>
      <c r="E1283" s="6" t="s">
        <v>61</v>
      </c>
      <c r="F1283" s="6" t="s">
        <v>14</v>
      </c>
      <c r="G1283" s="7">
        <v>46219</v>
      </c>
      <c r="H1283" s="6">
        <v>6</v>
      </c>
      <c r="I1283" s="7">
        <v>46224</v>
      </c>
      <c r="J1283" s="7">
        <f t="shared" si="58"/>
        <v>46225</v>
      </c>
      <c r="K1283" s="8">
        <v>110</v>
      </c>
      <c r="L1283" s="9">
        <f t="shared" si="57"/>
        <v>0</v>
      </c>
      <c r="M1283" s="9" t="str" cm="1">
        <f t="array" ref="M1283">_xlfn.IFS(L1283&gt;=10,"HIGH",L1283=0,"LOW",L1283&lt;=9,"MEDIUM")</f>
        <v>LOW</v>
      </c>
      <c r="N1283" s="9" t="str" cm="1">
        <f t="array" ref="N1283">_xlfn.IFS(M1283="HIGH",K1283*L1283,M1283="MEDIUM",K1283*L1283,M1283="LOW","NA")</f>
        <v>NA</v>
      </c>
      <c r="O1283" s="18" t="str">
        <f t="shared" si="59"/>
        <v>cleared</v>
      </c>
    </row>
    <row r="1284" spans="1:15" x14ac:dyDescent="0.25">
      <c r="A1284" s="17">
        <v>1280</v>
      </c>
      <c r="B1284" s="6" t="s">
        <v>1317</v>
      </c>
      <c r="C1284" s="6" t="s">
        <v>16</v>
      </c>
      <c r="D1284" s="6" t="s">
        <v>54</v>
      </c>
      <c r="E1284" s="6" t="s">
        <v>23</v>
      </c>
      <c r="F1284" s="6" t="s">
        <v>27</v>
      </c>
      <c r="G1284" s="7">
        <v>46245</v>
      </c>
      <c r="H1284" s="6">
        <v>7</v>
      </c>
      <c r="I1284" s="7">
        <v>46246</v>
      </c>
      <c r="J1284" s="7">
        <f t="shared" si="58"/>
        <v>46252</v>
      </c>
      <c r="K1284" s="8">
        <v>90</v>
      </c>
      <c r="L1284" s="9">
        <f t="shared" si="57"/>
        <v>0</v>
      </c>
      <c r="M1284" s="9" t="str" cm="1">
        <f t="array" ref="M1284">_xlfn.IFS(L1284&gt;=10,"HIGH",L1284=0,"LOW",L1284&lt;=9,"MEDIUM")</f>
        <v>LOW</v>
      </c>
      <c r="N1284" s="9" t="str" cm="1">
        <f t="array" ref="N1284">_xlfn.IFS(M1284="HIGH",K1284*L1284,M1284="MEDIUM",K1284*L1284,M1284="LOW","NA")</f>
        <v>NA</v>
      </c>
      <c r="O1284" s="18" t="str">
        <f t="shared" si="59"/>
        <v>cleared</v>
      </c>
    </row>
    <row r="1285" spans="1:15" x14ac:dyDescent="0.25">
      <c r="A1285" s="17">
        <v>1281</v>
      </c>
      <c r="B1285" s="6" t="s">
        <v>1318</v>
      </c>
      <c r="C1285" s="6" t="s">
        <v>33</v>
      </c>
      <c r="D1285" s="6" t="s">
        <v>12</v>
      </c>
      <c r="E1285" s="6" t="s">
        <v>35</v>
      </c>
      <c r="F1285" s="6" t="s">
        <v>14</v>
      </c>
      <c r="G1285" s="7">
        <v>46257</v>
      </c>
      <c r="H1285" s="6">
        <v>6</v>
      </c>
      <c r="I1285" s="6"/>
      <c r="J1285" s="7">
        <f t="shared" si="58"/>
        <v>46263</v>
      </c>
      <c r="K1285" s="8">
        <v>75</v>
      </c>
      <c r="L1285" s="9">
        <f t="shared" ref="L1285:L1348" si="60">MAX(0, IF(I1285="", $C$2-J1285, I1285-J1285))</f>
        <v>0</v>
      </c>
      <c r="M1285" s="9" t="str" cm="1">
        <f t="array" ref="M1285">_xlfn.IFS(L1285&gt;=10,"HIGH",L1285=0,"LOW",L1285&lt;=9,"MEDIUM")</f>
        <v>LOW</v>
      </c>
      <c r="N1285" s="9" t="str" cm="1">
        <f t="array" ref="N1285">_xlfn.IFS(M1285="HIGH",K1285*L1285,M1285="MEDIUM",K1285*L1285,M1285="LOW","NA")</f>
        <v>NA</v>
      </c>
      <c r="O1285" s="18" t="str">
        <f t="shared" si="59"/>
        <v>still in yard</v>
      </c>
    </row>
    <row r="1286" spans="1:15" x14ac:dyDescent="0.25">
      <c r="A1286" s="17">
        <v>1282</v>
      </c>
      <c r="B1286" s="6" t="s">
        <v>1319</v>
      </c>
      <c r="C1286" s="6" t="s">
        <v>16</v>
      </c>
      <c r="D1286" s="6" t="s">
        <v>31</v>
      </c>
      <c r="E1286" s="6" t="s">
        <v>44</v>
      </c>
      <c r="F1286" s="6" t="s">
        <v>24</v>
      </c>
      <c r="G1286" s="7">
        <v>46196</v>
      </c>
      <c r="H1286" s="6">
        <v>5</v>
      </c>
      <c r="I1286" s="6"/>
      <c r="J1286" s="7">
        <f t="shared" ref="J1286:J1349" si="61">G1286+H1286</f>
        <v>46201</v>
      </c>
      <c r="K1286" s="8">
        <v>130</v>
      </c>
      <c r="L1286" s="9">
        <f t="shared" si="60"/>
        <v>58</v>
      </c>
      <c r="M1286" s="9" t="str" cm="1">
        <f t="array" ref="M1286">_xlfn.IFS(L1286&gt;=10,"HIGH",L1286=0,"LOW",L1286&lt;=9,"MEDIUM")</f>
        <v>HIGH</v>
      </c>
      <c r="N1286" s="9" cm="1">
        <f t="array" ref="N1286">_xlfn.IFS(M1286="HIGH",K1286*L1286,M1286="MEDIUM",K1286*L1286,M1286="LOW","NA")</f>
        <v>7540</v>
      </c>
      <c r="O1286" s="18" t="str">
        <f t="shared" ref="O1286:O1349" si="62">IF(I1286="","still in yard","cleared")</f>
        <v>still in yard</v>
      </c>
    </row>
    <row r="1287" spans="1:15" x14ac:dyDescent="0.25">
      <c r="A1287" s="17">
        <v>1283</v>
      </c>
      <c r="B1287" s="6" t="s">
        <v>1320</v>
      </c>
      <c r="C1287" s="6" t="s">
        <v>16</v>
      </c>
      <c r="D1287" s="6" t="s">
        <v>26</v>
      </c>
      <c r="E1287" s="6" t="s">
        <v>46</v>
      </c>
      <c r="F1287" s="6" t="s">
        <v>24</v>
      </c>
      <c r="G1287" s="7">
        <v>46250</v>
      </c>
      <c r="H1287" s="6">
        <v>6</v>
      </c>
      <c r="I1287" s="7">
        <v>46255</v>
      </c>
      <c r="J1287" s="7">
        <f t="shared" si="61"/>
        <v>46256</v>
      </c>
      <c r="K1287" s="8">
        <v>60</v>
      </c>
      <c r="L1287" s="9">
        <f t="shared" si="60"/>
        <v>0</v>
      </c>
      <c r="M1287" s="9" t="str" cm="1">
        <f t="array" ref="M1287">_xlfn.IFS(L1287&gt;=10,"HIGH",L1287=0,"LOW",L1287&lt;=9,"MEDIUM")</f>
        <v>LOW</v>
      </c>
      <c r="N1287" s="9" t="str" cm="1">
        <f t="array" ref="N1287">_xlfn.IFS(M1287="HIGH",K1287*L1287,M1287="MEDIUM",K1287*L1287,M1287="LOW","NA")</f>
        <v>NA</v>
      </c>
      <c r="O1287" s="18" t="str">
        <f t="shared" si="62"/>
        <v>cleared</v>
      </c>
    </row>
    <row r="1288" spans="1:15" x14ac:dyDescent="0.25">
      <c r="A1288" s="17">
        <v>1284</v>
      </c>
      <c r="B1288" s="6" t="s">
        <v>1321</v>
      </c>
      <c r="C1288" s="6" t="s">
        <v>33</v>
      </c>
      <c r="D1288" s="6" t="s">
        <v>31</v>
      </c>
      <c r="E1288" s="6" t="s">
        <v>42</v>
      </c>
      <c r="F1288" s="6" t="s">
        <v>27</v>
      </c>
      <c r="G1288" s="7">
        <v>46213</v>
      </c>
      <c r="H1288" s="6">
        <v>5</v>
      </c>
      <c r="I1288" s="7">
        <v>46214</v>
      </c>
      <c r="J1288" s="7">
        <f t="shared" si="61"/>
        <v>46218</v>
      </c>
      <c r="K1288" s="8">
        <v>60</v>
      </c>
      <c r="L1288" s="9">
        <f t="shared" si="60"/>
        <v>0</v>
      </c>
      <c r="M1288" s="9" t="str" cm="1">
        <f t="array" ref="M1288">_xlfn.IFS(L1288&gt;=10,"HIGH",L1288=0,"LOW",L1288&lt;=9,"MEDIUM")</f>
        <v>LOW</v>
      </c>
      <c r="N1288" s="9" t="str" cm="1">
        <f t="array" ref="N1288">_xlfn.IFS(M1288="HIGH",K1288*L1288,M1288="MEDIUM",K1288*L1288,M1288="LOW","NA")</f>
        <v>NA</v>
      </c>
      <c r="O1288" s="18" t="str">
        <f t="shared" si="62"/>
        <v>cleared</v>
      </c>
    </row>
    <row r="1289" spans="1:15" x14ac:dyDescent="0.25">
      <c r="A1289" s="17">
        <v>1285</v>
      </c>
      <c r="B1289" s="6" t="s">
        <v>1322</v>
      </c>
      <c r="C1289" s="6" t="s">
        <v>16</v>
      </c>
      <c r="D1289" s="6" t="s">
        <v>12</v>
      </c>
      <c r="E1289" s="6" t="s">
        <v>42</v>
      </c>
      <c r="F1289" s="6" t="s">
        <v>27</v>
      </c>
      <c r="G1289" s="7">
        <v>46205</v>
      </c>
      <c r="H1289" s="6">
        <v>5</v>
      </c>
      <c r="I1289" s="6"/>
      <c r="J1289" s="7">
        <f t="shared" si="61"/>
        <v>46210</v>
      </c>
      <c r="K1289" s="8">
        <v>130</v>
      </c>
      <c r="L1289" s="9">
        <f t="shared" si="60"/>
        <v>49</v>
      </c>
      <c r="M1289" s="9" t="str" cm="1">
        <f t="array" ref="M1289">_xlfn.IFS(L1289&gt;=10,"HIGH",L1289=0,"LOW",L1289&lt;=9,"MEDIUM")</f>
        <v>HIGH</v>
      </c>
      <c r="N1289" s="9" cm="1">
        <f t="array" ref="N1289">_xlfn.IFS(M1289="HIGH",K1289*L1289,M1289="MEDIUM",K1289*L1289,M1289="LOW","NA")</f>
        <v>6370</v>
      </c>
      <c r="O1289" s="18" t="str">
        <f t="shared" si="62"/>
        <v>still in yard</v>
      </c>
    </row>
    <row r="1290" spans="1:15" x14ac:dyDescent="0.25">
      <c r="A1290" s="17">
        <v>1286</v>
      </c>
      <c r="B1290" s="6" t="s">
        <v>1323</v>
      </c>
      <c r="C1290" s="6" t="s">
        <v>11</v>
      </c>
      <c r="D1290" s="6" t="s">
        <v>34</v>
      </c>
      <c r="E1290" s="6" t="s">
        <v>61</v>
      </c>
      <c r="F1290" s="6" t="s">
        <v>29</v>
      </c>
      <c r="G1290" s="7">
        <v>46208</v>
      </c>
      <c r="H1290" s="6">
        <v>4</v>
      </c>
      <c r="I1290" s="7">
        <v>46213</v>
      </c>
      <c r="J1290" s="7">
        <f t="shared" si="61"/>
        <v>46212</v>
      </c>
      <c r="K1290" s="8">
        <v>180</v>
      </c>
      <c r="L1290" s="9">
        <f t="shared" si="60"/>
        <v>1</v>
      </c>
      <c r="M1290" s="9" t="str" cm="1">
        <f t="array" ref="M1290">_xlfn.IFS(L1290&gt;=10,"HIGH",L1290=0,"LOW",L1290&lt;=9,"MEDIUM")</f>
        <v>MEDIUM</v>
      </c>
      <c r="N1290" s="9" cm="1">
        <f t="array" ref="N1290">_xlfn.IFS(M1290="HIGH",K1290*L1290,M1290="MEDIUM",K1290*L1290,M1290="LOW","NA")</f>
        <v>180</v>
      </c>
      <c r="O1290" s="18" t="str">
        <f t="shared" si="62"/>
        <v>cleared</v>
      </c>
    </row>
    <row r="1291" spans="1:15" x14ac:dyDescent="0.25">
      <c r="A1291" s="17">
        <v>1287</v>
      </c>
      <c r="B1291" s="6" t="s">
        <v>1324</v>
      </c>
      <c r="C1291" s="6" t="s">
        <v>33</v>
      </c>
      <c r="D1291" s="6" t="s">
        <v>34</v>
      </c>
      <c r="E1291" s="6" t="s">
        <v>23</v>
      </c>
      <c r="F1291" s="6" t="s">
        <v>29</v>
      </c>
      <c r="G1291" s="7">
        <v>46194</v>
      </c>
      <c r="H1291" s="6">
        <v>4</v>
      </c>
      <c r="I1291" s="7">
        <v>46197</v>
      </c>
      <c r="J1291" s="7">
        <f t="shared" si="61"/>
        <v>46198</v>
      </c>
      <c r="K1291" s="8">
        <v>180</v>
      </c>
      <c r="L1291" s="9">
        <f t="shared" si="60"/>
        <v>0</v>
      </c>
      <c r="M1291" s="9" t="str" cm="1">
        <f t="array" ref="M1291">_xlfn.IFS(L1291&gt;=10,"HIGH",L1291=0,"LOW",L1291&lt;=9,"MEDIUM")</f>
        <v>LOW</v>
      </c>
      <c r="N1291" s="9" t="str" cm="1">
        <f t="array" ref="N1291">_xlfn.IFS(M1291="HIGH",K1291*L1291,M1291="MEDIUM",K1291*L1291,M1291="LOW","NA")</f>
        <v>NA</v>
      </c>
      <c r="O1291" s="18" t="str">
        <f t="shared" si="62"/>
        <v>cleared</v>
      </c>
    </row>
    <row r="1292" spans="1:15" x14ac:dyDescent="0.25">
      <c r="A1292" s="17">
        <v>1288</v>
      </c>
      <c r="B1292" s="6" t="s">
        <v>1325</v>
      </c>
      <c r="C1292" s="6" t="s">
        <v>37</v>
      </c>
      <c r="D1292" s="6" t="s">
        <v>49</v>
      </c>
      <c r="E1292" s="6" t="s">
        <v>61</v>
      </c>
      <c r="F1292" s="6" t="s">
        <v>29</v>
      </c>
      <c r="G1292" s="7">
        <v>46224</v>
      </c>
      <c r="H1292" s="6">
        <v>4</v>
      </c>
      <c r="I1292" s="7">
        <v>46225</v>
      </c>
      <c r="J1292" s="7">
        <f t="shared" si="61"/>
        <v>46228</v>
      </c>
      <c r="K1292" s="8">
        <v>120</v>
      </c>
      <c r="L1292" s="9">
        <f t="shared" si="60"/>
        <v>0</v>
      </c>
      <c r="M1292" s="9" t="str" cm="1">
        <f t="array" ref="M1292">_xlfn.IFS(L1292&gt;=10,"HIGH",L1292=0,"LOW",L1292&lt;=9,"MEDIUM")</f>
        <v>LOW</v>
      </c>
      <c r="N1292" s="9" t="str" cm="1">
        <f t="array" ref="N1292">_xlfn.IFS(M1292="HIGH",K1292*L1292,M1292="MEDIUM",K1292*L1292,M1292="LOW","NA")</f>
        <v>NA</v>
      </c>
      <c r="O1292" s="18" t="str">
        <f t="shared" si="62"/>
        <v>cleared</v>
      </c>
    </row>
    <row r="1293" spans="1:15" x14ac:dyDescent="0.25">
      <c r="A1293" s="17">
        <v>1289</v>
      </c>
      <c r="B1293" s="6" t="s">
        <v>1326</v>
      </c>
      <c r="C1293" s="6" t="s">
        <v>33</v>
      </c>
      <c r="D1293" s="6" t="s">
        <v>34</v>
      </c>
      <c r="E1293" s="6" t="s">
        <v>18</v>
      </c>
      <c r="F1293" s="6" t="s">
        <v>14</v>
      </c>
      <c r="G1293" s="7">
        <v>46170</v>
      </c>
      <c r="H1293" s="6">
        <v>5</v>
      </c>
      <c r="I1293" s="7">
        <v>46171</v>
      </c>
      <c r="J1293" s="7">
        <f t="shared" si="61"/>
        <v>46175</v>
      </c>
      <c r="K1293" s="8">
        <v>75</v>
      </c>
      <c r="L1293" s="9">
        <f t="shared" si="60"/>
        <v>0</v>
      </c>
      <c r="M1293" s="9" t="str" cm="1">
        <f t="array" ref="M1293">_xlfn.IFS(L1293&gt;=10,"HIGH",L1293=0,"LOW",L1293&lt;=9,"MEDIUM")</f>
        <v>LOW</v>
      </c>
      <c r="N1293" s="9" t="str" cm="1">
        <f t="array" ref="N1293">_xlfn.IFS(M1293="HIGH",K1293*L1293,M1293="MEDIUM",K1293*L1293,M1293="LOW","NA")</f>
        <v>NA</v>
      </c>
      <c r="O1293" s="18" t="str">
        <f t="shared" si="62"/>
        <v>cleared</v>
      </c>
    </row>
    <row r="1294" spans="1:15" x14ac:dyDescent="0.25">
      <c r="A1294" s="17">
        <v>1290</v>
      </c>
      <c r="B1294" s="6" t="s">
        <v>1327</v>
      </c>
      <c r="C1294" s="6" t="s">
        <v>16</v>
      </c>
      <c r="D1294" s="6" t="s">
        <v>54</v>
      </c>
      <c r="E1294" s="6" t="s">
        <v>46</v>
      </c>
      <c r="F1294" s="6" t="s">
        <v>29</v>
      </c>
      <c r="G1294" s="7">
        <v>46229</v>
      </c>
      <c r="H1294" s="6">
        <v>4</v>
      </c>
      <c r="I1294" s="7">
        <v>46230</v>
      </c>
      <c r="J1294" s="7">
        <f t="shared" si="61"/>
        <v>46233</v>
      </c>
      <c r="K1294" s="8">
        <v>150</v>
      </c>
      <c r="L1294" s="9">
        <f t="shared" si="60"/>
        <v>0</v>
      </c>
      <c r="M1294" s="9" t="str" cm="1">
        <f t="array" ref="M1294">_xlfn.IFS(L1294&gt;=10,"HIGH",L1294=0,"LOW",L1294&lt;=9,"MEDIUM")</f>
        <v>LOW</v>
      </c>
      <c r="N1294" s="9" t="str" cm="1">
        <f t="array" ref="N1294">_xlfn.IFS(M1294="HIGH",K1294*L1294,M1294="MEDIUM",K1294*L1294,M1294="LOW","NA")</f>
        <v>NA</v>
      </c>
      <c r="O1294" s="18" t="str">
        <f t="shared" si="62"/>
        <v>cleared</v>
      </c>
    </row>
    <row r="1295" spans="1:15" x14ac:dyDescent="0.25">
      <c r="A1295" s="17">
        <v>1291</v>
      </c>
      <c r="B1295" s="6" t="s">
        <v>1328</v>
      </c>
      <c r="C1295" s="6" t="s">
        <v>16</v>
      </c>
      <c r="D1295" s="6" t="s">
        <v>54</v>
      </c>
      <c r="E1295" s="6" t="s">
        <v>13</v>
      </c>
      <c r="F1295" s="6" t="s">
        <v>24</v>
      </c>
      <c r="G1295" s="7">
        <v>46257</v>
      </c>
      <c r="H1295" s="6">
        <v>6</v>
      </c>
      <c r="I1295" s="7">
        <v>46258</v>
      </c>
      <c r="J1295" s="7">
        <f t="shared" si="61"/>
        <v>46263</v>
      </c>
      <c r="K1295" s="8">
        <v>60</v>
      </c>
      <c r="L1295" s="9">
        <f t="shared" si="60"/>
        <v>0</v>
      </c>
      <c r="M1295" s="9" t="str" cm="1">
        <f t="array" ref="M1295">_xlfn.IFS(L1295&gt;=10,"HIGH",L1295=0,"LOW",L1295&lt;=9,"MEDIUM")</f>
        <v>LOW</v>
      </c>
      <c r="N1295" s="9" t="str" cm="1">
        <f t="array" ref="N1295">_xlfn.IFS(M1295="HIGH",K1295*L1295,M1295="MEDIUM",K1295*L1295,M1295="LOW","NA")</f>
        <v>NA</v>
      </c>
      <c r="O1295" s="18" t="str">
        <f t="shared" si="62"/>
        <v>cleared</v>
      </c>
    </row>
    <row r="1296" spans="1:15" x14ac:dyDescent="0.25">
      <c r="A1296" s="17">
        <v>1292</v>
      </c>
      <c r="B1296" s="6" t="s">
        <v>1329</v>
      </c>
      <c r="C1296" s="6" t="s">
        <v>11</v>
      </c>
      <c r="D1296" s="6" t="s">
        <v>20</v>
      </c>
      <c r="E1296" s="6" t="s">
        <v>39</v>
      </c>
      <c r="F1296" s="6" t="s">
        <v>29</v>
      </c>
      <c r="G1296" s="7">
        <v>46204</v>
      </c>
      <c r="H1296" s="6">
        <v>3</v>
      </c>
      <c r="I1296" s="6"/>
      <c r="J1296" s="7">
        <f t="shared" si="61"/>
        <v>46207</v>
      </c>
      <c r="K1296" s="8">
        <v>150</v>
      </c>
      <c r="L1296" s="9">
        <f t="shared" si="60"/>
        <v>52</v>
      </c>
      <c r="M1296" s="9" t="str" cm="1">
        <f t="array" ref="M1296">_xlfn.IFS(L1296&gt;=10,"HIGH",L1296=0,"LOW",L1296&lt;=9,"MEDIUM")</f>
        <v>HIGH</v>
      </c>
      <c r="N1296" s="9" cm="1">
        <f t="array" ref="N1296">_xlfn.IFS(M1296="HIGH",K1296*L1296,M1296="MEDIUM",K1296*L1296,M1296="LOW","NA")</f>
        <v>7800</v>
      </c>
      <c r="O1296" s="18" t="str">
        <f t="shared" si="62"/>
        <v>still in yard</v>
      </c>
    </row>
    <row r="1297" spans="1:15" x14ac:dyDescent="0.25">
      <c r="A1297" s="17">
        <v>1293</v>
      </c>
      <c r="B1297" s="6" t="s">
        <v>1330</v>
      </c>
      <c r="C1297" s="6" t="s">
        <v>11</v>
      </c>
      <c r="D1297" s="6" t="s">
        <v>49</v>
      </c>
      <c r="E1297" s="6" t="s">
        <v>21</v>
      </c>
      <c r="F1297" s="6" t="s">
        <v>24</v>
      </c>
      <c r="G1297" s="7">
        <v>46221</v>
      </c>
      <c r="H1297" s="6">
        <v>7</v>
      </c>
      <c r="I1297" s="7">
        <v>46229</v>
      </c>
      <c r="J1297" s="7">
        <f t="shared" si="61"/>
        <v>46228</v>
      </c>
      <c r="K1297" s="8">
        <v>110</v>
      </c>
      <c r="L1297" s="9">
        <f t="shared" si="60"/>
        <v>1</v>
      </c>
      <c r="M1297" s="9" t="str" cm="1">
        <f t="array" ref="M1297">_xlfn.IFS(L1297&gt;=10,"HIGH",L1297=0,"LOW",L1297&lt;=9,"MEDIUM")</f>
        <v>MEDIUM</v>
      </c>
      <c r="N1297" s="9" cm="1">
        <f t="array" ref="N1297">_xlfn.IFS(M1297="HIGH",K1297*L1297,M1297="MEDIUM",K1297*L1297,M1297="LOW","NA")</f>
        <v>110</v>
      </c>
      <c r="O1297" s="18" t="str">
        <f t="shared" si="62"/>
        <v>cleared</v>
      </c>
    </row>
    <row r="1298" spans="1:15" x14ac:dyDescent="0.25">
      <c r="A1298" s="17">
        <v>1294</v>
      </c>
      <c r="B1298" s="6" t="s">
        <v>1331</v>
      </c>
      <c r="C1298" s="6" t="s">
        <v>33</v>
      </c>
      <c r="D1298" s="6" t="s">
        <v>54</v>
      </c>
      <c r="E1298" s="6" t="s">
        <v>42</v>
      </c>
      <c r="F1298" s="6" t="s">
        <v>27</v>
      </c>
      <c r="G1298" s="7">
        <v>46257</v>
      </c>
      <c r="H1298" s="6">
        <v>6</v>
      </c>
      <c r="I1298" s="7">
        <v>46258</v>
      </c>
      <c r="J1298" s="7">
        <f t="shared" si="61"/>
        <v>46263</v>
      </c>
      <c r="K1298" s="8">
        <v>60</v>
      </c>
      <c r="L1298" s="9">
        <f t="shared" si="60"/>
        <v>0</v>
      </c>
      <c r="M1298" s="9" t="str" cm="1">
        <f t="array" ref="M1298">_xlfn.IFS(L1298&gt;=10,"HIGH",L1298=0,"LOW",L1298&lt;=9,"MEDIUM")</f>
        <v>LOW</v>
      </c>
      <c r="N1298" s="9" t="str" cm="1">
        <f t="array" ref="N1298">_xlfn.IFS(M1298="HIGH",K1298*L1298,M1298="MEDIUM",K1298*L1298,M1298="LOW","NA")</f>
        <v>NA</v>
      </c>
      <c r="O1298" s="18" t="str">
        <f t="shared" si="62"/>
        <v>cleared</v>
      </c>
    </row>
    <row r="1299" spans="1:15" x14ac:dyDescent="0.25">
      <c r="A1299" s="17">
        <v>1295</v>
      </c>
      <c r="B1299" s="6" t="s">
        <v>1332</v>
      </c>
      <c r="C1299" s="6" t="s">
        <v>16</v>
      </c>
      <c r="D1299" s="6" t="s">
        <v>54</v>
      </c>
      <c r="E1299" s="6" t="s">
        <v>35</v>
      </c>
      <c r="F1299" s="6" t="s">
        <v>14</v>
      </c>
      <c r="G1299" s="7">
        <v>46196</v>
      </c>
      <c r="H1299" s="6">
        <v>5</v>
      </c>
      <c r="I1299" s="7">
        <v>46201</v>
      </c>
      <c r="J1299" s="7">
        <f t="shared" si="61"/>
        <v>46201</v>
      </c>
      <c r="K1299" s="8">
        <v>60</v>
      </c>
      <c r="L1299" s="9">
        <f t="shared" si="60"/>
        <v>0</v>
      </c>
      <c r="M1299" s="9" t="str" cm="1">
        <f t="array" ref="M1299">_xlfn.IFS(L1299&gt;=10,"HIGH",L1299=0,"LOW",L1299&lt;=9,"MEDIUM")</f>
        <v>LOW</v>
      </c>
      <c r="N1299" s="9" t="str" cm="1">
        <f t="array" ref="N1299">_xlfn.IFS(M1299="HIGH",K1299*L1299,M1299="MEDIUM",K1299*L1299,M1299="LOW","NA")</f>
        <v>NA</v>
      </c>
      <c r="O1299" s="18" t="str">
        <f t="shared" si="62"/>
        <v>cleared</v>
      </c>
    </row>
    <row r="1300" spans="1:15" x14ac:dyDescent="0.25">
      <c r="A1300" s="17">
        <v>1296</v>
      </c>
      <c r="B1300" s="6" t="s">
        <v>1333</v>
      </c>
      <c r="C1300" s="6" t="s">
        <v>37</v>
      </c>
      <c r="D1300" s="6" t="s">
        <v>31</v>
      </c>
      <c r="E1300" s="6" t="s">
        <v>18</v>
      </c>
      <c r="F1300" s="6" t="s">
        <v>29</v>
      </c>
      <c r="G1300" s="7">
        <v>46247</v>
      </c>
      <c r="H1300" s="6">
        <v>4</v>
      </c>
      <c r="I1300" s="7">
        <v>46248</v>
      </c>
      <c r="J1300" s="7">
        <f t="shared" si="61"/>
        <v>46251</v>
      </c>
      <c r="K1300" s="8">
        <v>120</v>
      </c>
      <c r="L1300" s="9">
        <f t="shared" si="60"/>
        <v>0</v>
      </c>
      <c r="M1300" s="9" t="str" cm="1">
        <f t="array" ref="M1300">_xlfn.IFS(L1300&gt;=10,"HIGH",L1300=0,"LOW",L1300&lt;=9,"MEDIUM")</f>
        <v>LOW</v>
      </c>
      <c r="N1300" s="9" t="str" cm="1">
        <f t="array" ref="N1300">_xlfn.IFS(M1300="HIGH",K1300*L1300,M1300="MEDIUM",K1300*L1300,M1300="LOW","NA")</f>
        <v>NA</v>
      </c>
      <c r="O1300" s="18" t="str">
        <f t="shared" si="62"/>
        <v>cleared</v>
      </c>
    </row>
    <row r="1301" spans="1:15" x14ac:dyDescent="0.25">
      <c r="A1301" s="17">
        <v>1297</v>
      </c>
      <c r="B1301" s="6" t="s">
        <v>1334</v>
      </c>
      <c r="C1301" s="6" t="s">
        <v>11</v>
      </c>
      <c r="D1301" s="6" t="s">
        <v>31</v>
      </c>
      <c r="E1301" s="6" t="s">
        <v>35</v>
      </c>
      <c r="F1301" s="6" t="s">
        <v>27</v>
      </c>
      <c r="G1301" s="7">
        <v>46255</v>
      </c>
      <c r="H1301" s="6">
        <v>7</v>
      </c>
      <c r="I1301" s="6"/>
      <c r="J1301" s="7">
        <f t="shared" si="61"/>
        <v>46262</v>
      </c>
      <c r="K1301" s="8">
        <v>110</v>
      </c>
      <c r="L1301" s="9">
        <f t="shared" si="60"/>
        <v>0</v>
      </c>
      <c r="M1301" s="9" t="str" cm="1">
        <f t="array" ref="M1301">_xlfn.IFS(L1301&gt;=10,"HIGH",L1301=0,"LOW",L1301&lt;=9,"MEDIUM")</f>
        <v>LOW</v>
      </c>
      <c r="N1301" s="9" t="str" cm="1">
        <f t="array" ref="N1301">_xlfn.IFS(M1301="HIGH",K1301*L1301,M1301="MEDIUM",K1301*L1301,M1301="LOW","NA")</f>
        <v>NA</v>
      </c>
      <c r="O1301" s="18" t="str">
        <f t="shared" si="62"/>
        <v>still in yard</v>
      </c>
    </row>
    <row r="1302" spans="1:15" x14ac:dyDescent="0.25">
      <c r="A1302" s="17">
        <v>1298</v>
      </c>
      <c r="B1302" s="6" t="s">
        <v>1335</v>
      </c>
      <c r="C1302" s="6" t="s">
        <v>33</v>
      </c>
      <c r="D1302" s="6" t="s">
        <v>56</v>
      </c>
      <c r="E1302" s="6" t="s">
        <v>42</v>
      </c>
      <c r="F1302" s="6" t="s">
        <v>14</v>
      </c>
      <c r="G1302" s="7">
        <v>46213</v>
      </c>
      <c r="H1302" s="6">
        <v>5</v>
      </c>
      <c r="I1302" s="7">
        <v>46219</v>
      </c>
      <c r="J1302" s="7">
        <f t="shared" si="61"/>
        <v>46218</v>
      </c>
      <c r="K1302" s="8">
        <v>110</v>
      </c>
      <c r="L1302" s="9">
        <f t="shared" si="60"/>
        <v>1</v>
      </c>
      <c r="M1302" s="9" t="str" cm="1">
        <f t="array" ref="M1302">_xlfn.IFS(L1302&gt;=10,"HIGH",L1302=0,"LOW",L1302&lt;=9,"MEDIUM")</f>
        <v>MEDIUM</v>
      </c>
      <c r="N1302" s="9" cm="1">
        <f t="array" ref="N1302">_xlfn.IFS(M1302="HIGH",K1302*L1302,M1302="MEDIUM",K1302*L1302,M1302="LOW","NA")</f>
        <v>110</v>
      </c>
      <c r="O1302" s="18" t="str">
        <f t="shared" si="62"/>
        <v>cleared</v>
      </c>
    </row>
    <row r="1303" spans="1:15" x14ac:dyDescent="0.25">
      <c r="A1303" s="17">
        <v>1299</v>
      </c>
      <c r="B1303" s="6" t="s">
        <v>1336</v>
      </c>
      <c r="C1303" s="6" t="s">
        <v>37</v>
      </c>
      <c r="D1303" s="6" t="s">
        <v>56</v>
      </c>
      <c r="E1303" s="6" t="s">
        <v>35</v>
      </c>
      <c r="F1303" s="6" t="s">
        <v>14</v>
      </c>
      <c r="G1303" s="7">
        <v>46257</v>
      </c>
      <c r="H1303" s="6">
        <v>5</v>
      </c>
      <c r="I1303" s="7">
        <v>46259</v>
      </c>
      <c r="J1303" s="7">
        <f t="shared" si="61"/>
        <v>46262</v>
      </c>
      <c r="K1303" s="8">
        <v>130</v>
      </c>
      <c r="L1303" s="9">
        <f t="shared" si="60"/>
        <v>0</v>
      </c>
      <c r="M1303" s="9" t="str" cm="1">
        <f t="array" ref="M1303">_xlfn.IFS(L1303&gt;=10,"HIGH",L1303=0,"LOW",L1303&lt;=9,"MEDIUM")</f>
        <v>LOW</v>
      </c>
      <c r="N1303" s="9" t="str" cm="1">
        <f t="array" ref="N1303">_xlfn.IFS(M1303="HIGH",K1303*L1303,M1303="MEDIUM",K1303*L1303,M1303="LOW","NA")</f>
        <v>NA</v>
      </c>
      <c r="O1303" s="18" t="str">
        <f t="shared" si="62"/>
        <v>cleared</v>
      </c>
    </row>
    <row r="1304" spans="1:15" x14ac:dyDescent="0.25">
      <c r="A1304" s="17">
        <v>1300</v>
      </c>
      <c r="B1304" s="6" t="s">
        <v>1337</v>
      </c>
      <c r="C1304" s="6" t="s">
        <v>33</v>
      </c>
      <c r="D1304" s="6" t="s">
        <v>17</v>
      </c>
      <c r="E1304" s="6" t="s">
        <v>13</v>
      </c>
      <c r="F1304" s="6" t="s">
        <v>24</v>
      </c>
      <c r="G1304" s="7">
        <v>46239</v>
      </c>
      <c r="H1304" s="6">
        <v>4</v>
      </c>
      <c r="I1304" s="7">
        <v>46240</v>
      </c>
      <c r="J1304" s="7">
        <f t="shared" si="61"/>
        <v>46243</v>
      </c>
      <c r="K1304" s="8">
        <v>75</v>
      </c>
      <c r="L1304" s="9">
        <f t="shared" si="60"/>
        <v>0</v>
      </c>
      <c r="M1304" s="9" t="str" cm="1">
        <f t="array" ref="M1304">_xlfn.IFS(L1304&gt;=10,"HIGH",L1304=0,"LOW",L1304&lt;=9,"MEDIUM")</f>
        <v>LOW</v>
      </c>
      <c r="N1304" s="9" t="str" cm="1">
        <f t="array" ref="N1304">_xlfn.IFS(M1304="HIGH",K1304*L1304,M1304="MEDIUM",K1304*L1304,M1304="LOW","NA")</f>
        <v>NA</v>
      </c>
      <c r="O1304" s="18" t="str">
        <f t="shared" si="62"/>
        <v>cleared</v>
      </c>
    </row>
    <row r="1305" spans="1:15" x14ac:dyDescent="0.25">
      <c r="A1305" s="17">
        <v>1301</v>
      </c>
      <c r="B1305" s="6" t="s">
        <v>1338</v>
      </c>
      <c r="C1305" s="6" t="s">
        <v>37</v>
      </c>
      <c r="D1305" s="6" t="s">
        <v>26</v>
      </c>
      <c r="E1305" s="6" t="s">
        <v>44</v>
      </c>
      <c r="F1305" s="6" t="s">
        <v>24</v>
      </c>
      <c r="G1305" s="7">
        <v>46178</v>
      </c>
      <c r="H1305" s="6">
        <v>4</v>
      </c>
      <c r="I1305" s="7">
        <v>46185</v>
      </c>
      <c r="J1305" s="7">
        <f t="shared" si="61"/>
        <v>46182</v>
      </c>
      <c r="K1305" s="8">
        <v>75</v>
      </c>
      <c r="L1305" s="9">
        <f t="shared" si="60"/>
        <v>3</v>
      </c>
      <c r="M1305" s="9" t="str" cm="1">
        <f t="array" ref="M1305">_xlfn.IFS(L1305&gt;=10,"HIGH",L1305=0,"LOW",L1305&lt;=9,"MEDIUM")</f>
        <v>MEDIUM</v>
      </c>
      <c r="N1305" s="9" cm="1">
        <f t="array" ref="N1305">_xlfn.IFS(M1305="HIGH",K1305*L1305,M1305="MEDIUM",K1305*L1305,M1305="LOW","NA")</f>
        <v>225</v>
      </c>
      <c r="O1305" s="18" t="str">
        <f t="shared" si="62"/>
        <v>cleared</v>
      </c>
    </row>
    <row r="1306" spans="1:15" x14ac:dyDescent="0.25">
      <c r="A1306" s="17">
        <v>1302</v>
      </c>
      <c r="B1306" s="6" t="s">
        <v>1339</v>
      </c>
      <c r="C1306" s="6" t="s">
        <v>33</v>
      </c>
      <c r="D1306" s="6" t="s">
        <v>12</v>
      </c>
      <c r="E1306" s="6" t="s">
        <v>42</v>
      </c>
      <c r="F1306" s="6" t="s">
        <v>27</v>
      </c>
      <c r="G1306" s="7">
        <v>46206</v>
      </c>
      <c r="H1306" s="6">
        <v>6</v>
      </c>
      <c r="I1306" s="6"/>
      <c r="J1306" s="7">
        <f t="shared" si="61"/>
        <v>46212</v>
      </c>
      <c r="K1306" s="8">
        <v>60</v>
      </c>
      <c r="L1306" s="9">
        <f t="shared" si="60"/>
        <v>47</v>
      </c>
      <c r="M1306" s="9" t="str" cm="1">
        <f t="array" ref="M1306">_xlfn.IFS(L1306&gt;=10,"HIGH",L1306=0,"LOW",L1306&lt;=9,"MEDIUM")</f>
        <v>HIGH</v>
      </c>
      <c r="N1306" s="9" cm="1">
        <f t="array" ref="N1306">_xlfn.IFS(M1306="HIGH",K1306*L1306,M1306="MEDIUM",K1306*L1306,M1306="LOW","NA")</f>
        <v>2820</v>
      </c>
      <c r="O1306" s="18" t="str">
        <f t="shared" si="62"/>
        <v>still in yard</v>
      </c>
    </row>
    <row r="1307" spans="1:15" x14ac:dyDescent="0.25">
      <c r="A1307" s="17">
        <v>1303</v>
      </c>
      <c r="B1307" s="6" t="s">
        <v>1340</v>
      </c>
      <c r="C1307" s="6" t="s">
        <v>37</v>
      </c>
      <c r="D1307" s="6" t="s">
        <v>34</v>
      </c>
      <c r="E1307" s="6" t="s">
        <v>39</v>
      </c>
      <c r="F1307" s="6" t="s">
        <v>27</v>
      </c>
      <c r="G1307" s="7">
        <v>46240</v>
      </c>
      <c r="H1307" s="6">
        <v>5</v>
      </c>
      <c r="I1307" s="6"/>
      <c r="J1307" s="7">
        <f t="shared" si="61"/>
        <v>46245</v>
      </c>
      <c r="K1307" s="8">
        <v>130</v>
      </c>
      <c r="L1307" s="9">
        <f t="shared" si="60"/>
        <v>14</v>
      </c>
      <c r="M1307" s="9" t="str" cm="1">
        <f t="array" ref="M1307">_xlfn.IFS(L1307&gt;=10,"HIGH",L1307=0,"LOW",L1307&lt;=9,"MEDIUM")</f>
        <v>HIGH</v>
      </c>
      <c r="N1307" s="9" cm="1">
        <f t="array" ref="N1307">_xlfn.IFS(M1307="HIGH",K1307*L1307,M1307="MEDIUM",K1307*L1307,M1307="LOW","NA")</f>
        <v>1820</v>
      </c>
      <c r="O1307" s="18" t="str">
        <f t="shared" si="62"/>
        <v>still in yard</v>
      </c>
    </row>
    <row r="1308" spans="1:15" x14ac:dyDescent="0.25">
      <c r="A1308" s="17">
        <v>1304</v>
      </c>
      <c r="B1308" s="6" t="s">
        <v>1341</v>
      </c>
      <c r="C1308" s="6" t="s">
        <v>33</v>
      </c>
      <c r="D1308" s="6" t="s">
        <v>20</v>
      </c>
      <c r="E1308" s="6" t="s">
        <v>18</v>
      </c>
      <c r="F1308" s="6" t="s">
        <v>29</v>
      </c>
      <c r="G1308" s="7">
        <v>46244</v>
      </c>
      <c r="H1308" s="6">
        <v>3</v>
      </c>
      <c r="I1308" s="7">
        <v>46247</v>
      </c>
      <c r="J1308" s="7">
        <f t="shared" si="61"/>
        <v>46247</v>
      </c>
      <c r="K1308" s="8">
        <v>180</v>
      </c>
      <c r="L1308" s="9">
        <f t="shared" si="60"/>
        <v>0</v>
      </c>
      <c r="M1308" s="9" t="str" cm="1">
        <f t="array" ref="M1308">_xlfn.IFS(L1308&gt;=10,"HIGH",L1308=0,"LOW",L1308&lt;=9,"MEDIUM")</f>
        <v>LOW</v>
      </c>
      <c r="N1308" s="9" t="str" cm="1">
        <f t="array" ref="N1308">_xlfn.IFS(M1308="HIGH",K1308*L1308,M1308="MEDIUM",K1308*L1308,M1308="LOW","NA")</f>
        <v>NA</v>
      </c>
      <c r="O1308" s="18" t="str">
        <f t="shared" si="62"/>
        <v>cleared</v>
      </c>
    </row>
    <row r="1309" spans="1:15" x14ac:dyDescent="0.25">
      <c r="A1309" s="17">
        <v>1305</v>
      </c>
      <c r="B1309" s="6" t="s">
        <v>1342</v>
      </c>
      <c r="C1309" s="6" t="s">
        <v>16</v>
      </c>
      <c r="D1309" s="6" t="s">
        <v>12</v>
      </c>
      <c r="E1309" s="6" t="s">
        <v>18</v>
      </c>
      <c r="F1309" s="6" t="s">
        <v>14</v>
      </c>
      <c r="G1309" s="7">
        <v>46243</v>
      </c>
      <c r="H1309" s="6">
        <v>7</v>
      </c>
      <c r="I1309" s="7">
        <v>46252</v>
      </c>
      <c r="J1309" s="7">
        <f t="shared" si="61"/>
        <v>46250</v>
      </c>
      <c r="K1309" s="8">
        <v>110</v>
      </c>
      <c r="L1309" s="9">
        <f t="shared" si="60"/>
        <v>2</v>
      </c>
      <c r="M1309" s="9" t="str" cm="1">
        <f t="array" ref="M1309">_xlfn.IFS(L1309&gt;=10,"HIGH",L1309=0,"LOW",L1309&lt;=9,"MEDIUM")</f>
        <v>MEDIUM</v>
      </c>
      <c r="N1309" s="9" cm="1">
        <f t="array" ref="N1309">_xlfn.IFS(M1309="HIGH",K1309*L1309,M1309="MEDIUM",K1309*L1309,M1309="LOW","NA")</f>
        <v>220</v>
      </c>
      <c r="O1309" s="18" t="str">
        <f t="shared" si="62"/>
        <v>cleared</v>
      </c>
    </row>
    <row r="1310" spans="1:15" x14ac:dyDescent="0.25">
      <c r="A1310" s="17">
        <v>1306</v>
      </c>
      <c r="B1310" s="6" t="s">
        <v>1343</v>
      </c>
      <c r="C1310" s="6" t="s">
        <v>16</v>
      </c>
      <c r="D1310" s="6" t="s">
        <v>49</v>
      </c>
      <c r="E1310" s="6" t="s">
        <v>61</v>
      </c>
      <c r="F1310" s="6" t="s">
        <v>27</v>
      </c>
      <c r="G1310" s="7">
        <v>46221</v>
      </c>
      <c r="H1310" s="6">
        <v>7</v>
      </c>
      <c r="I1310" s="6"/>
      <c r="J1310" s="7">
        <f t="shared" si="61"/>
        <v>46228</v>
      </c>
      <c r="K1310" s="8">
        <v>130</v>
      </c>
      <c r="L1310" s="9">
        <f t="shared" si="60"/>
        <v>31</v>
      </c>
      <c r="M1310" s="9" t="str" cm="1">
        <f t="array" ref="M1310">_xlfn.IFS(L1310&gt;=10,"HIGH",L1310=0,"LOW",L1310&lt;=9,"MEDIUM")</f>
        <v>HIGH</v>
      </c>
      <c r="N1310" s="9" cm="1">
        <f t="array" ref="N1310">_xlfn.IFS(M1310="HIGH",K1310*L1310,M1310="MEDIUM",K1310*L1310,M1310="LOW","NA")</f>
        <v>4030</v>
      </c>
      <c r="O1310" s="18" t="str">
        <f t="shared" si="62"/>
        <v>still in yard</v>
      </c>
    </row>
    <row r="1311" spans="1:15" x14ac:dyDescent="0.25">
      <c r="A1311" s="17">
        <v>1307</v>
      </c>
      <c r="B1311" s="6" t="s">
        <v>1344</v>
      </c>
      <c r="C1311" s="6" t="s">
        <v>16</v>
      </c>
      <c r="D1311" s="6" t="s">
        <v>41</v>
      </c>
      <c r="E1311" s="6" t="s">
        <v>39</v>
      </c>
      <c r="F1311" s="6" t="s">
        <v>29</v>
      </c>
      <c r="G1311" s="7">
        <v>46253</v>
      </c>
      <c r="H1311" s="6">
        <v>3</v>
      </c>
      <c r="I1311" s="7">
        <v>46258</v>
      </c>
      <c r="J1311" s="7">
        <f t="shared" si="61"/>
        <v>46256</v>
      </c>
      <c r="K1311" s="8">
        <v>180</v>
      </c>
      <c r="L1311" s="9">
        <f t="shared" si="60"/>
        <v>2</v>
      </c>
      <c r="M1311" s="9" t="str" cm="1">
        <f t="array" ref="M1311">_xlfn.IFS(L1311&gt;=10,"HIGH",L1311=0,"LOW",L1311&lt;=9,"MEDIUM")</f>
        <v>MEDIUM</v>
      </c>
      <c r="N1311" s="9" cm="1">
        <f t="array" ref="N1311">_xlfn.IFS(M1311="HIGH",K1311*L1311,M1311="MEDIUM",K1311*L1311,M1311="LOW","NA")</f>
        <v>360</v>
      </c>
      <c r="O1311" s="18" t="str">
        <f t="shared" si="62"/>
        <v>cleared</v>
      </c>
    </row>
    <row r="1312" spans="1:15" x14ac:dyDescent="0.25">
      <c r="A1312" s="17">
        <v>1308</v>
      </c>
      <c r="B1312" s="6" t="s">
        <v>1345</v>
      </c>
      <c r="C1312" s="6" t="s">
        <v>11</v>
      </c>
      <c r="D1312" s="6" t="s">
        <v>17</v>
      </c>
      <c r="E1312" s="6" t="s">
        <v>13</v>
      </c>
      <c r="F1312" s="6" t="s">
        <v>27</v>
      </c>
      <c r="G1312" s="7">
        <v>46176</v>
      </c>
      <c r="H1312" s="6">
        <v>6</v>
      </c>
      <c r="I1312" s="6"/>
      <c r="J1312" s="7">
        <f t="shared" si="61"/>
        <v>46182</v>
      </c>
      <c r="K1312" s="8">
        <v>110</v>
      </c>
      <c r="L1312" s="9">
        <f t="shared" si="60"/>
        <v>77</v>
      </c>
      <c r="M1312" s="9" t="str" cm="1">
        <f t="array" ref="M1312">_xlfn.IFS(L1312&gt;=10,"HIGH",L1312=0,"LOW",L1312&lt;=9,"MEDIUM")</f>
        <v>HIGH</v>
      </c>
      <c r="N1312" s="9" cm="1">
        <f t="array" ref="N1312">_xlfn.IFS(M1312="HIGH",K1312*L1312,M1312="MEDIUM",K1312*L1312,M1312="LOW","NA")</f>
        <v>8470</v>
      </c>
      <c r="O1312" s="18" t="str">
        <f t="shared" si="62"/>
        <v>still in yard</v>
      </c>
    </row>
    <row r="1313" spans="1:15" x14ac:dyDescent="0.25">
      <c r="A1313" s="17">
        <v>1309</v>
      </c>
      <c r="B1313" s="6" t="s">
        <v>1346</v>
      </c>
      <c r="C1313" s="6" t="s">
        <v>11</v>
      </c>
      <c r="D1313" s="6" t="s">
        <v>31</v>
      </c>
      <c r="E1313" s="6" t="s">
        <v>13</v>
      </c>
      <c r="F1313" s="6" t="s">
        <v>27</v>
      </c>
      <c r="G1313" s="7">
        <v>46232</v>
      </c>
      <c r="H1313" s="6">
        <v>5</v>
      </c>
      <c r="I1313" s="7">
        <v>46234</v>
      </c>
      <c r="J1313" s="7">
        <f t="shared" si="61"/>
        <v>46237</v>
      </c>
      <c r="K1313" s="8">
        <v>90</v>
      </c>
      <c r="L1313" s="9">
        <f t="shared" si="60"/>
        <v>0</v>
      </c>
      <c r="M1313" s="9" t="str" cm="1">
        <f t="array" ref="M1313">_xlfn.IFS(L1313&gt;=10,"HIGH",L1313=0,"LOW",L1313&lt;=9,"MEDIUM")</f>
        <v>LOW</v>
      </c>
      <c r="N1313" s="9" t="str" cm="1">
        <f t="array" ref="N1313">_xlfn.IFS(M1313="HIGH",K1313*L1313,M1313="MEDIUM",K1313*L1313,M1313="LOW","NA")</f>
        <v>NA</v>
      </c>
      <c r="O1313" s="18" t="str">
        <f t="shared" si="62"/>
        <v>cleared</v>
      </c>
    </row>
    <row r="1314" spans="1:15" x14ac:dyDescent="0.25">
      <c r="A1314" s="17">
        <v>1310</v>
      </c>
      <c r="B1314" s="6" t="s">
        <v>1347</v>
      </c>
      <c r="C1314" s="6" t="s">
        <v>33</v>
      </c>
      <c r="D1314" s="6" t="s">
        <v>34</v>
      </c>
      <c r="E1314" s="6" t="s">
        <v>35</v>
      </c>
      <c r="F1314" s="6" t="s">
        <v>27</v>
      </c>
      <c r="G1314" s="7">
        <v>46217</v>
      </c>
      <c r="H1314" s="6">
        <v>5</v>
      </c>
      <c r="I1314" s="7">
        <v>46219</v>
      </c>
      <c r="J1314" s="7">
        <f t="shared" si="61"/>
        <v>46222</v>
      </c>
      <c r="K1314" s="8">
        <v>75</v>
      </c>
      <c r="L1314" s="9">
        <f t="shared" si="60"/>
        <v>0</v>
      </c>
      <c r="M1314" s="9" t="str" cm="1">
        <f t="array" ref="M1314">_xlfn.IFS(L1314&gt;=10,"HIGH",L1314=0,"LOW",L1314&lt;=9,"MEDIUM")</f>
        <v>LOW</v>
      </c>
      <c r="N1314" s="9" t="str" cm="1">
        <f t="array" ref="N1314">_xlfn.IFS(M1314="HIGH",K1314*L1314,M1314="MEDIUM",K1314*L1314,M1314="LOW","NA")</f>
        <v>NA</v>
      </c>
      <c r="O1314" s="18" t="str">
        <f t="shared" si="62"/>
        <v>cleared</v>
      </c>
    </row>
    <row r="1315" spans="1:15" x14ac:dyDescent="0.25">
      <c r="A1315" s="17">
        <v>1311</v>
      </c>
      <c r="B1315" s="6" t="s">
        <v>1348</v>
      </c>
      <c r="C1315" s="6" t="s">
        <v>33</v>
      </c>
      <c r="D1315" s="6" t="s">
        <v>54</v>
      </c>
      <c r="E1315" s="6" t="s">
        <v>35</v>
      </c>
      <c r="F1315" s="6" t="s">
        <v>27</v>
      </c>
      <c r="G1315" s="7">
        <v>46171</v>
      </c>
      <c r="H1315" s="6">
        <v>5</v>
      </c>
      <c r="I1315" s="7">
        <v>46176</v>
      </c>
      <c r="J1315" s="7">
        <f t="shared" si="61"/>
        <v>46176</v>
      </c>
      <c r="K1315" s="8">
        <v>110</v>
      </c>
      <c r="L1315" s="9">
        <f t="shared" si="60"/>
        <v>0</v>
      </c>
      <c r="M1315" s="9" t="str" cm="1">
        <f t="array" ref="M1315">_xlfn.IFS(L1315&gt;=10,"HIGH",L1315=0,"LOW",L1315&lt;=9,"MEDIUM")</f>
        <v>LOW</v>
      </c>
      <c r="N1315" s="9" t="str" cm="1">
        <f t="array" ref="N1315">_xlfn.IFS(M1315="HIGH",K1315*L1315,M1315="MEDIUM",K1315*L1315,M1315="LOW","NA")</f>
        <v>NA</v>
      </c>
      <c r="O1315" s="18" t="str">
        <f t="shared" si="62"/>
        <v>cleared</v>
      </c>
    </row>
    <row r="1316" spans="1:15" x14ac:dyDescent="0.25">
      <c r="A1316" s="17">
        <v>1312</v>
      </c>
      <c r="B1316" s="6" t="s">
        <v>1349</v>
      </c>
      <c r="C1316" s="6" t="s">
        <v>11</v>
      </c>
      <c r="D1316" s="6" t="s">
        <v>34</v>
      </c>
      <c r="E1316" s="6" t="s">
        <v>23</v>
      </c>
      <c r="F1316" s="6" t="s">
        <v>29</v>
      </c>
      <c r="G1316" s="7">
        <v>46176</v>
      </c>
      <c r="H1316" s="6">
        <v>3</v>
      </c>
      <c r="I1316" s="7">
        <v>46188</v>
      </c>
      <c r="J1316" s="7">
        <f t="shared" si="61"/>
        <v>46179</v>
      </c>
      <c r="K1316" s="8">
        <v>150</v>
      </c>
      <c r="L1316" s="9">
        <f t="shared" si="60"/>
        <v>9</v>
      </c>
      <c r="M1316" s="9" t="str" cm="1">
        <f t="array" ref="M1316">_xlfn.IFS(L1316&gt;=10,"HIGH",L1316=0,"LOW",L1316&lt;=9,"MEDIUM")</f>
        <v>MEDIUM</v>
      </c>
      <c r="N1316" s="9" cm="1">
        <f t="array" ref="N1316">_xlfn.IFS(M1316="HIGH",K1316*L1316,M1316="MEDIUM",K1316*L1316,M1316="LOW","NA")</f>
        <v>1350</v>
      </c>
      <c r="O1316" s="18" t="str">
        <f t="shared" si="62"/>
        <v>cleared</v>
      </c>
    </row>
    <row r="1317" spans="1:15" x14ac:dyDescent="0.25">
      <c r="A1317" s="17">
        <v>1313</v>
      </c>
      <c r="B1317" s="6" t="s">
        <v>1350</v>
      </c>
      <c r="C1317" s="6" t="s">
        <v>37</v>
      </c>
      <c r="D1317" s="6" t="s">
        <v>12</v>
      </c>
      <c r="E1317" s="6" t="s">
        <v>61</v>
      </c>
      <c r="F1317" s="6" t="s">
        <v>29</v>
      </c>
      <c r="G1317" s="7">
        <v>46192</v>
      </c>
      <c r="H1317" s="6">
        <v>4</v>
      </c>
      <c r="I1317" s="7">
        <v>46203</v>
      </c>
      <c r="J1317" s="7">
        <f t="shared" si="61"/>
        <v>46196</v>
      </c>
      <c r="K1317" s="8">
        <v>120</v>
      </c>
      <c r="L1317" s="9">
        <f t="shared" si="60"/>
        <v>7</v>
      </c>
      <c r="M1317" s="9" t="str" cm="1">
        <f t="array" ref="M1317">_xlfn.IFS(L1317&gt;=10,"HIGH",L1317=0,"LOW",L1317&lt;=9,"MEDIUM")</f>
        <v>MEDIUM</v>
      </c>
      <c r="N1317" s="9" cm="1">
        <f t="array" ref="N1317">_xlfn.IFS(M1317="HIGH",K1317*L1317,M1317="MEDIUM",K1317*L1317,M1317="LOW","NA")</f>
        <v>840</v>
      </c>
      <c r="O1317" s="18" t="str">
        <f t="shared" si="62"/>
        <v>cleared</v>
      </c>
    </row>
    <row r="1318" spans="1:15" x14ac:dyDescent="0.25">
      <c r="A1318" s="17">
        <v>1314</v>
      </c>
      <c r="B1318" s="6" t="s">
        <v>1351</v>
      </c>
      <c r="C1318" s="6" t="s">
        <v>11</v>
      </c>
      <c r="D1318" s="6" t="s">
        <v>17</v>
      </c>
      <c r="E1318" s="6" t="s">
        <v>61</v>
      </c>
      <c r="F1318" s="6" t="s">
        <v>14</v>
      </c>
      <c r="G1318" s="7">
        <v>46176</v>
      </c>
      <c r="H1318" s="6">
        <v>5</v>
      </c>
      <c r="I1318" s="6"/>
      <c r="J1318" s="7">
        <f t="shared" si="61"/>
        <v>46181</v>
      </c>
      <c r="K1318" s="8">
        <v>90</v>
      </c>
      <c r="L1318" s="9">
        <f t="shared" si="60"/>
        <v>78</v>
      </c>
      <c r="M1318" s="9" t="str" cm="1">
        <f t="array" ref="M1318">_xlfn.IFS(L1318&gt;=10,"HIGH",L1318=0,"LOW",L1318&lt;=9,"MEDIUM")</f>
        <v>HIGH</v>
      </c>
      <c r="N1318" s="9" cm="1">
        <f t="array" ref="N1318">_xlfn.IFS(M1318="HIGH",K1318*L1318,M1318="MEDIUM",K1318*L1318,M1318="LOW","NA")</f>
        <v>7020</v>
      </c>
      <c r="O1318" s="18" t="str">
        <f t="shared" si="62"/>
        <v>still in yard</v>
      </c>
    </row>
    <row r="1319" spans="1:15" x14ac:dyDescent="0.25">
      <c r="A1319" s="17">
        <v>1315</v>
      </c>
      <c r="B1319" s="6" t="s">
        <v>1352</v>
      </c>
      <c r="C1319" s="6" t="s">
        <v>33</v>
      </c>
      <c r="D1319" s="6" t="s">
        <v>34</v>
      </c>
      <c r="E1319" s="6" t="s">
        <v>61</v>
      </c>
      <c r="F1319" s="6" t="s">
        <v>29</v>
      </c>
      <c r="G1319" s="7">
        <v>46185</v>
      </c>
      <c r="H1319" s="6">
        <v>4</v>
      </c>
      <c r="I1319" s="7">
        <v>46196</v>
      </c>
      <c r="J1319" s="7">
        <f t="shared" si="61"/>
        <v>46189</v>
      </c>
      <c r="K1319" s="8">
        <v>150</v>
      </c>
      <c r="L1319" s="9">
        <f t="shared" si="60"/>
        <v>7</v>
      </c>
      <c r="M1319" s="9" t="str" cm="1">
        <f t="array" ref="M1319">_xlfn.IFS(L1319&gt;=10,"HIGH",L1319=0,"LOW",L1319&lt;=9,"MEDIUM")</f>
        <v>MEDIUM</v>
      </c>
      <c r="N1319" s="9" cm="1">
        <f t="array" ref="N1319">_xlfn.IFS(M1319="HIGH",K1319*L1319,M1319="MEDIUM",K1319*L1319,M1319="LOW","NA")</f>
        <v>1050</v>
      </c>
      <c r="O1319" s="18" t="str">
        <f t="shared" si="62"/>
        <v>cleared</v>
      </c>
    </row>
    <row r="1320" spans="1:15" x14ac:dyDescent="0.25">
      <c r="A1320" s="17">
        <v>1316</v>
      </c>
      <c r="B1320" s="6" t="s">
        <v>1353</v>
      </c>
      <c r="C1320" s="6" t="s">
        <v>37</v>
      </c>
      <c r="D1320" s="6" t="s">
        <v>12</v>
      </c>
      <c r="E1320" s="6" t="s">
        <v>39</v>
      </c>
      <c r="F1320" s="6" t="s">
        <v>24</v>
      </c>
      <c r="G1320" s="7">
        <v>46201</v>
      </c>
      <c r="H1320" s="6">
        <v>5</v>
      </c>
      <c r="I1320" s="7">
        <v>46202</v>
      </c>
      <c r="J1320" s="7">
        <f t="shared" si="61"/>
        <v>46206</v>
      </c>
      <c r="K1320" s="8">
        <v>110</v>
      </c>
      <c r="L1320" s="9">
        <f t="shared" si="60"/>
        <v>0</v>
      </c>
      <c r="M1320" s="9" t="str" cm="1">
        <f t="array" ref="M1320">_xlfn.IFS(L1320&gt;=10,"HIGH",L1320=0,"LOW",L1320&lt;=9,"MEDIUM")</f>
        <v>LOW</v>
      </c>
      <c r="N1320" s="9" t="str" cm="1">
        <f t="array" ref="N1320">_xlfn.IFS(M1320="HIGH",K1320*L1320,M1320="MEDIUM",K1320*L1320,M1320="LOW","NA")</f>
        <v>NA</v>
      </c>
      <c r="O1320" s="18" t="str">
        <f t="shared" si="62"/>
        <v>cleared</v>
      </c>
    </row>
    <row r="1321" spans="1:15" x14ac:dyDescent="0.25">
      <c r="A1321" s="17">
        <v>1317</v>
      </c>
      <c r="B1321" s="6" t="s">
        <v>1354</v>
      </c>
      <c r="C1321" s="6" t="s">
        <v>37</v>
      </c>
      <c r="D1321" s="6" t="s">
        <v>54</v>
      </c>
      <c r="E1321" s="6" t="s">
        <v>42</v>
      </c>
      <c r="F1321" s="6" t="s">
        <v>27</v>
      </c>
      <c r="G1321" s="7">
        <v>46186</v>
      </c>
      <c r="H1321" s="6">
        <v>7</v>
      </c>
      <c r="I1321" s="6"/>
      <c r="J1321" s="7">
        <f t="shared" si="61"/>
        <v>46193</v>
      </c>
      <c r="K1321" s="8">
        <v>110</v>
      </c>
      <c r="L1321" s="9">
        <f t="shared" si="60"/>
        <v>66</v>
      </c>
      <c r="M1321" s="9" t="str" cm="1">
        <f t="array" ref="M1321">_xlfn.IFS(L1321&gt;=10,"HIGH",L1321=0,"LOW",L1321&lt;=9,"MEDIUM")</f>
        <v>HIGH</v>
      </c>
      <c r="N1321" s="9" cm="1">
        <f t="array" ref="N1321">_xlfn.IFS(M1321="HIGH",K1321*L1321,M1321="MEDIUM",K1321*L1321,M1321="LOW","NA")</f>
        <v>7260</v>
      </c>
      <c r="O1321" s="18" t="str">
        <f t="shared" si="62"/>
        <v>still in yard</v>
      </c>
    </row>
    <row r="1322" spans="1:15" x14ac:dyDescent="0.25">
      <c r="A1322" s="17">
        <v>1318</v>
      </c>
      <c r="B1322" s="6" t="s">
        <v>1355</v>
      </c>
      <c r="C1322" s="6" t="s">
        <v>33</v>
      </c>
      <c r="D1322" s="6" t="s">
        <v>34</v>
      </c>
      <c r="E1322" s="6" t="s">
        <v>18</v>
      </c>
      <c r="F1322" s="6" t="s">
        <v>29</v>
      </c>
      <c r="G1322" s="7">
        <v>46205</v>
      </c>
      <c r="H1322" s="6">
        <v>4</v>
      </c>
      <c r="I1322" s="7">
        <v>46210</v>
      </c>
      <c r="J1322" s="7">
        <f t="shared" si="61"/>
        <v>46209</v>
      </c>
      <c r="K1322" s="8">
        <v>150</v>
      </c>
      <c r="L1322" s="9">
        <f t="shared" si="60"/>
        <v>1</v>
      </c>
      <c r="M1322" s="9" t="str" cm="1">
        <f t="array" ref="M1322">_xlfn.IFS(L1322&gt;=10,"HIGH",L1322=0,"LOW",L1322&lt;=9,"MEDIUM")</f>
        <v>MEDIUM</v>
      </c>
      <c r="N1322" s="9" cm="1">
        <f t="array" ref="N1322">_xlfn.IFS(M1322="HIGH",K1322*L1322,M1322="MEDIUM",K1322*L1322,M1322="LOW","NA")</f>
        <v>150</v>
      </c>
      <c r="O1322" s="18" t="str">
        <f t="shared" si="62"/>
        <v>cleared</v>
      </c>
    </row>
    <row r="1323" spans="1:15" x14ac:dyDescent="0.25">
      <c r="A1323" s="17">
        <v>1319</v>
      </c>
      <c r="B1323" s="6" t="s">
        <v>1356</v>
      </c>
      <c r="C1323" s="6" t="s">
        <v>37</v>
      </c>
      <c r="D1323" s="6" t="s">
        <v>41</v>
      </c>
      <c r="E1323" s="6" t="s">
        <v>61</v>
      </c>
      <c r="F1323" s="6" t="s">
        <v>14</v>
      </c>
      <c r="G1323" s="7">
        <v>46212</v>
      </c>
      <c r="H1323" s="6">
        <v>7</v>
      </c>
      <c r="I1323" s="7">
        <v>46213</v>
      </c>
      <c r="J1323" s="7">
        <f t="shared" si="61"/>
        <v>46219</v>
      </c>
      <c r="K1323" s="8">
        <v>75</v>
      </c>
      <c r="L1323" s="9">
        <f t="shared" si="60"/>
        <v>0</v>
      </c>
      <c r="M1323" s="9" t="str" cm="1">
        <f t="array" ref="M1323">_xlfn.IFS(L1323&gt;=10,"HIGH",L1323=0,"LOW",L1323&lt;=9,"MEDIUM")</f>
        <v>LOW</v>
      </c>
      <c r="N1323" s="9" t="str" cm="1">
        <f t="array" ref="N1323">_xlfn.IFS(M1323="HIGH",K1323*L1323,M1323="MEDIUM",K1323*L1323,M1323="LOW","NA")</f>
        <v>NA</v>
      </c>
      <c r="O1323" s="18" t="str">
        <f t="shared" si="62"/>
        <v>cleared</v>
      </c>
    </row>
    <row r="1324" spans="1:15" x14ac:dyDescent="0.25">
      <c r="A1324" s="17">
        <v>1320</v>
      </c>
      <c r="B1324" s="6" t="s">
        <v>1357</v>
      </c>
      <c r="C1324" s="6" t="s">
        <v>33</v>
      </c>
      <c r="D1324" s="6" t="s">
        <v>41</v>
      </c>
      <c r="E1324" s="6" t="s">
        <v>21</v>
      </c>
      <c r="F1324" s="6" t="s">
        <v>14</v>
      </c>
      <c r="G1324" s="7">
        <v>46186</v>
      </c>
      <c r="H1324" s="6">
        <v>5</v>
      </c>
      <c r="I1324" s="7">
        <v>46188</v>
      </c>
      <c r="J1324" s="7">
        <f t="shared" si="61"/>
        <v>46191</v>
      </c>
      <c r="K1324" s="8">
        <v>75</v>
      </c>
      <c r="L1324" s="9">
        <f t="shared" si="60"/>
        <v>0</v>
      </c>
      <c r="M1324" s="9" t="str" cm="1">
        <f t="array" ref="M1324">_xlfn.IFS(L1324&gt;=10,"HIGH",L1324=0,"LOW",L1324&lt;=9,"MEDIUM")</f>
        <v>LOW</v>
      </c>
      <c r="N1324" s="9" t="str" cm="1">
        <f t="array" ref="N1324">_xlfn.IFS(M1324="HIGH",K1324*L1324,M1324="MEDIUM",K1324*L1324,M1324="LOW","NA")</f>
        <v>NA</v>
      </c>
      <c r="O1324" s="18" t="str">
        <f t="shared" si="62"/>
        <v>cleared</v>
      </c>
    </row>
    <row r="1325" spans="1:15" x14ac:dyDescent="0.25">
      <c r="A1325" s="17">
        <v>1321</v>
      </c>
      <c r="B1325" s="6" t="s">
        <v>1358</v>
      </c>
      <c r="C1325" s="6" t="s">
        <v>11</v>
      </c>
      <c r="D1325" s="6" t="s">
        <v>31</v>
      </c>
      <c r="E1325" s="6" t="s">
        <v>46</v>
      </c>
      <c r="F1325" s="6" t="s">
        <v>14</v>
      </c>
      <c r="G1325" s="7">
        <v>46256</v>
      </c>
      <c r="H1325" s="6">
        <v>5</v>
      </c>
      <c r="I1325" s="7">
        <v>46259</v>
      </c>
      <c r="J1325" s="7">
        <f t="shared" si="61"/>
        <v>46261</v>
      </c>
      <c r="K1325" s="8">
        <v>130</v>
      </c>
      <c r="L1325" s="9">
        <f t="shared" si="60"/>
        <v>0</v>
      </c>
      <c r="M1325" s="9" t="str" cm="1">
        <f t="array" ref="M1325">_xlfn.IFS(L1325&gt;=10,"HIGH",L1325=0,"LOW",L1325&lt;=9,"MEDIUM")</f>
        <v>LOW</v>
      </c>
      <c r="N1325" s="9" t="str" cm="1">
        <f t="array" ref="N1325">_xlfn.IFS(M1325="HIGH",K1325*L1325,M1325="MEDIUM",K1325*L1325,M1325="LOW","NA")</f>
        <v>NA</v>
      </c>
      <c r="O1325" s="18" t="str">
        <f t="shared" si="62"/>
        <v>cleared</v>
      </c>
    </row>
    <row r="1326" spans="1:15" x14ac:dyDescent="0.25">
      <c r="A1326" s="17">
        <v>1322</v>
      </c>
      <c r="B1326" s="6" t="s">
        <v>1359</v>
      </c>
      <c r="C1326" s="6" t="s">
        <v>37</v>
      </c>
      <c r="D1326" s="6" t="s">
        <v>17</v>
      </c>
      <c r="E1326" s="6" t="s">
        <v>23</v>
      </c>
      <c r="F1326" s="6" t="s">
        <v>29</v>
      </c>
      <c r="G1326" s="7">
        <v>46250</v>
      </c>
      <c r="H1326" s="6">
        <v>3</v>
      </c>
      <c r="I1326" s="6"/>
      <c r="J1326" s="7">
        <f t="shared" si="61"/>
        <v>46253</v>
      </c>
      <c r="K1326" s="8">
        <v>180</v>
      </c>
      <c r="L1326" s="9">
        <f t="shared" si="60"/>
        <v>6</v>
      </c>
      <c r="M1326" s="9" t="str" cm="1">
        <f t="array" ref="M1326">_xlfn.IFS(L1326&gt;=10,"HIGH",L1326=0,"LOW",L1326&lt;=9,"MEDIUM")</f>
        <v>MEDIUM</v>
      </c>
      <c r="N1326" s="9" cm="1">
        <f t="array" ref="N1326">_xlfn.IFS(M1326="HIGH",K1326*L1326,M1326="MEDIUM",K1326*L1326,M1326="LOW","NA")</f>
        <v>1080</v>
      </c>
      <c r="O1326" s="18" t="str">
        <f t="shared" si="62"/>
        <v>still in yard</v>
      </c>
    </row>
    <row r="1327" spans="1:15" x14ac:dyDescent="0.25">
      <c r="A1327" s="17">
        <v>1323</v>
      </c>
      <c r="B1327" s="6" t="s">
        <v>1360</v>
      </c>
      <c r="C1327" s="6" t="s">
        <v>11</v>
      </c>
      <c r="D1327" s="6" t="s">
        <v>49</v>
      </c>
      <c r="E1327" s="6" t="s">
        <v>42</v>
      </c>
      <c r="F1327" s="6" t="s">
        <v>24</v>
      </c>
      <c r="G1327" s="7">
        <v>46211</v>
      </c>
      <c r="H1327" s="6">
        <v>7</v>
      </c>
      <c r="I1327" s="6"/>
      <c r="J1327" s="7">
        <f t="shared" si="61"/>
        <v>46218</v>
      </c>
      <c r="K1327" s="8">
        <v>110</v>
      </c>
      <c r="L1327" s="9">
        <f t="shared" si="60"/>
        <v>41</v>
      </c>
      <c r="M1327" s="9" t="str" cm="1">
        <f t="array" ref="M1327">_xlfn.IFS(L1327&gt;=10,"HIGH",L1327=0,"LOW",L1327&lt;=9,"MEDIUM")</f>
        <v>HIGH</v>
      </c>
      <c r="N1327" s="9" cm="1">
        <f t="array" ref="N1327">_xlfn.IFS(M1327="HIGH",K1327*L1327,M1327="MEDIUM",K1327*L1327,M1327="LOW","NA")</f>
        <v>4510</v>
      </c>
      <c r="O1327" s="18" t="str">
        <f t="shared" si="62"/>
        <v>still in yard</v>
      </c>
    </row>
    <row r="1328" spans="1:15" x14ac:dyDescent="0.25">
      <c r="A1328" s="17">
        <v>1324</v>
      </c>
      <c r="B1328" s="6" t="s">
        <v>1361</v>
      </c>
      <c r="C1328" s="6" t="s">
        <v>37</v>
      </c>
      <c r="D1328" s="6" t="s">
        <v>31</v>
      </c>
      <c r="E1328" s="6" t="s">
        <v>18</v>
      </c>
      <c r="F1328" s="6" t="s">
        <v>27</v>
      </c>
      <c r="G1328" s="7">
        <v>46241</v>
      </c>
      <c r="H1328" s="6">
        <v>4</v>
      </c>
      <c r="I1328" s="7">
        <v>46248</v>
      </c>
      <c r="J1328" s="7">
        <f t="shared" si="61"/>
        <v>46245</v>
      </c>
      <c r="K1328" s="8">
        <v>130</v>
      </c>
      <c r="L1328" s="9">
        <f t="shared" si="60"/>
        <v>3</v>
      </c>
      <c r="M1328" s="9" t="str" cm="1">
        <f t="array" ref="M1328">_xlfn.IFS(L1328&gt;=10,"HIGH",L1328=0,"LOW",L1328&lt;=9,"MEDIUM")</f>
        <v>MEDIUM</v>
      </c>
      <c r="N1328" s="9" cm="1">
        <f t="array" ref="N1328">_xlfn.IFS(M1328="HIGH",K1328*L1328,M1328="MEDIUM",K1328*L1328,M1328="LOW","NA")</f>
        <v>390</v>
      </c>
      <c r="O1328" s="18" t="str">
        <f t="shared" si="62"/>
        <v>cleared</v>
      </c>
    </row>
    <row r="1329" spans="1:15" x14ac:dyDescent="0.25">
      <c r="A1329" s="17">
        <v>1325</v>
      </c>
      <c r="B1329" s="6" t="s">
        <v>1362</v>
      </c>
      <c r="C1329" s="6" t="s">
        <v>37</v>
      </c>
      <c r="D1329" s="6" t="s">
        <v>17</v>
      </c>
      <c r="E1329" s="6" t="s">
        <v>35</v>
      </c>
      <c r="F1329" s="6" t="s">
        <v>27</v>
      </c>
      <c r="G1329" s="7">
        <v>46229</v>
      </c>
      <c r="H1329" s="6">
        <v>5</v>
      </c>
      <c r="I1329" s="7">
        <v>46230</v>
      </c>
      <c r="J1329" s="7">
        <f t="shared" si="61"/>
        <v>46234</v>
      </c>
      <c r="K1329" s="8">
        <v>130</v>
      </c>
      <c r="L1329" s="9">
        <f t="shared" si="60"/>
        <v>0</v>
      </c>
      <c r="M1329" s="9" t="str" cm="1">
        <f t="array" ref="M1329">_xlfn.IFS(L1329&gt;=10,"HIGH",L1329=0,"LOW",L1329&lt;=9,"MEDIUM")</f>
        <v>LOW</v>
      </c>
      <c r="N1329" s="9" t="str" cm="1">
        <f t="array" ref="N1329">_xlfn.IFS(M1329="HIGH",K1329*L1329,M1329="MEDIUM",K1329*L1329,M1329="LOW","NA")</f>
        <v>NA</v>
      </c>
      <c r="O1329" s="18" t="str">
        <f t="shared" si="62"/>
        <v>cleared</v>
      </c>
    </row>
    <row r="1330" spans="1:15" x14ac:dyDescent="0.25">
      <c r="A1330" s="17">
        <v>1326</v>
      </c>
      <c r="B1330" s="6" t="s">
        <v>1363</v>
      </c>
      <c r="C1330" s="6" t="s">
        <v>37</v>
      </c>
      <c r="D1330" s="6" t="s">
        <v>34</v>
      </c>
      <c r="E1330" s="6" t="s">
        <v>13</v>
      </c>
      <c r="F1330" s="6" t="s">
        <v>14</v>
      </c>
      <c r="G1330" s="7">
        <v>46229</v>
      </c>
      <c r="H1330" s="6">
        <v>7</v>
      </c>
      <c r="I1330" s="7">
        <v>46240</v>
      </c>
      <c r="J1330" s="7">
        <f t="shared" si="61"/>
        <v>46236</v>
      </c>
      <c r="K1330" s="8">
        <v>75</v>
      </c>
      <c r="L1330" s="9">
        <f t="shared" si="60"/>
        <v>4</v>
      </c>
      <c r="M1330" s="9" t="str" cm="1">
        <f t="array" ref="M1330">_xlfn.IFS(L1330&gt;=10,"HIGH",L1330=0,"LOW",L1330&lt;=9,"MEDIUM")</f>
        <v>MEDIUM</v>
      </c>
      <c r="N1330" s="9" cm="1">
        <f t="array" ref="N1330">_xlfn.IFS(M1330="HIGH",K1330*L1330,M1330="MEDIUM",K1330*L1330,M1330="LOW","NA")</f>
        <v>300</v>
      </c>
      <c r="O1330" s="18" t="str">
        <f t="shared" si="62"/>
        <v>cleared</v>
      </c>
    </row>
    <row r="1331" spans="1:15" x14ac:dyDescent="0.25">
      <c r="A1331" s="17">
        <v>1327</v>
      </c>
      <c r="B1331" s="6" t="s">
        <v>1364</v>
      </c>
      <c r="C1331" s="6" t="s">
        <v>37</v>
      </c>
      <c r="D1331" s="6" t="s">
        <v>12</v>
      </c>
      <c r="E1331" s="6" t="s">
        <v>35</v>
      </c>
      <c r="F1331" s="6" t="s">
        <v>29</v>
      </c>
      <c r="G1331" s="7">
        <v>46240</v>
      </c>
      <c r="H1331" s="6">
        <v>4</v>
      </c>
      <c r="I1331" s="6"/>
      <c r="J1331" s="7">
        <f t="shared" si="61"/>
        <v>46244</v>
      </c>
      <c r="K1331" s="8">
        <v>180</v>
      </c>
      <c r="L1331" s="9">
        <f t="shared" si="60"/>
        <v>15</v>
      </c>
      <c r="M1331" s="9" t="str" cm="1">
        <f t="array" ref="M1331">_xlfn.IFS(L1331&gt;=10,"HIGH",L1331=0,"LOW",L1331&lt;=9,"MEDIUM")</f>
        <v>HIGH</v>
      </c>
      <c r="N1331" s="9" cm="1">
        <f t="array" ref="N1331">_xlfn.IFS(M1331="HIGH",K1331*L1331,M1331="MEDIUM",K1331*L1331,M1331="LOW","NA")</f>
        <v>2700</v>
      </c>
      <c r="O1331" s="18" t="str">
        <f t="shared" si="62"/>
        <v>still in yard</v>
      </c>
    </row>
    <row r="1332" spans="1:15" x14ac:dyDescent="0.25">
      <c r="A1332" s="17">
        <v>1328</v>
      </c>
      <c r="B1332" s="6" t="s">
        <v>1365</v>
      </c>
      <c r="C1332" s="6" t="s">
        <v>16</v>
      </c>
      <c r="D1332" s="6" t="s">
        <v>49</v>
      </c>
      <c r="E1332" s="6" t="s">
        <v>21</v>
      </c>
      <c r="F1332" s="6" t="s">
        <v>27</v>
      </c>
      <c r="G1332" s="7">
        <v>46206</v>
      </c>
      <c r="H1332" s="6">
        <v>6</v>
      </c>
      <c r="I1332" s="6"/>
      <c r="J1332" s="7">
        <f t="shared" si="61"/>
        <v>46212</v>
      </c>
      <c r="K1332" s="8">
        <v>110</v>
      </c>
      <c r="L1332" s="9">
        <f t="shared" si="60"/>
        <v>47</v>
      </c>
      <c r="M1332" s="9" t="str" cm="1">
        <f t="array" ref="M1332">_xlfn.IFS(L1332&gt;=10,"HIGH",L1332=0,"LOW",L1332&lt;=9,"MEDIUM")</f>
        <v>HIGH</v>
      </c>
      <c r="N1332" s="9" cm="1">
        <f t="array" ref="N1332">_xlfn.IFS(M1332="HIGH",K1332*L1332,M1332="MEDIUM",K1332*L1332,M1332="LOW","NA")</f>
        <v>5170</v>
      </c>
      <c r="O1332" s="18" t="str">
        <f t="shared" si="62"/>
        <v>still in yard</v>
      </c>
    </row>
    <row r="1333" spans="1:15" x14ac:dyDescent="0.25">
      <c r="A1333" s="17">
        <v>1329</v>
      </c>
      <c r="B1333" s="6" t="s">
        <v>1366</v>
      </c>
      <c r="C1333" s="6" t="s">
        <v>33</v>
      </c>
      <c r="D1333" s="6" t="s">
        <v>20</v>
      </c>
      <c r="E1333" s="6" t="s">
        <v>23</v>
      </c>
      <c r="F1333" s="6" t="s">
        <v>14</v>
      </c>
      <c r="G1333" s="7">
        <v>46245</v>
      </c>
      <c r="H1333" s="6">
        <v>5</v>
      </c>
      <c r="I1333" s="7">
        <v>46247</v>
      </c>
      <c r="J1333" s="7">
        <f t="shared" si="61"/>
        <v>46250</v>
      </c>
      <c r="K1333" s="8">
        <v>90</v>
      </c>
      <c r="L1333" s="9">
        <f t="shared" si="60"/>
        <v>0</v>
      </c>
      <c r="M1333" s="9" t="str" cm="1">
        <f t="array" ref="M1333">_xlfn.IFS(L1333&gt;=10,"HIGH",L1333=0,"LOW",L1333&lt;=9,"MEDIUM")</f>
        <v>LOW</v>
      </c>
      <c r="N1333" s="9" t="str" cm="1">
        <f t="array" ref="N1333">_xlfn.IFS(M1333="HIGH",K1333*L1333,M1333="MEDIUM",K1333*L1333,M1333="LOW","NA")</f>
        <v>NA</v>
      </c>
      <c r="O1333" s="18" t="str">
        <f t="shared" si="62"/>
        <v>cleared</v>
      </c>
    </row>
    <row r="1334" spans="1:15" x14ac:dyDescent="0.25">
      <c r="A1334" s="17">
        <v>1330</v>
      </c>
      <c r="B1334" s="6" t="s">
        <v>1367</v>
      </c>
      <c r="C1334" s="6" t="s">
        <v>33</v>
      </c>
      <c r="D1334" s="6" t="s">
        <v>17</v>
      </c>
      <c r="E1334" s="6" t="s">
        <v>18</v>
      </c>
      <c r="F1334" s="6" t="s">
        <v>27</v>
      </c>
      <c r="G1334" s="7">
        <v>46249</v>
      </c>
      <c r="H1334" s="6">
        <v>6</v>
      </c>
      <c r="I1334" s="7">
        <v>46259</v>
      </c>
      <c r="J1334" s="7">
        <f t="shared" si="61"/>
        <v>46255</v>
      </c>
      <c r="K1334" s="8">
        <v>90</v>
      </c>
      <c r="L1334" s="9">
        <f t="shared" si="60"/>
        <v>4</v>
      </c>
      <c r="M1334" s="9" t="str" cm="1">
        <f t="array" ref="M1334">_xlfn.IFS(L1334&gt;=10,"HIGH",L1334=0,"LOW",L1334&lt;=9,"MEDIUM")</f>
        <v>MEDIUM</v>
      </c>
      <c r="N1334" s="9" cm="1">
        <f t="array" ref="N1334">_xlfn.IFS(M1334="HIGH",K1334*L1334,M1334="MEDIUM",K1334*L1334,M1334="LOW","NA")</f>
        <v>360</v>
      </c>
      <c r="O1334" s="18" t="str">
        <f t="shared" si="62"/>
        <v>cleared</v>
      </c>
    </row>
    <row r="1335" spans="1:15" x14ac:dyDescent="0.25">
      <c r="A1335" s="17">
        <v>1331</v>
      </c>
      <c r="B1335" s="6" t="s">
        <v>1368</v>
      </c>
      <c r="C1335" s="6" t="s">
        <v>33</v>
      </c>
      <c r="D1335" s="6" t="s">
        <v>20</v>
      </c>
      <c r="E1335" s="6" t="s">
        <v>18</v>
      </c>
      <c r="F1335" s="6" t="s">
        <v>14</v>
      </c>
      <c r="G1335" s="7">
        <v>46230</v>
      </c>
      <c r="H1335" s="6">
        <v>5</v>
      </c>
      <c r="I1335" s="7">
        <v>46234</v>
      </c>
      <c r="J1335" s="7">
        <f t="shared" si="61"/>
        <v>46235</v>
      </c>
      <c r="K1335" s="8">
        <v>75</v>
      </c>
      <c r="L1335" s="9">
        <f t="shared" si="60"/>
        <v>0</v>
      </c>
      <c r="M1335" s="9" t="str" cm="1">
        <f t="array" ref="M1335">_xlfn.IFS(L1335&gt;=10,"HIGH",L1335=0,"LOW",L1335&lt;=9,"MEDIUM")</f>
        <v>LOW</v>
      </c>
      <c r="N1335" s="9" t="str" cm="1">
        <f t="array" ref="N1335">_xlfn.IFS(M1335="HIGH",K1335*L1335,M1335="MEDIUM",K1335*L1335,M1335="LOW","NA")</f>
        <v>NA</v>
      </c>
      <c r="O1335" s="18" t="str">
        <f t="shared" si="62"/>
        <v>cleared</v>
      </c>
    </row>
    <row r="1336" spans="1:15" x14ac:dyDescent="0.25">
      <c r="A1336" s="17">
        <v>1332</v>
      </c>
      <c r="B1336" s="6" t="s">
        <v>1369</v>
      </c>
      <c r="C1336" s="6" t="s">
        <v>16</v>
      </c>
      <c r="D1336" s="6" t="s">
        <v>20</v>
      </c>
      <c r="E1336" s="6" t="s">
        <v>61</v>
      </c>
      <c r="F1336" s="6" t="s">
        <v>29</v>
      </c>
      <c r="G1336" s="7">
        <v>46205</v>
      </c>
      <c r="H1336" s="6">
        <v>3</v>
      </c>
      <c r="I1336" s="6"/>
      <c r="J1336" s="7">
        <f t="shared" si="61"/>
        <v>46208</v>
      </c>
      <c r="K1336" s="8">
        <v>120</v>
      </c>
      <c r="L1336" s="9">
        <f t="shared" si="60"/>
        <v>51</v>
      </c>
      <c r="M1336" s="9" t="str" cm="1">
        <f t="array" ref="M1336">_xlfn.IFS(L1336&gt;=10,"HIGH",L1336=0,"LOW",L1336&lt;=9,"MEDIUM")</f>
        <v>HIGH</v>
      </c>
      <c r="N1336" s="9" cm="1">
        <f t="array" ref="N1336">_xlfn.IFS(M1336="HIGH",K1336*L1336,M1336="MEDIUM",K1336*L1336,M1336="LOW","NA")</f>
        <v>6120</v>
      </c>
      <c r="O1336" s="18" t="str">
        <f t="shared" si="62"/>
        <v>still in yard</v>
      </c>
    </row>
    <row r="1337" spans="1:15" x14ac:dyDescent="0.25">
      <c r="A1337" s="17">
        <v>1333</v>
      </c>
      <c r="B1337" s="6" t="s">
        <v>1370</v>
      </c>
      <c r="C1337" s="6" t="s">
        <v>37</v>
      </c>
      <c r="D1337" s="6" t="s">
        <v>12</v>
      </c>
      <c r="E1337" s="6" t="s">
        <v>61</v>
      </c>
      <c r="F1337" s="6" t="s">
        <v>29</v>
      </c>
      <c r="G1337" s="7">
        <v>46200</v>
      </c>
      <c r="H1337" s="6">
        <v>3</v>
      </c>
      <c r="I1337" s="6"/>
      <c r="J1337" s="7">
        <f t="shared" si="61"/>
        <v>46203</v>
      </c>
      <c r="K1337" s="8">
        <v>120</v>
      </c>
      <c r="L1337" s="9">
        <f t="shared" si="60"/>
        <v>56</v>
      </c>
      <c r="M1337" s="9" t="str" cm="1">
        <f t="array" ref="M1337">_xlfn.IFS(L1337&gt;=10,"HIGH",L1337=0,"LOW",L1337&lt;=9,"MEDIUM")</f>
        <v>HIGH</v>
      </c>
      <c r="N1337" s="9" cm="1">
        <f t="array" ref="N1337">_xlfn.IFS(M1337="HIGH",K1337*L1337,M1337="MEDIUM",K1337*L1337,M1337="LOW","NA")</f>
        <v>6720</v>
      </c>
      <c r="O1337" s="18" t="str">
        <f t="shared" si="62"/>
        <v>still in yard</v>
      </c>
    </row>
    <row r="1338" spans="1:15" x14ac:dyDescent="0.25">
      <c r="A1338" s="17">
        <v>1334</v>
      </c>
      <c r="B1338" s="6" t="s">
        <v>1371</v>
      </c>
      <c r="C1338" s="6" t="s">
        <v>11</v>
      </c>
      <c r="D1338" s="6" t="s">
        <v>41</v>
      </c>
      <c r="E1338" s="6" t="s">
        <v>39</v>
      </c>
      <c r="F1338" s="6" t="s">
        <v>14</v>
      </c>
      <c r="G1338" s="7">
        <v>46186</v>
      </c>
      <c r="H1338" s="6">
        <v>4</v>
      </c>
      <c r="I1338" s="7">
        <v>46187</v>
      </c>
      <c r="J1338" s="7">
        <f t="shared" si="61"/>
        <v>46190</v>
      </c>
      <c r="K1338" s="8">
        <v>90</v>
      </c>
      <c r="L1338" s="9">
        <f t="shared" si="60"/>
        <v>0</v>
      </c>
      <c r="M1338" s="9" t="str" cm="1">
        <f t="array" ref="M1338">_xlfn.IFS(L1338&gt;=10,"HIGH",L1338=0,"LOW",L1338&lt;=9,"MEDIUM")</f>
        <v>LOW</v>
      </c>
      <c r="N1338" s="9" t="str" cm="1">
        <f t="array" ref="N1338">_xlfn.IFS(M1338="HIGH",K1338*L1338,M1338="MEDIUM",K1338*L1338,M1338="LOW","NA")</f>
        <v>NA</v>
      </c>
      <c r="O1338" s="18" t="str">
        <f t="shared" si="62"/>
        <v>cleared</v>
      </c>
    </row>
    <row r="1339" spans="1:15" x14ac:dyDescent="0.25">
      <c r="A1339" s="17">
        <v>1335</v>
      </c>
      <c r="B1339" s="6" t="s">
        <v>1372</v>
      </c>
      <c r="C1339" s="6" t="s">
        <v>33</v>
      </c>
      <c r="D1339" s="6" t="s">
        <v>12</v>
      </c>
      <c r="E1339" s="6" t="s">
        <v>42</v>
      </c>
      <c r="F1339" s="6" t="s">
        <v>29</v>
      </c>
      <c r="G1339" s="7">
        <v>46203</v>
      </c>
      <c r="H1339" s="6">
        <v>4</v>
      </c>
      <c r="I1339" s="6"/>
      <c r="J1339" s="7">
        <f t="shared" si="61"/>
        <v>46207</v>
      </c>
      <c r="K1339" s="8">
        <v>120</v>
      </c>
      <c r="L1339" s="9">
        <f t="shared" si="60"/>
        <v>52</v>
      </c>
      <c r="M1339" s="9" t="str" cm="1">
        <f t="array" ref="M1339">_xlfn.IFS(L1339&gt;=10,"HIGH",L1339=0,"LOW",L1339&lt;=9,"MEDIUM")</f>
        <v>HIGH</v>
      </c>
      <c r="N1339" s="9" cm="1">
        <f t="array" ref="N1339">_xlfn.IFS(M1339="HIGH",K1339*L1339,M1339="MEDIUM",K1339*L1339,M1339="LOW","NA")</f>
        <v>6240</v>
      </c>
      <c r="O1339" s="18" t="str">
        <f t="shared" si="62"/>
        <v>still in yard</v>
      </c>
    </row>
    <row r="1340" spans="1:15" x14ac:dyDescent="0.25">
      <c r="A1340" s="17">
        <v>1336</v>
      </c>
      <c r="B1340" s="6" t="s">
        <v>1373</v>
      </c>
      <c r="C1340" s="6" t="s">
        <v>11</v>
      </c>
      <c r="D1340" s="6" t="s">
        <v>20</v>
      </c>
      <c r="E1340" s="6" t="s">
        <v>18</v>
      </c>
      <c r="F1340" s="6" t="s">
        <v>27</v>
      </c>
      <c r="G1340" s="7">
        <v>46187</v>
      </c>
      <c r="H1340" s="6">
        <v>6</v>
      </c>
      <c r="I1340" s="7">
        <v>46201</v>
      </c>
      <c r="J1340" s="7">
        <f t="shared" si="61"/>
        <v>46193</v>
      </c>
      <c r="K1340" s="8">
        <v>130</v>
      </c>
      <c r="L1340" s="9">
        <f t="shared" si="60"/>
        <v>8</v>
      </c>
      <c r="M1340" s="9" t="str" cm="1">
        <f t="array" ref="M1340">_xlfn.IFS(L1340&gt;=10,"HIGH",L1340=0,"LOW",L1340&lt;=9,"MEDIUM")</f>
        <v>MEDIUM</v>
      </c>
      <c r="N1340" s="9" cm="1">
        <f t="array" ref="N1340">_xlfn.IFS(M1340="HIGH",K1340*L1340,M1340="MEDIUM",K1340*L1340,M1340="LOW","NA")</f>
        <v>1040</v>
      </c>
      <c r="O1340" s="18" t="str">
        <f t="shared" si="62"/>
        <v>cleared</v>
      </c>
    </row>
    <row r="1341" spans="1:15" x14ac:dyDescent="0.25">
      <c r="A1341" s="17">
        <v>1337</v>
      </c>
      <c r="B1341" s="6" t="s">
        <v>1374</v>
      </c>
      <c r="C1341" s="6" t="s">
        <v>33</v>
      </c>
      <c r="D1341" s="6" t="s">
        <v>49</v>
      </c>
      <c r="E1341" s="6" t="s">
        <v>13</v>
      </c>
      <c r="F1341" s="6" t="s">
        <v>24</v>
      </c>
      <c r="G1341" s="7">
        <v>46246</v>
      </c>
      <c r="H1341" s="6">
        <v>5</v>
      </c>
      <c r="I1341" s="6"/>
      <c r="J1341" s="7">
        <f t="shared" si="61"/>
        <v>46251</v>
      </c>
      <c r="K1341" s="8">
        <v>75</v>
      </c>
      <c r="L1341" s="9">
        <f t="shared" si="60"/>
        <v>8</v>
      </c>
      <c r="M1341" s="9" t="str" cm="1">
        <f t="array" ref="M1341">_xlfn.IFS(L1341&gt;=10,"HIGH",L1341=0,"LOW",L1341&lt;=9,"MEDIUM")</f>
        <v>MEDIUM</v>
      </c>
      <c r="N1341" s="9" cm="1">
        <f t="array" ref="N1341">_xlfn.IFS(M1341="HIGH",K1341*L1341,M1341="MEDIUM",K1341*L1341,M1341="LOW","NA")</f>
        <v>600</v>
      </c>
      <c r="O1341" s="18" t="str">
        <f t="shared" si="62"/>
        <v>still in yard</v>
      </c>
    </row>
    <row r="1342" spans="1:15" x14ac:dyDescent="0.25">
      <c r="A1342" s="17">
        <v>1338</v>
      </c>
      <c r="B1342" s="6" t="s">
        <v>1375</v>
      </c>
      <c r="C1342" s="6" t="s">
        <v>11</v>
      </c>
      <c r="D1342" s="6" t="s">
        <v>31</v>
      </c>
      <c r="E1342" s="6" t="s">
        <v>44</v>
      </c>
      <c r="F1342" s="6" t="s">
        <v>27</v>
      </c>
      <c r="G1342" s="7">
        <v>46204</v>
      </c>
      <c r="H1342" s="6">
        <v>5</v>
      </c>
      <c r="I1342" s="7">
        <v>46210</v>
      </c>
      <c r="J1342" s="7">
        <f t="shared" si="61"/>
        <v>46209</v>
      </c>
      <c r="K1342" s="8">
        <v>90</v>
      </c>
      <c r="L1342" s="9">
        <f t="shared" si="60"/>
        <v>1</v>
      </c>
      <c r="M1342" s="9" t="str" cm="1">
        <f t="array" ref="M1342">_xlfn.IFS(L1342&gt;=10,"HIGH",L1342=0,"LOW",L1342&lt;=9,"MEDIUM")</f>
        <v>MEDIUM</v>
      </c>
      <c r="N1342" s="9" cm="1">
        <f t="array" ref="N1342">_xlfn.IFS(M1342="HIGH",K1342*L1342,M1342="MEDIUM",K1342*L1342,M1342="LOW","NA")</f>
        <v>90</v>
      </c>
      <c r="O1342" s="18" t="str">
        <f t="shared" si="62"/>
        <v>cleared</v>
      </c>
    </row>
    <row r="1343" spans="1:15" x14ac:dyDescent="0.25">
      <c r="A1343" s="17">
        <v>1339</v>
      </c>
      <c r="B1343" s="6" t="s">
        <v>1376</v>
      </c>
      <c r="C1343" s="6" t="s">
        <v>11</v>
      </c>
      <c r="D1343" s="6" t="s">
        <v>20</v>
      </c>
      <c r="E1343" s="6" t="s">
        <v>61</v>
      </c>
      <c r="F1343" s="6" t="s">
        <v>14</v>
      </c>
      <c r="G1343" s="7">
        <v>46193</v>
      </c>
      <c r="H1343" s="6">
        <v>7</v>
      </c>
      <c r="I1343" s="7">
        <v>46203</v>
      </c>
      <c r="J1343" s="7">
        <f t="shared" si="61"/>
        <v>46200</v>
      </c>
      <c r="K1343" s="8">
        <v>90</v>
      </c>
      <c r="L1343" s="9">
        <f t="shared" si="60"/>
        <v>3</v>
      </c>
      <c r="M1343" s="9" t="str" cm="1">
        <f t="array" ref="M1343">_xlfn.IFS(L1343&gt;=10,"HIGH",L1343=0,"LOW",L1343&lt;=9,"MEDIUM")</f>
        <v>MEDIUM</v>
      </c>
      <c r="N1343" s="9" cm="1">
        <f t="array" ref="N1343">_xlfn.IFS(M1343="HIGH",K1343*L1343,M1343="MEDIUM",K1343*L1343,M1343="LOW","NA")</f>
        <v>270</v>
      </c>
      <c r="O1343" s="18" t="str">
        <f t="shared" si="62"/>
        <v>cleared</v>
      </c>
    </row>
    <row r="1344" spans="1:15" x14ac:dyDescent="0.25">
      <c r="A1344" s="17">
        <v>1340</v>
      </c>
      <c r="B1344" s="6" t="s">
        <v>1377</v>
      </c>
      <c r="C1344" s="6" t="s">
        <v>37</v>
      </c>
      <c r="D1344" s="6" t="s">
        <v>54</v>
      </c>
      <c r="E1344" s="6" t="s">
        <v>35</v>
      </c>
      <c r="F1344" s="6" t="s">
        <v>24</v>
      </c>
      <c r="G1344" s="7">
        <v>46205</v>
      </c>
      <c r="H1344" s="6">
        <v>5</v>
      </c>
      <c r="I1344" s="7">
        <v>46212</v>
      </c>
      <c r="J1344" s="7">
        <f t="shared" si="61"/>
        <v>46210</v>
      </c>
      <c r="K1344" s="8">
        <v>90</v>
      </c>
      <c r="L1344" s="9">
        <f t="shared" si="60"/>
        <v>2</v>
      </c>
      <c r="M1344" s="9" t="str" cm="1">
        <f t="array" ref="M1344">_xlfn.IFS(L1344&gt;=10,"HIGH",L1344=0,"LOW",L1344&lt;=9,"MEDIUM")</f>
        <v>MEDIUM</v>
      </c>
      <c r="N1344" s="9" cm="1">
        <f t="array" ref="N1344">_xlfn.IFS(M1344="HIGH",K1344*L1344,M1344="MEDIUM",K1344*L1344,M1344="LOW","NA")</f>
        <v>180</v>
      </c>
      <c r="O1344" s="18" t="str">
        <f t="shared" si="62"/>
        <v>cleared</v>
      </c>
    </row>
    <row r="1345" spans="1:15" x14ac:dyDescent="0.25">
      <c r="A1345" s="17">
        <v>1341</v>
      </c>
      <c r="B1345" s="6" t="s">
        <v>1378</v>
      </c>
      <c r="C1345" s="6" t="s">
        <v>16</v>
      </c>
      <c r="D1345" s="6" t="s">
        <v>56</v>
      </c>
      <c r="E1345" s="6" t="s">
        <v>61</v>
      </c>
      <c r="F1345" s="6" t="s">
        <v>29</v>
      </c>
      <c r="G1345" s="7">
        <v>46224</v>
      </c>
      <c r="H1345" s="6">
        <v>4</v>
      </c>
      <c r="I1345" s="6"/>
      <c r="J1345" s="7">
        <f t="shared" si="61"/>
        <v>46228</v>
      </c>
      <c r="K1345" s="8">
        <v>180</v>
      </c>
      <c r="L1345" s="9">
        <f t="shared" si="60"/>
        <v>31</v>
      </c>
      <c r="M1345" s="9" t="str" cm="1">
        <f t="array" ref="M1345">_xlfn.IFS(L1345&gt;=10,"HIGH",L1345=0,"LOW",L1345&lt;=9,"MEDIUM")</f>
        <v>HIGH</v>
      </c>
      <c r="N1345" s="9" cm="1">
        <f t="array" ref="N1345">_xlfn.IFS(M1345="HIGH",K1345*L1345,M1345="MEDIUM",K1345*L1345,M1345="LOW","NA")</f>
        <v>5580</v>
      </c>
      <c r="O1345" s="18" t="str">
        <f t="shared" si="62"/>
        <v>still in yard</v>
      </c>
    </row>
    <row r="1346" spans="1:15" x14ac:dyDescent="0.25">
      <c r="A1346" s="17">
        <v>1342</v>
      </c>
      <c r="B1346" s="6" t="s">
        <v>1379</v>
      </c>
      <c r="C1346" s="6" t="s">
        <v>33</v>
      </c>
      <c r="D1346" s="6" t="s">
        <v>56</v>
      </c>
      <c r="E1346" s="6" t="s">
        <v>39</v>
      </c>
      <c r="F1346" s="6" t="s">
        <v>27</v>
      </c>
      <c r="G1346" s="7">
        <v>46199</v>
      </c>
      <c r="H1346" s="6">
        <v>7</v>
      </c>
      <c r="I1346" s="6"/>
      <c r="J1346" s="7">
        <f t="shared" si="61"/>
        <v>46206</v>
      </c>
      <c r="K1346" s="8">
        <v>130</v>
      </c>
      <c r="L1346" s="9">
        <f t="shared" si="60"/>
        <v>53</v>
      </c>
      <c r="M1346" s="9" t="str" cm="1">
        <f t="array" ref="M1346">_xlfn.IFS(L1346&gt;=10,"HIGH",L1346=0,"LOW",L1346&lt;=9,"MEDIUM")</f>
        <v>HIGH</v>
      </c>
      <c r="N1346" s="9" cm="1">
        <f t="array" ref="N1346">_xlfn.IFS(M1346="HIGH",K1346*L1346,M1346="MEDIUM",K1346*L1346,M1346="LOW","NA")</f>
        <v>6890</v>
      </c>
      <c r="O1346" s="18" t="str">
        <f t="shared" si="62"/>
        <v>still in yard</v>
      </c>
    </row>
    <row r="1347" spans="1:15" x14ac:dyDescent="0.25">
      <c r="A1347" s="17">
        <v>1343</v>
      </c>
      <c r="B1347" s="6" t="s">
        <v>1380</v>
      </c>
      <c r="C1347" s="6" t="s">
        <v>16</v>
      </c>
      <c r="D1347" s="6" t="s">
        <v>17</v>
      </c>
      <c r="E1347" s="6" t="s">
        <v>44</v>
      </c>
      <c r="F1347" s="6" t="s">
        <v>14</v>
      </c>
      <c r="G1347" s="7">
        <v>46210</v>
      </c>
      <c r="H1347" s="6">
        <v>6</v>
      </c>
      <c r="I1347" s="7">
        <v>46215</v>
      </c>
      <c r="J1347" s="7">
        <f t="shared" si="61"/>
        <v>46216</v>
      </c>
      <c r="K1347" s="8">
        <v>90</v>
      </c>
      <c r="L1347" s="9">
        <f t="shared" si="60"/>
        <v>0</v>
      </c>
      <c r="M1347" s="9" t="str" cm="1">
        <f t="array" ref="M1347">_xlfn.IFS(L1347&gt;=10,"HIGH",L1347=0,"LOW",L1347&lt;=9,"MEDIUM")</f>
        <v>LOW</v>
      </c>
      <c r="N1347" s="9" t="str" cm="1">
        <f t="array" ref="N1347">_xlfn.IFS(M1347="HIGH",K1347*L1347,M1347="MEDIUM",K1347*L1347,M1347="LOW","NA")</f>
        <v>NA</v>
      </c>
      <c r="O1347" s="18" t="str">
        <f t="shared" si="62"/>
        <v>cleared</v>
      </c>
    </row>
    <row r="1348" spans="1:15" x14ac:dyDescent="0.25">
      <c r="A1348" s="17">
        <v>1344</v>
      </c>
      <c r="B1348" s="6" t="s">
        <v>1381</v>
      </c>
      <c r="C1348" s="6" t="s">
        <v>11</v>
      </c>
      <c r="D1348" s="6" t="s">
        <v>26</v>
      </c>
      <c r="E1348" s="6" t="s">
        <v>13</v>
      </c>
      <c r="F1348" s="6" t="s">
        <v>14</v>
      </c>
      <c r="G1348" s="7">
        <v>46243</v>
      </c>
      <c r="H1348" s="6">
        <v>7</v>
      </c>
      <c r="I1348" s="7">
        <v>46245</v>
      </c>
      <c r="J1348" s="7">
        <f t="shared" si="61"/>
        <v>46250</v>
      </c>
      <c r="K1348" s="8">
        <v>130</v>
      </c>
      <c r="L1348" s="9">
        <f t="shared" si="60"/>
        <v>0</v>
      </c>
      <c r="M1348" s="9" t="str" cm="1">
        <f t="array" ref="M1348">_xlfn.IFS(L1348&gt;=10,"HIGH",L1348=0,"LOW",L1348&lt;=9,"MEDIUM")</f>
        <v>LOW</v>
      </c>
      <c r="N1348" s="9" t="str" cm="1">
        <f t="array" ref="N1348">_xlfn.IFS(M1348="HIGH",K1348*L1348,M1348="MEDIUM",K1348*L1348,M1348="LOW","NA")</f>
        <v>NA</v>
      </c>
      <c r="O1348" s="18" t="str">
        <f t="shared" si="62"/>
        <v>cleared</v>
      </c>
    </row>
    <row r="1349" spans="1:15" x14ac:dyDescent="0.25">
      <c r="A1349" s="17">
        <v>1345</v>
      </c>
      <c r="B1349" s="6" t="s">
        <v>1382</v>
      </c>
      <c r="C1349" s="6" t="s">
        <v>33</v>
      </c>
      <c r="D1349" s="6" t="s">
        <v>31</v>
      </c>
      <c r="E1349" s="6" t="s">
        <v>61</v>
      </c>
      <c r="F1349" s="6" t="s">
        <v>24</v>
      </c>
      <c r="G1349" s="7">
        <v>46203</v>
      </c>
      <c r="H1349" s="6">
        <v>5</v>
      </c>
      <c r="I1349" s="7">
        <v>46215</v>
      </c>
      <c r="J1349" s="7">
        <f t="shared" si="61"/>
        <v>46208</v>
      </c>
      <c r="K1349" s="8">
        <v>110</v>
      </c>
      <c r="L1349" s="9">
        <f t="shared" ref="L1349:L1412" si="63">MAX(0, IF(I1349="", $C$2-J1349, I1349-J1349))</f>
        <v>7</v>
      </c>
      <c r="M1349" s="9" t="str" cm="1">
        <f t="array" ref="M1349">_xlfn.IFS(L1349&gt;=10,"HIGH",L1349=0,"LOW",L1349&lt;=9,"MEDIUM")</f>
        <v>MEDIUM</v>
      </c>
      <c r="N1349" s="9" cm="1">
        <f t="array" ref="N1349">_xlfn.IFS(M1349="HIGH",K1349*L1349,M1349="MEDIUM",K1349*L1349,M1349="LOW","NA")</f>
        <v>770</v>
      </c>
      <c r="O1349" s="18" t="str">
        <f t="shared" si="62"/>
        <v>cleared</v>
      </c>
    </row>
    <row r="1350" spans="1:15" x14ac:dyDescent="0.25">
      <c r="A1350" s="17">
        <v>1346</v>
      </c>
      <c r="B1350" s="6" t="s">
        <v>1383</v>
      </c>
      <c r="C1350" s="6" t="s">
        <v>11</v>
      </c>
      <c r="D1350" s="6" t="s">
        <v>34</v>
      </c>
      <c r="E1350" s="6" t="s">
        <v>44</v>
      </c>
      <c r="F1350" s="6" t="s">
        <v>29</v>
      </c>
      <c r="G1350" s="7">
        <v>46179</v>
      </c>
      <c r="H1350" s="6">
        <v>4</v>
      </c>
      <c r="I1350" s="7">
        <v>46188</v>
      </c>
      <c r="J1350" s="7">
        <f t="shared" ref="J1350:J1413" si="64">G1350+H1350</f>
        <v>46183</v>
      </c>
      <c r="K1350" s="8">
        <v>120</v>
      </c>
      <c r="L1350" s="9">
        <f t="shared" si="63"/>
        <v>5</v>
      </c>
      <c r="M1350" s="9" t="str" cm="1">
        <f t="array" ref="M1350">_xlfn.IFS(L1350&gt;=10,"HIGH",L1350=0,"LOW",L1350&lt;=9,"MEDIUM")</f>
        <v>MEDIUM</v>
      </c>
      <c r="N1350" s="9" cm="1">
        <f t="array" ref="N1350">_xlfn.IFS(M1350="HIGH",K1350*L1350,M1350="MEDIUM",K1350*L1350,M1350="LOW","NA")</f>
        <v>600</v>
      </c>
      <c r="O1350" s="18" t="str">
        <f t="shared" ref="O1350:O1413" si="65">IF(I1350="","still in yard","cleared")</f>
        <v>cleared</v>
      </c>
    </row>
    <row r="1351" spans="1:15" x14ac:dyDescent="0.25">
      <c r="A1351" s="17">
        <v>1347</v>
      </c>
      <c r="B1351" s="6" t="s">
        <v>1384</v>
      </c>
      <c r="C1351" s="6" t="s">
        <v>16</v>
      </c>
      <c r="D1351" s="6" t="s">
        <v>49</v>
      </c>
      <c r="E1351" s="6" t="s">
        <v>21</v>
      </c>
      <c r="F1351" s="6" t="s">
        <v>27</v>
      </c>
      <c r="G1351" s="7">
        <v>46171</v>
      </c>
      <c r="H1351" s="6">
        <v>5</v>
      </c>
      <c r="I1351" s="7">
        <v>46179</v>
      </c>
      <c r="J1351" s="7">
        <f t="shared" si="64"/>
        <v>46176</v>
      </c>
      <c r="K1351" s="8">
        <v>75</v>
      </c>
      <c r="L1351" s="9">
        <f t="shared" si="63"/>
        <v>3</v>
      </c>
      <c r="M1351" s="9" t="str" cm="1">
        <f t="array" ref="M1351">_xlfn.IFS(L1351&gt;=10,"HIGH",L1351=0,"LOW",L1351&lt;=9,"MEDIUM")</f>
        <v>MEDIUM</v>
      </c>
      <c r="N1351" s="9" cm="1">
        <f t="array" ref="N1351">_xlfn.IFS(M1351="HIGH",K1351*L1351,M1351="MEDIUM",K1351*L1351,M1351="LOW","NA")</f>
        <v>225</v>
      </c>
      <c r="O1351" s="18" t="str">
        <f t="shared" si="65"/>
        <v>cleared</v>
      </c>
    </row>
    <row r="1352" spans="1:15" x14ac:dyDescent="0.25">
      <c r="A1352" s="17">
        <v>1348</v>
      </c>
      <c r="B1352" s="6" t="s">
        <v>1385</v>
      </c>
      <c r="C1352" s="6" t="s">
        <v>33</v>
      </c>
      <c r="D1352" s="6" t="s">
        <v>54</v>
      </c>
      <c r="E1352" s="6" t="s">
        <v>13</v>
      </c>
      <c r="F1352" s="6" t="s">
        <v>27</v>
      </c>
      <c r="G1352" s="7">
        <v>46227</v>
      </c>
      <c r="H1352" s="6">
        <v>7</v>
      </c>
      <c r="I1352" s="7">
        <v>46237</v>
      </c>
      <c r="J1352" s="7">
        <f t="shared" si="64"/>
        <v>46234</v>
      </c>
      <c r="K1352" s="8">
        <v>110</v>
      </c>
      <c r="L1352" s="9">
        <f t="shared" si="63"/>
        <v>3</v>
      </c>
      <c r="M1352" s="9" t="str" cm="1">
        <f t="array" ref="M1352">_xlfn.IFS(L1352&gt;=10,"HIGH",L1352=0,"LOW",L1352&lt;=9,"MEDIUM")</f>
        <v>MEDIUM</v>
      </c>
      <c r="N1352" s="9" cm="1">
        <f t="array" ref="N1352">_xlfn.IFS(M1352="HIGH",K1352*L1352,M1352="MEDIUM",K1352*L1352,M1352="LOW","NA")</f>
        <v>330</v>
      </c>
      <c r="O1352" s="18" t="str">
        <f t="shared" si="65"/>
        <v>cleared</v>
      </c>
    </row>
    <row r="1353" spans="1:15" x14ac:dyDescent="0.25">
      <c r="A1353" s="17">
        <v>1349</v>
      </c>
      <c r="B1353" s="6" t="s">
        <v>1386</v>
      </c>
      <c r="C1353" s="6" t="s">
        <v>37</v>
      </c>
      <c r="D1353" s="6" t="s">
        <v>20</v>
      </c>
      <c r="E1353" s="6" t="s">
        <v>44</v>
      </c>
      <c r="F1353" s="6" t="s">
        <v>24</v>
      </c>
      <c r="G1353" s="7">
        <v>46190</v>
      </c>
      <c r="H1353" s="6">
        <v>5</v>
      </c>
      <c r="I1353" s="7">
        <v>46191</v>
      </c>
      <c r="J1353" s="7">
        <f t="shared" si="64"/>
        <v>46195</v>
      </c>
      <c r="K1353" s="8">
        <v>90</v>
      </c>
      <c r="L1353" s="9">
        <f t="shared" si="63"/>
        <v>0</v>
      </c>
      <c r="M1353" s="9" t="str" cm="1">
        <f t="array" ref="M1353">_xlfn.IFS(L1353&gt;=10,"HIGH",L1353=0,"LOW",L1353&lt;=9,"MEDIUM")</f>
        <v>LOW</v>
      </c>
      <c r="N1353" s="9" t="str" cm="1">
        <f t="array" ref="N1353">_xlfn.IFS(M1353="HIGH",K1353*L1353,M1353="MEDIUM",K1353*L1353,M1353="LOW","NA")</f>
        <v>NA</v>
      </c>
      <c r="O1353" s="18" t="str">
        <f t="shared" si="65"/>
        <v>cleared</v>
      </c>
    </row>
    <row r="1354" spans="1:15" x14ac:dyDescent="0.25">
      <c r="A1354" s="17">
        <v>1350</v>
      </c>
      <c r="B1354" s="6" t="s">
        <v>1387</v>
      </c>
      <c r="C1354" s="6" t="s">
        <v>11</v>
      </c>
      <c r="D1354" s="6" t="s">
        <v>26</v>
      </c>
      <c r="E1354" s="6" t="s">
        <v>21</v>
      </c>
      <c r="F1354" s="6" t="s">
        <v>24</v>
      </c>
      <c r="G1354" s="7">
        <v>46222</v>
      </c>
      <c r="H1354" s="6">
        <v>6</v>
      </c>
      <c r="I1354" s="6"/>
      <c r="J1354" s="7">
        <f t="shared" si="64"/>
        <v>46228</v>
      </c>
      <c r="K1354" s="8">
        <v>90</v>
      </c>
      <c r="L1354" s="9">
        <f t="shared" si="63"/>
        <v>31</v>
      </c>
      <c r="M1354" s="9" t="str" cm="1">
        <f t="array" ref="M1354">_xlfn.IFS(L1354&gt;=10,"HIGH",L1354=0,"LOW",L1354&lt;=9,"MEDIUM")</f>
        <v>HIGH</v>
      </c>
      <c r="N1354" s="9" cm="1">
        <f t="array" ref="N1354">_xlfn.IFS(M1354="HIGH",K1354*L1354,M1354="MEDIUM",K1354*L1354,M1354="LOW","NA")</f>
        <v>2790</v>
      </c>
      <c r="O1354" s="18" t="str">
        <f t="shared" si="65"/>
        <v>still in yard</v>
      </c>
    </row>
    <row r="1355" spans="1:15" x14ac:dyDescent="0.25">
      <c r="A1355" s="17">
        <v>1351</v>
      </c>
      <c r="B1355" s="6" t="s">
        <v>1388</v>
      </c>
      <c r="C1355" s="6" t="s">
        <v>16</v>
      </c>
      <c r="D1355" s="6" t="s">
        <v>20</v>
      </c>
      <c r="E1355" s="6" t="s">
        <v>35</v>
      </c>
      <c r="F1355" s="6" t="s">
        <v>14</v>
      </c>
      <c r="G1355" s="7">
        <v>46212</v>
      </c>
      <c r="H1355" s="6">
        <v>4</v>
      </c>
      <c r="I1355" s="6"/>
      <c r="J1355" s="7">
        <f t="shared" si="64"/>
        <v>46216</v>
      </c>
      <c r="K1355" s="8">
        <v>130</v>
      </c>
      <c r="L1355" s="9">
        <f t="shared" si="63"/>
        <v>43</v>
      </c>
      <c r="M1355" s="9" t="str" cm="1">
        <f t="array" ref="M1355">_xlfn.IFS(L1355&gt;=10,"HIGH",L1355=0,"LOW",L1355&lt;=9,"MEDIUM")</f>
        <v>HIGH</v>
      </c>
      <c r="N1355" s="9" cm="1">
        <f t="array" ref="N1355">_xlfn.IFS(M1355="HIGH",K1355*L1355,M1355="MEDIUM",K1355*L1355,M1355="LOW","NA")</f>
        <v>5590</v>
      </c>
      <c r="O1355" s="18" t="str">
        <f t="shared" si="65"/>
        <v>still in yard</v>
      </c>
    </row>
    <row r="1356" spans="1:15" x14ac:dyDescent="0.25">
      <c r="A1356" s="17">
        <v>1352</v>
      </c>
      <c r="B1356" s="6" t="s">
        <v>1389</v>
      </c>
      <c r="C1356" s="6" t="s">
        <v>11</v>
      </c>
      <c r="D1356" s="6" t="s">
        <v>17</v>
      </c>
      <c r="E1356" s="6" t="s">
        <v>44</v>
      </c>
      <c r="F1356" s="6" t="s">
        <v>14</v>
      </c>
      <c r="G1356" s="7">
        <v>46244</v>
      </c>
      <c r="H1356" s="6">
        <v>4</v>
      </c>
      <c r="I1356" s="7">
        <v>46245</v>
      </c>
      <c r="J1356" s="7">
        <f t="shared" si="64"/>
        <v>46248</v>
      </c>
      <c r="K1356" s="8">
        <v>90</v>
      </c>
      <c r="L1356" s="9">
        <f t="shared" si="63"/>
        <v>0</v>
      </c>
      <c r="M1356" s="9" t="str" cm="1">
        <f t="array" ref="M1356">_xlfn.IFS(L1356&gt;=10,"HIGH",L1356=0,"LOW",L1356&lt;=9,"MEDIUM")</f>
        <v>LOW</v>
      </c>
      <c r="N1356" s="9" t="str" cm="1">
        <f t="array" ref="N1356">_xlfn.IFS(M1356="HIGH",K1356*L1356,M1356="MEDIUM",K1356*L1356,M1356="LOW","NA")</f>
        <v>NA</v>
      </c>
      <c r="O1356" s="18" t="str">
        <f t="shared" si="65"/>
        <v>cleared</v>
      </c>
    </row>
    <row r="1357" spans="1:15" x14ac:dyDescent="0.25">
      <c r="A1357" s="17">
        <v>1353</v>
      </c>
      <c r="B1357" s="6" t="s">
        <v>1390</v>
      </c>
      <c r="C1357" s="6" t="s">
        <v>16</v>
      </c>
      <c r="D1357" s="6" t="s">
        <v>20</v>
      </c>
      <c r="E1357" s="6" t="s">
        <v>13</v>
      </c>
      <c r="F1357" s="6" t="s">
        <v>29</v>
      </c>
      <c r="G1357" s="7">
        <v>46250</v>
      </c>
      <c r="H1357" s="6">
        <v>4</v>
      </c>
      <c r="I1357" s="7">
        <v>46251</v>
      </c>
      <c r="J1357" s="7">
        <f t="shared" si="64"/>
        <v>46254</v>
      </c>
      <c r="K1357" s="8">
        <v>120</v>
      </c>
      <c r="L1357" s="9">
        <f t="shared" si="63"/>
        <v>0</v>
      </c>
      <c r="M1357" s="9" t="str" cm="1">
        <f t="array" ref="M1357">_xlfn.IFS(L1357&gt;=10,"HIGH",L1357=0,"LOW",L1357&lt;=9,"MEDIUM")</f>
        <v>LOW</v>
      </c>
      <c r="N1357" s="9" t="str" cm="1">
        <f t="array" ref="N1357">_xlfn.IFS(M1357="HIGH",K1357*L1357,M1357="MEDIUM",K1357*L1357,M1357="LOW","NA")</f>
        <v>NA</v>
      </c>
      <c r="O1357" s="18" t="str">
        <f t="shared" si="65"/>
        <v>cleared</v>
      </c>
    </row>
    <row r="1358" spans="1:15" x14ac:dyDescent="0.25">
      <c r="A1358" s="17">
        <v>1354</v>
      </c>
      <c r="B1358" s="6" t="s">
        <v>1391</v>
      </c>
      <c r="C1358" s="6" t="s">
        <v>16</v>
      </c>
      <c r="D1358" s="6" t="s">
        <v>26</v>
      </c>
      <c r="E1358" s="6" t="s">
        <v>35</v>
      </c>
      <c r="F1358" s="6" t="s">
        <v>24</v>
      </c>
      <c r="G1358" s="7">
        <v>46214</v>
      </c>
      <c r="H1358" s="6">
        <v>5</v>
      </c>
      <c r="I1358" s="7">
        <v>46220</v>
      </c>
      <c r="J1358" s="7">
        <f t="shared" si="64"/>
        <v>46219</v>
      </c>
      <c r="K1358" s="8">
        <v>60</v>
      </c>
      <c r="L1358" s="9">
        <f t="shared" si="63"/>
        <v>1</v>
      </c>
      <c r="M1358" s="9" t="str" cm="1">
        <f t="array" ref="M1358">_xlfn.IFS(L1358&gt;=10,"HIGH",L1358=0,"LOW",L1358&lt;=9,"MEDIUM")</f>
        <v>MEDIUM</v>
      </c>
      <c r="N1358" s="9" cm="1">
        <f t="array" ref="N1358">_xlfn.IFS(M1358="HIGH",K1358*L1358,M1358="MEDIUM",K1358*L1358,M1358="LOW","NA")</f>
        <v>60</v>
      </c>
      <c r="O1358" s="18" t="str">
        <f t="shared" si="65"/>
        <v>cleared</v>
      </c>
    </row>
    <row r="1359" spans="1:15" x14ac:dyDescent="0.25">
      <c r="A1359" s="17">
        <v>1355</v>
      </c>
      <c r="B1359" s="6" t="s">
        <v>1392</v>
      </c>
      <c r="C1359" s="6" t="s">
        <v>11</v>
      </c>
      <c r="D1359" s="6" t="s">
        <v>12</v>
      </c>
      <c r="E1359" s="6" t="s">
        <v>21</v>
      </c>
      <c r="F1359" s="6" t="s">
        <v>27</v>
      </c>
      <c r="G1359" s="7">
        <v>46208</v>
      </c>
      <c r="H1359" s="6">
        <v>6</v>
      </c>
      <c r="I1359" s="7">
        <v>46209</v>
      </c>
      <c r="J1359" s="7">
        <f t="shared" si="64"/>
        <v>46214</v>
      </c>
      <c r="K1359" s="8">
        <v>110</v>
      </c>
      <c r="L1359" s="9">
        <f t="shared" si="63"/>
        <v>0</v>
      </c>
      <c r="M1359" s="9" t="str" cm="1">
        <f t="array" ref="M1359">_xlfn.IFS(L1359&gt;=10,"HIGH",L1359=0,"LOW",L1359&lt;=9,"MEDIUM")</f>
        <v>LOW</v>
      </c>
      <c r="N1359" s="9" t="str" cm="1">
        <f t="array" ref="N1359">_xlfn.IFS(M1359="HIGH",K1359*L1359,M1359="MEDIUM",K1359*L1359,M1359="LOW","NA")</f>
        <v>NA</v>
      </c>
      <c r="O1359" s="18" t="str">
        <f t="shared" si="65"/>
        <v>cleared</v>
      </c>
    </row>
    <row r="1360" spans="1:15" x14ac:dyDescent="0.25">
      <c r="A1360" s="17">
        <v>1356</v>
      </c>
      <c r="B1360" s="6" t="s">
        <v>1393</v>
      </c>
      <c r="C1360" s="6" t="s">
        <v>11</v>
      </c>
      <c r="D1360" s="6" t="s">
        <v>41</v>
      </c>
      <c r="E1360" s="6" t="s">
        <v>46</v>
      </c>
      <c r="F1360" s="6" t="s">
        <v>27</v>
      </c>
      <c r="G1360" s="7">
        <v>46211</v>
      </c>
      <c r="H1360" s="6">
        <v>5</v>
      </c>
      <c r="I1360" s="7">
        <v>46212</v>
      </c>
      <c r="J1360" s="7">
        <f t="shared" si="64"/>
        <v>46216</v>
      </c>
      <c r="K1360" s="8">
        <v>90</v>
      </c>
      <c r="L1360" s="9">
        <f t="shared" si="63"/>
        <v>0</v>
      </c>
      <c r="M1360" s="9" t="str" cm="1">
        <f t="array" ref="M1360">_xlfn.IFS(L1360&gt;=10,"HIGH",L1360=0,"LOW",L1360&lt;=9,"MEDIUM")</f>
        <v>LOW</v>
      </c>
      <c r="N1360" s="9" t="str" cm="1">
        <f t="array" ref="N1360">_xlfn.IFS(M1360="HIGH",K1360*L1360,M1360="MEDIUM",K1360*L1360,M1360="LOW","NA")</f>
        <v>NA</v>
      </c>
      <c r="O1360" s="18" t="str">
        <f t="shared" si="65"/>
        <v>cleared</v>
      </c>
    </row>
    <row r="1361" spans="1:15" x14ac:dyDescent="0.25">
      <c r="A1361" s="17">
        <v>1357</v>
      </c>
      <c r="B1361" s="6" t="s">
        <v>1394</v>
      </c>
      <c r="C1361" s="6" t="s">
        <v>11</v>
      </c>
      <c r="D1361" s="6" t="s">
        <v>12</v>
      </c>
      <c r="E1361" s="6" t="s">
        <v>42</v>
      </c>
      <c r="F1361" s="6" t="s">
        <v>29</v>
      </c>
      <c r="G1361" s="7">
        <v>46220</v>
      </c>
      <c r="H1361" s="6">
        <v>4</v>
      </c>
      <c r="I1361" s="6"/>
      <c r="J1361" s="7">
        <f t="shared" si="64"/>
        <v>46224</v>
      </c>
      <c r="K1361" s="8">
        <v>120</v>
      </c>
      <c r="L1361" s="9">
        <f t="shared" si="63"/>
        <v>35</v>
      </c>
      <c r="M1361" s="9" t="str" cm="1">
        <f t="array" ref="M1361">_xlfn.IFS(L1361&gt;=10,"HIGH",L1361=0,"LOW",L1361&lt;=9,"MEDIUM")</f>
        <v>HIGH</v>
      </c>
      <c r="N1361" s="9" cm="1">
        <f t="array" ref="N1361">_xlfn.IFS(M1361="HIGH",K1361*L1361,M1361="MEDIUM",K1361*L1361,M1361="LOW","NA")</f>
        <v>4200</v>
      </c>
      <c r="O1361" s="18" t="str">
        <f t="shared" si="65"/>
        <v>still in yard</v>
      </c>
    </row>
    <row r="1362" spans="1:15" x14ac:dyDescent="0.25">
      <c r="A1362" s="17">
        <v>1358</v>
      </c>
      <c r="B1362" s="6" t="s">
        <v>1395</v>
      </c>
      <c r="C1362" s="6" t="s">
        <v>33</v>
      </c>
      <c r="D1362" s="6" t="s">
        <v>31</v>
      </c>
      <c r="E1362" s="6" t="s">
        <v>44</v>
      </c>
      <c r="F1362" s="6" t="s">
        <v>24</v>
      </c>
      <c r="G1362" s="7">
        <v>46184</v>
      </c>
      <c r="H1362" s="6">
        <v>6</v>
      </c>
      <c r="I1362" s="7">
        <v>46188</v>
      </c>
      <c r="J1362" s="7">
        <f t="shared" si="64"/>
        <v>46190</v>
      </c>
      <c r="K1362" s="8">
        <v>90</v>
      </c>
      <c r="L1362" s="9">
        <f t="shared" si="63"/>
        <v>0</v>
      </c>
      <c r="M1362" s="9" t="str" cm="1">
        <f t="array" ref="M1362">_xlfn.IFS(L1362&gt;=10,"HIGH",L1362=0,"LOW",L1362&lt;=9,"MEDIUM")</f>
        <v>LOW</v>
      </c>
      <c r="N1362" s="9" t="str" cm="1">
        <f t="array" ref="N1362">_xlfn.IFS(M1362="HIGH",K1362*L1362,M1362="MEDIUM",K1362*L1362,M1362="LOW","NA")</f>
        <v>NA</v>
      </c>
      <c r="O1362" s="18" t="str">
        <f t="shared" si="65"/>
        <v>cleared</v>
      </c>
    </row>
    <row r="1363" spans="1:15" x14ac:dyDescent="0.25">
      <c r="A1363" s="17">
        <v>1359</v>
      </c>
      <c r="B1363" s="6" t="s">
        <v>1396</v>
      </c>
      <c r="C1363" s="6" t="s">
        <v>11</v>
      </c>
      <c r="D1363" s="6" t="s">
        <v>56</v>
      </c>
      <c r="E1363" s="6" t="s">
        <v>39</v>
      </c>
      <c r="F1363" s="6" t="s">
        <v>27</v>
      </c>
      <c r="G1363" s="7">
        <v>46245</v>
      </c>
      <c r="H1363" s="6">
        <v>5</v>
      </c>
      <c r="I1363" s="7">
        <v>46247</v>
      </c>
      <c r="J1363" s="7">
        <f t="shared" si="64"/>
        <v>46250</v>
      </c>
      <c r="K1363" s="8">
        <v>130</v>
      </c>
      <c r="L1363" s="9">
        <f t="shared" si="63"/>
        <v>0</v>
      </c>
      <c r="M1363" s="9" t="str" cm="1">
        <f t="array" ref="M1363">_xlfn.IFS(L1363&gt;=10,"HIGH",L1363=0,"LOW",L1363&lt;=9,"MEDIUM")</f>
        <v>LOW</v>
      </c>
      <c r="N1363" s="9" t="str" cm="1">
        <f t="array" ref="N1363">_xlfn.IFS(M1363="HIGH",K1363*L1363,M1363="MEDIUM",K1363*L1363,M1363="LOW","NA")</f>
        <v>NA</v>
      </c>
      <c r="O1363" s="18" t="str">
        <f t="shared" si="65"/>
        <v>cleared</v>
      </c>
    </row>
    <row r="1364" spans="1:15" x14ac:dyDescent="0.25">
      <c r="A1364" s="17">
        <v>1360</v>
      </c>
      <c r="B1364" s="6" t="s">
        <v>1397</v>
      </c>
      <c r="C1364" s="6" t="s">
        <v>33</v>
      </c>
      <c r="D1364" s="6" t="s">
        <v>34</v>
      </c>
      <c r="E1364" s="6" t="s">
        <v>18</v>
      </c>
      <c r="F1364" s="6" t="s">
        <v>24</v>
      </c>
      <c r="G1364" s="7">
        <v>46189</v>
      </c>
      <c r="H1364" s="6">
        <v>4</v>
      </c>
      <c r="I1364" s="7">
        <v>46190</v>
      </c>
      <c r="J1364" s="7">
        <f t="shared" si="64"/>
        <v>46193</v>
      </c>
      <c r="K1364" s="8">
        <v>75</v>
      </c>
      <c r="L1364" s="9">
        <f t="shared" si="63"/>
        <v>0</v>
      </c>
      <c r="M1364" s="9" t="str" cm="1">
        <f t="array" ref="M1364">_xlfn.IFS(L1364&gt;=10,"HIGH",L1364=0,"LOW",L1364&lt;=9,"MEDIUM")</f>
        <v>LOW</v>
      </c>
      <c r="N1364" s="9" t="str" cm="1">
        <f t="array" ref="N1364">_xlfn.IFS(M1364="HIGH",K1364*L1364,M1364="MEDIUM",K1364*L1364,M1364="LOW","NA")</f>
        <v>NA</v>
      </c>
      <c r="O1364" s="18" t="str">
        <f t="shared" si="65"/>
        <v>cleared</v>
      </c>
    </row>
    <row r="1365" spans="1:15" x14ac:dyDescent="0.25">
      <c r="A1365" s="17">
        <v>1361</v>
      </c>
      <c r="B1365" s="6" t="s">
        <v>1398</v>
      </c>
      <c r="C1365" s="6" t="s">
        <v>33</v>
      </c>
      <c r="D1365" s="6" t="s">
        <v>54</v>
      </c>
      <c r="E1365" s="6" t="s">
        <v>18</v>
      </c>
      <c r="F1365" s="6" t="s">
        <v>29</v>
      </c>
      <c r="G1365" s="7">
        <v>46217</v>
      </c>
      <c r="H1365" s="6">
        <v>4</v>
      </c>
      <c r="I1365" s="6"/>
      <c r="J1365" s="7">
        <f t="shared" si="64"/>
        <v>46221</v>
      </c>
      <c r="K1365" s="8">
        <v>150</v>
      </c>
      <c r="L1365" s="9">
        <f t="shared" si="63"/>
        <v>38</v>
      </c>
      <c r="M1365" s="9" t="str" cm="1">
        <f t="array" ref="M1365">_xlfn.IFS(L1365&gt;=10,"HIGH",L1365=0,"LOW",L1365&lt;=9,"MEDIUM")</f>
        <v>HIGH</v>
      </c>
      <c r="N1365" s="9" cm="1">
        <f t="array" ref="N1365">_xlfn.IFS(M1365="HIGH",K1365*L1365,M1365="MEDIUM",K1365*L1365,M1365="LOW","NA")</f>
        <v>5700</v>
      </c>
      <c r="O1365" s="18" t="str">
        <f t="shared" si="65"/>
        <v>still in yard</v>
      </c>
    </row>
    <row r="1366" spans="1:15" x14ac:dyDescent="0.25">
      <c r="A1366" s="17">
        <v>1362</v>
      </c>
      <c r="B1366" s="6" t="s">
        <v>1399</v>
      </c>
      <c r="C1366" s="6" t="s">
        <v>37</v>
      </c>
      <c r="D1366" s="6" t="s">
        <v>41</v>
      </c>
      <c r="E1366" s="6" t="s">
        <v>35</v>
      </c>
      <c r="F1366" s="6" t="s">
        <v>27</v>
      </c>
      <c r="G1366" s="7">
        <v>46253</v>
      </c>
      <c r="H1366" s="6">
        <v>6</v>
      </c>
      <c r="I1366" s="7">
        <v>46254</v>
      </c>
      <c r="J1366" s="7">
        <f t="shared" si="64"/>
        <v>46259</v>
      </c>
      <c r="K1366" s="8">
        <v>130</v>
      </c>
      <c r="L1366" s="9">
        <f t="shared" si="63"/>
        <v>0</v>
      </c>
      <c r="M1366" s="9" t="str" cm="1">
        <f t="array" ref="M1366">_xlfn.IFS(L1366&gt;=10,"HIGH",L1366=0,"LOW",L1366&lt;=9,"MEDIUM")</f>
        <v>LOW</v>
      </c>
      <c r="N1366" s="9" t="str" cm="1">
        <f t="array" ref="N1366">_xlfn.IFS(M1366="HIGH",K1366*L1366,M1366="MEDIUM",K1366*L1366,M1366="LOW","NA")</f>
        <v>NA</v>
      </c>
      <c r="O1366" s="18" t="str">
        <f t="shared" si="65"/>
        <v>cleared</v>
      </c>
    </row>
    <row r="1367" spans="1:15" x14ac:dyDescent="0.25">
      <c r="A1367" s="17">
        <v>1363</v>
      </c>
      <c r="B1367" s="6" t="s">
        <v>1400</v>
      </c>
      <c r="C1367" s="6" t="s">
        <v>37</v>
      </c>
      <c r="D1367" s="6" t="s">
        <v>49</v>
      </c>
      <c r="E1367" s="6" t="s">
        <v>42</v>
      </c>
      <c r="F1367" s="6" t="s">
        <v>27</v>
      </c>
      <c r="G1367" s="7">
        <v>46171</v>
      </c>
      <c r="H1367" s="6">
        <v>5</v>
      </c>
      <c r="I1367" s="7">
        <v>46178</v>
      </c>
      <c r="J1367" s="7">
        <f t="shared" si="64"/>
        <v>46176</v>
      </c>
      <c r="K1367" s="8">
        <v>90</v>
      </c>
      <c r="L1367" s="9">
        <f t="shared" si="63"/>
        <v>2</v>
      </c>
      <c r="M1367" s="9" t="str" cm="1">
        <f t="array" ref="M1367">_xlfn.IFS(L1367&gt;=10,"HIGH",L1367=0,"LOW",L1367&lt;=9,"MEDIUM")</f>
        <v>MEDIUM</v>
      </c>
      <c r="N1367" s="9" cm="1">
        <f t="array" ref="N1367">_xlfn.IFS(M1367="HIGH",K1367*L1367,M1367="MEDIUM",K1367*L1367,M1367="LOW","NA")</f>
        <v>180</v>
      </c>
      <c r="O1367" s="18" t="str">
        <f t="shared" si="65"/>
        <v>cleared</v>
      </c>
    </row>
    <row r="1368" spans="1:15" x14ac:dyDescent="0.25">
      <c r="A1368" s="17">
        <v>1364</v>
      </c>
      <c r="B1368" s="6" t="s">
        <v>1401</v>
      </c>
      <c r="C1368" s="6" t="s">
        <v>11</v>
      </c>
      <c r="D1368" s="6" t="s">
        <v>54</v>
      </c>
      <c r="E1368" s="6" t="s">
        <v>13</v>
      </c>
      <c r="F1368" s="6" t="s">
        <v>14</v>
      </c>
      <c r="G1368" s="7">
        <v>46192</v>
      </c>
      <c r="H1368" s="6">
        <v>5</v>
      </c>
      <c r="I1368" s="7">
        <v>46195</v>
      </c>
      <c r="J1368" s="7">
        <f t="shared" si="64"/>
        <v>46197</v>
      </c>
      <c r="K1368" s="8">
        <v>90</v>
      </c>
      <c r="L1368" s="9">
        <f t="shared" si="63"/>
        <v>0</v>
      </c>
      <c r="M1368" s="9" t="str" cm="1">
        <f t="array" ref="M1368">_xlfn.IFS(L1368&gt;=10,"HIGH",L1368=0,"LOW",L1368&lt;=9,"MEDIUM")</f>
        <v>LOW</v>
      </c>
      <c r="N1368" s="9" t="str" cm="1">
        <f t="array" ref="N1368">_xlfn.IFS(M1368="HIGH",K1368*L1368,M1368="MEDIUM",K1368*L1368,M1368="LOW","NA")</f>
        <v>NA</v>
      </c>
      <c r="O1368" s="18" t="str">
        <f t="shared" si="65"/>
        <v>cleared</v>
      </c>
    </row>
    <row r="1369" spans="1:15" x14ac:dyDescent="0.25">
      <c r="A1369" s="17">
        <v>1365</v>
      </c>
      <c r="B1369" s="6" t="s">
        <v>1402</v>
      </c>
      <c r="C1369" s="6" t="s">
        <v>11</v>
      </c>
      <c r="D1369" s="6" t="s">
        <v>17</v>
      </c>
      <c r="E1369" s="6" t="s">
        <v>21</v>
      </c>
      <c r="F1369" s="6" t="s">
        <v>29</v>
      </c>
      <c r="G1369" s="7">
        <v>46240</v>
      </c>
      <c r="H1369" s="6">
        <v>4</v>
      </c>
      <c r="I1369" s="7">
        <v>46245</v>
      </c>
      <c r="J1369" s="7">
        <f t="shared" si="64"/>
        <v>46244</v>
      </c>
      <c r="K1369" s="8">
        <v>150</v>
      </c>
      <c r="L1369" s="9">
        <f t="shared" si="63"/>
        <v>1</v>
      </c>
      <c r="M1369" s="9" t="str" cm="1">
        <f t="array" ref="M1369">_xlfn.IFS(L1369&gt;=10,"HIGH",L1369=0,"LOW",L1369&lt;=9,"MEDIUM")</f>
        <v>MEDIUM</v>
      </c>
      <c r="N1369" s="9" cm="1">
        <f t="array" ref="N1369">_xlfn.IFS(M1369="HIGH",K1369*L1369,M1369="MEDIUM",K1369*L1369,M1369="LOW","NA")</f>
        <v>150</v>
      </c>
      <c r="O1369" s="18" t="str">
        <f t="shared" si="65"/>
        <v>cleared</v>
      </c>
    </row>
    <row r="1370" spans="1:15" x14ac:dyDescent="0.25">
      <c r="A1370" s="17">
        <v>1366</v>
      </c>
      <c r="B1370" s="6" t="s">
        <v>1403</v>
      </c>
      <c r="C1370" s="6" t="s">
        <v>33</v>
      </c>
      <c r="D1370" s="6" t="s">
        <v>20</v>
      </c>
      <c r="E1370" s="6" t="s">
        <v>13</v>
      </c>
      <c r="F1370" s="6" t="s">
        <v>14</v>
      </c>
      <c r="G1370" s="7">
        <v>46204</v>
      </c>
      <c r="H1370" s="6">
        <v>5</v>
      </c>
      <c r="I1370" s="7">
        <v>46205</v>
      </c>
      <c r="J1370" s="7">
        <f t="shared" si="64"/>
        <v>46209</v>
      </c>
      <c r="K1370" s="8">
        <v>130</v>
      </c>
      <c r="L1370" s="9">
        <f t="shared" si="63"/>
        <v>0</v>
      </c>
      <c r="M1370" s="9" t="str" cm="1">
        <f t="array" ref="M1370">_xlfn.IFS(L1370&gt;=10,"HIGH",L1370=0,"LOW",L1370&lt;=9,"MEDIUM")</f>
        <v>LOW</v>
      </c>
      <c r="N1370" s="9" t="str" cm="1">
        <f t="array" ref="N1370">_xlfn.IFS(M1370="HIGH",K1370*L1370,M1370="MEDIUM",K1370*L1370,M1370="LOW","NA")</f>
        <v>NA</v>
      </c>
      <c r="O1370" s="18" t="str">
        <f t="shared" si="65"/>
        <v>cleared</v>
      </c>
    </row>
    <row r="1371" spans="1:15" x14ac:dyDescent="0.25">
      <c r="A1371" s="17">
        <v>1367</v>
      </c>
      <c r="B1371" s="6" t="s">
        <v>1404</v>
      </c>
      <c r="C1371" s="6" t="s">
        <v>16</v>
      </c>
      <c r="D1371" s="6" t="s">
        <v>56</v>
      </c>
      <c r="E1371" s="6" t="s">
        <v>61</v>
      </c>
      <c r="F1371" s="6" t="s">
        <v>14</v>
      </c>
      <c r="G1371" s="7">
        <v>46237</v>
      </c>
      <c r="H1371" s="6">
        <v>5</v>
      </c>
      <c r="I1371" s="6"/>
      <c r="J1371" s="7">
        <f t="shared" si="64"/>
        <v>46242</v>
      </c>
      <c r="K1371" s="8">
        <v>90</v>
      </c>
      <c r="L1371" s="9">
        <f t="shared" si="63"/>
        <v>17</v>
      </c>
      <c r="M1371" s="9" t="str" cm="1">
        <f t="array" ref="M1371">_xlfn.IFS(L1371&gt;=10,"HIGH",L1371=0,"LOW",L1371&lt;=9,"MEDIUM")</f>
        <v>HIGH</v>
      </c>
      <c r="N1371" s="9" cm="1">
        <f t="array" ref="N1371">_xlfn.IFS(M1371="HIGH",K1371*L1371,M1371="MEDIUM",K1371*L1371,M1371="LOW","NA")</f>
        <v>1530</v>
      </c>
      <c r="O1371" s="18" t="str">
        <f t="shared" si="65"/>
        <v>still in yard</v>
      </c>
    </row>
    <row r="1372" spans="1:15" x14ac:dyDescent="0.25">
      <c r="A1372" s="17">
        <v>1368</v>
      </c>
      <c r="B1372" s="6" t="s">
        <v>1405</v>
      </c>
      <c r="C1372" s="6" t="s">
        <v>16</v>
      </c>
      <c r="D1372" s="6" t="s">
        <v>34</v>
      </c>
      <c r="E1372" s="6" t="s">
        <v>61</v>
      </c>
      <c r="F1372" s="6" t="s">
        <v>29</v>
      </c>
      <c r="G1372" s="7">
        <v>46195</v>
      </c>
      <c r="H1372" s="6">
        <v>4</v>
      </c>
      <c r="I1372" s="7">
        <v>46198</v>
      </c>
      <c r="J1372" s="7">
        <f t="shared" si="64"/>
        <v>46199</v>
      </c>
      <c r="K1372" s="8">
        <v>150</v>
      </c>
      <c r="L1372" s="9">
        <f t="shared" si="63"/>
        <v>0</v>
      </c>
      <c r="M1372" s="9" t="str" cm="1">
        <f t="array" ref="M1372">_xlfn.IFS(L1372&gt;=10,"HIGH",L1372=0,"LOW",L1372&lt;=9,"MEDIUM")</f>
        <v>LOW</v>
      </c>
      <c r="N1372" s="9" t="str" cm="1">
        <f t="array" ref="N1372">_xlfn.IFS(M1372="HIGH",K1372*L1372,M1372="MEDIUM",K1372*L1372,M1372="LOW","NA")</f>
        <v>NA</v>
      </c>
      <c r="O1372" s="18" t="str">
        <f t="shared" si="65"/>
        <v>cleared</v>
      </c>
    </row>
    <row r="1373" spans="1:15" x14ac:dyDescent="0.25">
      <c r="A1373" s="17">
        <v>1369</v>
      </c>
      <c r="B1373" s="6" t="s">
        <v>1406</v>
      </c>
      <c r="C1373" s="6" t="s">
        <v>11</v>
      </c>
      <c r="D1373" s="6" t="s">
        <v>56</v>
      </c>
      <c r="E1373" s="6" t="s">
        <v>23</v>
      </c>
      <c r="F1373" s="6" t="s">
        <v>27</v>
      </c>
      <c r="G1373" s="7">
        <v>46242</v>
      </c>
      <c r="H1373" s="6">
        <v>4</v>
      </c>
      <c r="I1373" s="6"/>
      <c r="J1373" s="7">
        <f t="shared" si="64"/>
        <v>46246</v>
      </c>
      <c r="K1373" s="8">
        <v>60</v>
      </c>
      <c r="L1373" s="9">
        <f t="shared" si="63"/>
        <v>13</v>
      </c>
      <c r="M1373" s="9" t="str" cm="1">
        <f t="array" ref="M1373">_xlfn.IFS(L1373&gt;=10,"HIGH",L1373=0,"LOW",L1373&lt;=9,"MEDIUM")</f>
        <v>HIGH</v>
      </c>
      <c r="N1373" s="9" cm="1">
        <f t="array" ref="N1373">_xlfn.IFS(M1373="HIGH",K1373*L1373,M1373="MEDIUM",K1373*L1373,M1373="LOW","NA")</f>
        <v>780</v>
      </c>
      <c r="O1373" s="18" t="str">
        <f t="shared" si="65"/>
        <v>still in yard</v>
      </c>
    </row>
    <row r="1374" spans="1:15" x14ac:dyDescent="0.25">
      <c r="A1374" s="17">
        <v>1370</v>
      </c>
      <c r="B1374" s="6" t="s">
        <v>1407</v>
      </c>
      <c r="C1374" s="6" t="s">
        <v>16</v>
      </c>
      <c r="D1374" s="6" t="s">
        <v>17</v>
      </c>
      <c r="E1374" s="6" t="s">
        <v>13</v>
      </c>
      <c r="F1374" s="6" t="s">
        <v>14</v>
      </c>
      <c r="G1374" s="7">
        <v>46185</v>
      </c>
      <c r="H1374" s="6">
        <v>4</v>
      </c>
      <c r="I1374" s="6"/>
      <c r="J1374" s="7">
        <f t="shared" si="64"/>
        <v>46189</v>
      </c>
      <c r="K1374" s="8">
        <v>130</v>
      </c>
      <c r="L1374" s="9">
        <f t="shared" si="63"/>
        <v>70</v>
      </c>
      <c r="M1374" s="9" t="str" cm="1">
        <f t="array" ref="M1374">_xlfn.IFS(L1374&gt;=10,"HIGH",L1374=0,"LOW",L1374&lt;=9,"MEDIUM")</f>
        <v>HIGH</v>
      </c>
      <c r="N1374" s="9" cm="1">
        <f t="array" ref="N1374">_xlfn.IFS(M1374="HIGH",K1374*L1374,M1374="MEDIUM",K1374*L1374,M1374="LOW","NA")</f>
        <v>9100</v>
      </c>
      <c r="O1374" s="18" t="str">
        <f t="shared" si="65"/>
        <v>still in yard</v>
      </c>
    </row>
    <row r="1375" spans="1:15" x14ac:dyDescent="0.25">
      <c r="A1375" s="17">
        <v>1371</v>
      </c>
      <c r="B1375" s="6" t="s">
        <v>1408</v>
      </c>
      <c r="C1375" s="6" t="s">
        <v>33</v>
      </c>
      <c r="D1375" s="6" t="s">
        <v>31</v>
      </c>
      <c r="E1375" s="6" t="s">
        <v>21</v>
      </c>
      <c r="F1375" s="6" t="s">
        <v>14</v>
      </c>
      <c r="G1375" s="7">
        <v>46203</v>
      </c>
      <c r="H1375" s="6">
        <v>5</v>
      </c>
      <c r="I1375" s="7">
        <v>46207</v>
      </c>
      <c r="J1375" s="7">
        <f t="shared" si="64"/>
        <v>46208</v>
      </c>
      <c r="K1375" s="8">
        <v>60</v>
      </c>
      <c r="L1375" s="9">
        <f t="shared" si="63"/>
        <v>0</v>
      </c>
      <c r="M1375" s="9" t="str" cm="1">
        <f t="array" ref="M1375">_xlfn.IFS(L1375&gt;=10,"HIGH",L1375=0,"LOW",L1375&lt;=9,"MEDIUM")</f>
        <v>LOW</v>
      </c>
      <c r="N1375" s="9" t="str" cm="1">
        <f t="array" ref="N1375">_xlfn.IFS(M1375="HIGH",K1375*L1375,M1375="MEDIUM",K1375*L1375,M1375="LOW","NA")</f>
        <v>NA</v>
      </c>
      <c r="O1375" s="18" t="str">
        <f t="shared" si="65"/>
        <v>cleared</v>
      </c>
    </row>
    <row r="1376" spans="1:15" x14ac:dyDescent="0.25">
      <c r="A1376" s="17">
        <v>1372</v>
      </c>
      <c r="B1376" s="6" t="s">
        <v>1409</v>
      </c>
      <c r="C1376" s="6" t="s">
        <v>11</v>
      </c>
      <c r="D1376" s="6" t="s">
        <v>12</v>
      </c>
      <c r="E1376" s="6" t="s">
        <v>13</v>
      </c>
      <c r="F1376" s="6" t="s">
        <v>24</v>
      </c>
      <c r="G1376" s="7">
        <v>46230</v>
      </c>
      <c r="H1376" s="6">
        <v>5</v>
      </c>
      <c r="I1376" s="6"/>
      <c r="J1376" s="7">
        <f t="shared" si="64"/>
        <v>46235</v>
      </c>
      <c r="K1376" s="8">
        <v>110</v>
      </c>
      <c r="L1376" s="9">
        <f t="shared" si="63"/>
        <v>24</v>
      </c>
      <c r="M1376" s="9" t="str" cm="1">
        <f t="array" ref="M1376">_xlfn.IFS(L1376&gt;=10,"HIGH",L1376=0,"LOW",L1376&lt;=9,"MEDIUM")</f>
        <v>HIGH</v>
      </c>
      <c r="N1376" s="9" cm="1">
        <f t="array" ref="N1376">_xlfn.IFS(M1376="HIGH",K1376*L1376,M1376="MEDIUM",K1376*L1376,M1376="LOW","NA")</f>
        <v>2640</v>
      </c>
      <c r="O1376" s="18" t="str">
        <f t="shared" si="65"/>
        <v>still in yard</v>
      </c>
    </row>
    <row r="1377" spans="1:15" x14ac:dyDescent="0.25">
      <c r="A1377" s="17">
        <v>1373</v>
      </c>
      <c r="B1377" s="6" t="s">
        <v>1410</v>
      </c>
      <c r="C1377" s="6" t="s">
        <v>16</v>
      </c>
      <c r="D1377" s="6" t="s">
        <v>31</v>
      </c>
      <c r="E1377" s="6" t="s">
        <v>13</v>
      </c>
      <c r="F1377" s="6" t="s">
        <v>14</v>
      </c>
      <c r="G1377" s="7">
        <v>46206</v>
      </c>
      <c r="H1377" s="6">
        <v>5</v>
      </c>
      <c r="I1377" s="7">
        <v>46208</v>
      </c>
      <c r="J1377" s="7">
        <f t="shared" si="64"/>
        <v>46211</v>
      </c>
      <c r="K1377" s="8">
        <v>110</v>
      </c>
      <c r="L1377" s="9">
        <f t="shared" si="63"/>
        <v>0</v>
      </c>
      <c r="M1377" s="9" t="str" cm="1">
        <f t="array" ref="M1377">_xlfn.IFS(L1377&gt;=10,"HIGH",L1377=0,"LOW",L1377&lt;=9,"MEDIUM")</f>
        <v>LOW</v>
      </c>
      <c r="N1377" s="9" t="str" cm="1">
        <f t="array" ref="N1377">_xlfn.IFS(M1377="HIGH",K1377*L1377,M1377="MEDIUM",K1377*L1377,M1377="LOW","NA")</f>
        <v>NA</v>
      </c>
      <c r="O1377" s="18" t="str">
        <f t="shared" si="65"/>
        <v>cleared</v>
      </c>
    </row>
    <row r="1378" spans="1:15" x14ac:dyDescent="0.25">
      <c r="A1378" s="17">
        <v>1374</v>
      </c>
      <c r="B1378" s="6" t="s">
        <v>1411</v>
      </c>
      <c r="C1378" s="6" t="s">
        <v>11</v>
      </c>
      <c r="D1378" s="6" t="s">
        <v>56</v>
      </c>
      <c r="E1378" s="6" t="s">
        <v>18</v>
      </c>
      <c r="F1378" s="6" t="s">
        <v>27</v>
      </c>
      <c r="G1378" s="7">
        <v>46217</v>
      </c>
      <c r="H1378" s="6">
        <v>4</v>
      </c>
      <c r="I1378" s="7">
        <v>46218</v>
      </c>
      <c r="J1378" s="7">
        <f t="shared" si="64"/>
        <v>46221</v>
      </c>
      <c r="K1378" s="8">
        <v>130</v>
      </c>
      <c r="L1378" s="9">
        <f t="shared" si="63"/>
        <v>0</v>
      </c>
      <c r="M1378" s="9" t="str" cm="1">
        <f t="array" ref="M1378">_xlfn.IFS(L1378&gt;=10,"HIGH",L1378=0,"LOW",L1378&lt;=9,"MEDIUM")</f>
        <v>LOW</v>
      </c>
      <c r="N1378" s="9" t="str" cm="1">
        <f t="array" ref="N1378">_xlfn.IFS(M1378="HIGH",K1378*L1378,M1378="MEDIUM",K1378*L1378,M1378="LOW","NA")</f>
        <v>NA</v>
      </c>
      <c r="O1378" s="18" t="str">
        <f t="shared" si="65"/>
        <v>cleared</v>
      </c>
    </row>
    <row r="1379" spans="1:15" x14ac:dyDescent="0.25">
      <c r="A1379" s="17">
        <v>1375</v>
      </c>
      <c r="B1379" s="6" t="s">
        <v>1412</v>
      </c>
      <c r="C1379" s="6" t="s">
        <v>37</v>
      </c>
      <c r="D1379" s="6" t="s">
        <v>12</v>
      </c>
      <c r="E1379" s="6" t="s">
        <v>42</v>
      </c>
      <c r="F1379" s="6" t="s">
        <v>27</v>
      </c>
      <c r="G1379" s="7">
        <v>46224</v>
      </c>
      <c r="H1379" s="6">
        <v>5</v>
      </c>
      <c r="I1379" s="7">
        <v>46225</v>
      </c>
      <c r="J1379" s="7">
        <f t="shared" si="64"/>
        <v>46229</v>
      </c>
      <c r="K1379" s="8">
        <v>60</v>
      </c>
      <c r="L1379" s="9">
        <f t="shared" si="63"/>
        <v>0</v>
      </c>
      <c r="M1379" s="9" t="str" cm="1">
        <f t="array" ref="M1379">_xlfn.IFS(L1379&gt;=10,"HIGH",L1379=0,"LOW",L1379&lt;=9,"MEDIUM")</f>
        <v>LOW</v>
      </c>
      <c r="N1379" s="9" t="str" cm="1">
        <f t="array" ref="N1379">_xlfn.IFS(M1379="HIGH",K1379*L1379,M1379="MEDIUM",K1379*L1379,M1379="LOW","NA")</f>
        <v>NA</v>
      </c>
      <c r="O1379" s="18" t="str">
        <f t="shared" si="65"/>
        <v>cleared</v>
      </c>
    </row>
    <row r="1380" spans="1:15" x14ac:dyDescent="0.25">
      <c r="A1380" s="17">
        <v>1376</v>
      </c>
      <c r="B1380" s="6" t="s">
        <v>1413</v>
      </c>
      <c r="C1380" s="6" t="s">
        <v>37</v>
      </c>
      <c r="D1380" s="6" t="s">
        <v>54</v>
      </c>
      <c r="E1380" s="6" t="s">
        <v>18</v>
      </c>
      <c r="F1380" s="6" t="s">
        <v>14</v>
      </c>
      <c r="G1380" s="7">
        <v>46194</v>
      </c>
      <c r="H1380" s="6">
        <v>7</v>
      </c>
      <c r="I1380" s="7">
        <v>46198</v>
      </c>
      <c r="J1380" s="7">
        <f t="shared" si="64"/>
        <v>46201</v>
      </c>
      <c r="K1380" s="8">
        <v>60</v>
      </c>
      <c r="L1380" s="9">
        <f t="shared" si="63"/>
        <v>0</v>
      </c>
      <c r="M1380" s="9" t="str" cm="1">
        <f t="array" ref="M1380">_xlfn.IFS(L1380&gt;=10,"HIGH",L1380=0,"LOW",L1380&lt;=9,"MEDIUM")</f>
        <v>LOW</v>
      </c>
      <c r="N1380" s="9" t="str" cm="1">
        <f t="array" ref="N1380">_xlfn.IFS(M1380="HIGH",K1380*L1380,M1380="MEDIUM",K1380*L1380,M1380="LOW","NA")</f>
        <v>NA</v>
      </c>
      <c r="O1380" s="18" t="str">
        <f t="shared" si="65"/>
        <v>cleared</v>
      </c>
    </row>
    <row r="1381" spans="1:15" x14ac:dyDescent="0.25">
      <c r="A1381" s="17">
        <v>1377</v>
      </c>
      <c r="B1381" s="6" t="s">
        <v>1414</v>
      </c>
      <c r="C1381" s="6" t="s">
        <v>11</v>
      </c>
      <c r="D1381" s="6" t="s">
        <v>31</v>
      </c>
      <c r="E1381" s="6" t="s">
        <v>44</v>
      </c>
      <c r="F1381" s="6" t="s">
        <v>29</v>
      </c>
      <c r="G1381" s="7">
        <v>46183</v>
      </c>
      <c r="H1381" s="6">
        <v>4</v>
      </c>
      <c r="I1381" s="7">
        <v>46187</v>
      </c>
      <c r="J1381" s="7">
        <f t="shared" si="64"/>
        <v>46187</v>
      </c>
      <c r="K1381" s="8">
        <v>120</v>
      </c>
      <c r="L1381" s="9">
        <f t="shared" si="63"/>
        <v>0</v>
      </c>
      <c r="M1381" s="9" t="str" cm="1">
        <f t="array" ref="M1381">_xlfn.IFS(L1381&gt;=10,"HIGH",L1381=0,"LOW",L1381&lt;=9,"MEDIUM")</f>
        <v>LOW</v>
      </c>
      <c r="N1381" s="9" t="str" cm="1">
        <f t="array" ref="N1381">_xlfn.IFS(M1381="HIGH",K1381*L1381,M1381="MEDIUM",K1381*L1381,M1381="LOW","NA")</f>
        <v>NA</v>
      </c>
      <c r="O1381" s="18" t="str">
        <f t="shared" si="65"/>
        <v>cleared</v>
      </c>
    </row>
    <row r="1382" spans="1:15" x14ac:dyDescent="0.25">
      <c r="A1382" s="17">
        <v>1378</v>
      </c>
      <c r="B1382" s="6" t="s">
        <v>1415</v>
      </c>
      <c r="C1382" s="6" t="s">
        <v>11</v>
      </c>
      <c r="D1382" s="6" t="s">
        <v>56</v>
      </c>
      <c r="E1382" s="6" t="s">
        <v>46</v>
      </c>
      <c r="F1382" s="6" t="s">
        <v>29</v>
      </c>
      <c r="G1382" s="7">
        <v>46177</v>
      </c>
      <c r="H1382" s="6">
        <v>4</v>
      </c>
      <c r="I1382" s="7">
        <v>46178</v>
      </c>
      <c r="J1382" s="7">
        <f t="shared" si="64"/>
        <v>46181</v>
      </c>
      <c r="K1382" s="8">
        <v>180</v>
      </c>
      <c r="L1382" s="9">
        <f t="shared" si="63"/>
        <v>0</v>
      </c>
      <c r="M1382" s="9" t="str" cm="1">
        <f t="array" ref="M1382">_xlfn.IFS(L1382&gt;=10,"HIGH",L1382=0,"LOW",L1382&lt;=9,"MEDIUM")</f>
        <v>LOW</v>
      </c>
      <c r="N1382" s="9" t="str" cm="1">
        <f t="array" ref="N1382">_xlfn.IFS(M1382="HIGH",K1382*L1382,M1382="MEDIUM",K1382*L1382,M1382="LOW","NA")</f>
        <v>NA</v>
      </c>
      <c r="O1382" s="18" t="str">
        <f t="shared" si="65"/>
        <v>cleared</v>
      </c>
    </row>
    <row r="1383" spans="1:15" x14ac:dyDescent="0.25">
      <c r="A1383" s="17">
        <v>1379</v>
      </c>
      <c r="B1383" s="6" t="s">
        <v>1416</v>
      </c>
      <c r="C1383" s="6" t="s">
        <v>33</v>
      </c>
      <c r="D1383" s="6" t="s">
        <v>34</v>
      </c>
      <c r="E1383" s="6" t="s">
        <v>35</v>
      </c>
      <c r="F1383" s="6" t="s">
        <v>29</v>
      </c>
      <c r="G1383" s="7">
        <v>46174</v>
      </c>
      <c r="H1383" s="6">
        <v>4</v>
      </c>
      <c r="I1383" s="6"/>
      <c r="J1383" s="7">
        <f t="shared" si="64"/>
        <v>46178</v>
      </c>
      <c r="K1383" s="8">
        <v>150</v>
      </c>
      <c r="L1383" s="9">
        <f t="shared" si="63"/>
        <v>81</v>
      </c>
      <c r="M1383" s="9" t="str" cm="1">
        <f t="array" ref="M1383">_xlfn.IFS(L1383&gt;=10,"HIGH",L1383=0,"LOW",L1383&lt;=9,"MEDIUM")</f>
        <v>HIGH</v>
      </c>
      <c r="N1383" s="9" cm="1">
        <f t="array" ref="N1383">_xlfn.IFS(M1383="HIGH",K1383*L1383,M1383="MEDIUM",K1383*L1383,M1383="LOW","NA")</f>
        <v>12150</v>
      </c>
      <c r="O1383" s="18" t="str">
        <f t="shared" si="65"/>
        <v>still in yard</v>
      </c>
    </row>
    <row r="1384" spans="1:15" x14ac:dyDescent="0.25">
      <c r="A1384" s="17">
        <v>1380</v>
      </c>
      <c r="B1384" s="6" t="s">
        <v>1417</v>
      </c>
      <c r="C1384" s="6" t="s">
        <v>11</v>
      </c>
      <c r="D1384" s="6" t="s">
        <v>41</v>
      </c>
      <c r="E1384" s="6" t="s">
        <v>18</v>
      </c>
      <c r="F1384" s="6" t="s">
        <v>24</v>
      </c>
      <c r="G1384" s="7">
        <v>46221</v>
      </c>
      <c r="H1384" s="6">
        <v>5</v>
      </c>
      <c r="I1384" s="7">
        <v>46228</v>
      </c>
      <c r="J1384" s="7">
        <f t="shared" si="64"/>
        <v>46226</v>
      </c>
      <c r="K1384" s="8">
        <v>75</v>
      </c>
      <c r="L1384" s="9">
        <f t="shared" si="63"/>
        <v>2</v>
      </c>
      <c r="M1384" s="9" t="str" cm="1">
        <f t="array" ref="M1384">_xlfn.IFS(L1384&gt;=10,"HIGH",L1384=0,"LOW",L1384&lt;=9,"MEDIUM")</f>
        <v>MEDIUM</v>
      </c>
      <c r="N1384" s="9" cm="1">
        <f t="array" ref="N1384">_xlfn.IFS(M1384="HIGH",K1384*L1384,M1384="MEDIUM",K1384*L1384,M1384="LOW","NA")</f>
        <v>150</v>
      </c>
      <c r="O1384" s="18" t="str">
        <f t="shared" si="65"/>
        <v>cleared</v>
      </c>
    </row>
    <row r="1385" spans="1:15" x14ac:dyDescent="0.25">
      <c r="A1385" s="17">
        <v>1381</v>
      </c>
      <c r="B1385" s="6" t="s">
        <v>1418</v>
      </c>
      <c r="C1385" s="6" t="s">
        <v>11</v>
      </c>
      <c r="D1385" s="6" t="s">
        <v>41</v>
      </c>
      <c r="E1385" s="6" t="s">
        <v>61</v>
      </c>
      <c r="F1385" s="6" t="s">
        <v>14</v>
      </c>
      <c r="G1385" s="7">
        <v>46245</v>
      </c>
      <c r="H1385" s="6">
        <v>5</v>
      </c>
      <c r="I1385" s="7">
        <v>46248</v>
      </c>
      <c r="J1385" s="7">
        <f t="shared" si="64"/>
        <v>46250</v>
      </c>
      <c r="K1385" s="8">
        <v>60</v>
      </c>
      <c r="L1385" s="9">
        <f t="shared" si="63"/>
        <v>0</v>
      </c>
      <c r="M1385" s="9" t="str" cm="1">
        <f t="array" ref="M1385">_xlfn.IFS(L1385&gt;=10,"HIGH",L1385=0,"LOW",L1385&lt;=9,"MEDIUM")</f>
        <v>LOW</v>
      </c>
      <c r="N1385" s="9" t="str" cm="1">
        <f t="array" ref="N1385">_xlfn.IFS(M1385="HIGH",K1385*L1385,M1385="MEDIUM",K1385*L1385,M1385="LOW","NA")</f>
        <v>NA</v>
      </c>
      <c r="O1385" s="18" t="str">
        <f t="shared" si="65"/>
        <v>cleared</v>
      </c>
    </row>
    <row r="1386" spans="1:15" x14ac:dyDescent="0.25">
      <c r="A1386" s="17">
        <v>1382</v>
      </c>
      <c r="B1386" s="6" t="s">
        <v>1419</v>
      </c>
      <c r="C1386" s="6" t="s">
        <v>16</v>
      </c>
      <c r="D1386" s="6" t="s">
        <v>12</v>
      </c>
      <c r="E1386" s="6" t="s">
        <v>35</v>
      </c>
      <c r="F1386" s="6" t="s">
        <v>14</v>
      </c>
      <c r="G1386" s="7">
        <v>46172</v>
      </c>
      <c r="H1386" s="6">
        <v>7</v>
      </c>
      <c r="I1386" s="7">
        <v>46174</v>
      </c>
      <c r="J1386" s="7">
        <f t="shared" si="64"/>
        <v>46179</v>
      </c>
      <c r="K1386" s="8">
        <v>60</v>
      </c>
      <c r="L1386" s="9">
        <f t="shared" si="63"/>
        <v>0</v>
      </c>
      <c r="M1386" s="9" t="str" cm="1">
        <f t="array" ref="M1386">_xlfn.IFS(L1386&gt;=10,"HIGH",L1386=0,"LOW",L1386&lt;=9,"MEDIUM")</f>
        <v>LOW</v>
      </c>
      <c r="N1386" s="9" t="str" cm="1">
        <f t="array" ref="N1386">_xlfn.IFS(M1386="HIGH",K1386*L1386,M1386="MEDIUM",K1386*L1386,M1386="LOW","NA")</f>
        <v>NA</v>
      </c>
      <c r="O1386" s="18" t="str">
        <f t="shared" si="65"/>
        <v>cleared</v>
      </c>
    </row>
    <row r="1387" spans="1:15" x14ac:dyDescent="0.25">
      <c r="A1387" s="17">
        <v>1383</v>
      </c>
      <c r="B1387" s="6" t="s">
        <v>1420</v>
      </c>
      <c r="C1387" s="6" t="s">
        <v>37</v>
      </c>
      <c r="D1387" s="6" t="s">
        <v>54</v>
      </c>
      <c r="E1387" s="6" t="s">
        <v>61</v>
      </c>
      <c r="F1387" s="6" t="s">
        <v>24</v>
      </c>
      <c r="G1387" s="7">
        <v>46185</v>
      </c>
      <c r="H1387" s="6">
        <v>6</v>
      </c>
      <c r="I1387" s="7">
        <v>46188</v>
      </c>
      <c r="J1387" s="7">
        <f t="shared" si="64"/>
        <v>46191</v>
      </c>
      <c r="K1387" s="8">
        <v>90</v>
      </c>
      <c r="L1387" s="9">
        <f t="shared" si="63"/>
        <v>0</v>
      </c>
      <c r="M1387" s="9" t="str" cm="1">
        <f t="array" ref="M1387">_xlfn.IFS(L1387&gt;=10,"HIGH",L1387=0,"LOW",L1387&lt;=9,"MEDIUM")</f>
        <v>LOW</v>
      </c>
      <c r="N1387" s="9" t="str" cm="1">
        <f t="array" ref="N1387">_xlfn.IFS(M1387="HIGH",K1387*L1387,M1387="MEDIUM",K1387*L1387,M1387="LOW","NA")</f>
        <v>NA</v>
      </c>
      <c r="O1387" s="18" t="str">
        <f t="shared" si="65"/>
        <v>cleared</v>
      </c>
    </row>
    <row r="1388" spans="1:15" x14ac:dyDescent="0.25">
      <c r="A1388" s="17">
        <v>1384</v>
      </c>
      <c r="B1388" s="6" t="s">
        <v>1421</v>
      </c>
      <c r="C1388" s="6" t="s">
        <v>37</v>
      </c>
      <c r="D1388" s="6" t="s">
        <v>17</v>
      </c>
      <c r="E1388" s="6" t="s">
        <v>21</v>
      </c>
      <c r="F1388" s="6" t="s">
        <v>29</v>
      </c>
      <c r="G1388" s="7">
        <v>46216</v>
      </c>
      <c r="H1388" s="6">
        <v>3</v>
      </c>
      <c r="I1388" s="7">
        <v>46219</v>
      </c>
      <c r="J1388" s="7">
        <f t="shared" si="64"/>
        <v>46219</v>
      </c>
      <c r="K1388" s="8">
        <v>120</v>
      </c>
      <c r="L1388" s="9">
        <f t="shared" si="63"/>
        <v>0</v>
      </c>
      <c r="M1388" s="9" t="str" cm="1">
        <f t="array" ref="M1388">_xlfn.IFS(L1388&gt;=10,"HIGH",L1388=0,"LOW",L1388&lt;=9,"MEDIUM")</f>
        <v>LOW</v>
      </c>
      <c r="N1388" s="9" t="str" cm="1">
        <f t="array" ref="N1388">_xlfn.IFS(M1388="HIGH",K1388*L1388,M1388="MEDIUM",K1388*L1388,M1388="LOW","NA")</f>
        <v>NA</v>
      </c>
      <c r="O1388" s="18" t="str">
        <f t="shared" si="65"/>
        <v>cleared</v>
      </c>
    </row>
    <row r="1389" spans="1:15" x14ac:dyDescent="0.25">
      <c r="A1389" s="17">
        <v>1385</v>
      </c>
      <c r="B1389" s="6" t="s">
        <v>1422</v>
      </c>
      <c r="C1389" s="6" t="s">
        <v>33</v>
      </c>
      <c r="D1389" s="6" t="s">
        <v>20</v>
      </c>
      <c r="E1389" s="6" t="s">
        <v>46</v>
      </c>
      <c r="F1389" s="6" t="s">
        <v>29</v>
      </c>
      <c r="G1389" s="7">
        <v>46237</v>
      </c>
      <c r="H1389" s="6">
        <v>3</v>
      </c>
      <c r="I1389" s="6"/>
      <c r="J1389" s="7">
        <f t="shared" si="64"/>
        <v>46240</v>
      </c>
      <c r="K1389" s="8">
        <v>150</v>
      </c>
      <c r="L1389" s="9">
        <f t="shared" si="63"/>
        <v>19</v>
      </c>
      <c r="M1389" s="9" t="str" cm="1">
        <f t="array" ref="M1389">_xlfn.IFS(L1389&gt;=10,"HIGH",L1389=0,"LOW",L1389&lt;=9,"MEDIUM")</f>
        <v>HIGH</v>
      </c>
      <c r="N1389" s="9" cm="1">
        <f t="array" ref="N1389">_xlfn.IFS(M1389="HIGH",K1389*L1389,M1389="MEDIUM",K1389*L1389,M1389="LOW","NA")</f>
        <v>2850</v>
      </c>
      <c r="O1389" s="18" t="str">
        <f t="shared" si="65"/>
        <v>still in yard</v>
      </c>
    </row>
    <row r="1390" spans="1:15" x14ac:dyDescent="0.25">
      <c r="A1390" s="17">
        <v>1386</v>
      </c>
      <c r="B1390" s="6" t="s">
        <v>1423</v>
      </c>
      <c r="C1390" s="6" t="s">
        <v>37</v>
      </c>
      <c r="D1390" s="6" t="s">
        <v>56</v>
      </c>
      <c r="E1390" s="6" t="s">
        <v>13</v>
      </c>
      <c r="F1390" s="6" t="s">
        <v>24</v>
      </c>
      <c r="G1390" s="7">
        <v>46208</v>
      </c>
      <c r="H1390" s="6">
        <v>6</v>
      </c>
      <c r="I1390" s="7">
        <v>46218</v>
      </c>
      <c r="J1390" s="7">
        <f t="shared" si="64"/>
        <v>46214</v>
      </c>
      <c r="K1390" s="8">
        <v>60</v>
      </c>
      <c r="L1390" s="9">
        <f t="shared" si="63"/>
        <v>4</v>
      </c>
      <c r="M1390" s="9" t="str" cm="1">
        <f t="array" ref="M1390">_xlfn.IFS(L1390&gt;=10,"HIGH",L1390=0,"LOW",L1390&lt;=9,"MEDIUM")</f>
        <v>MEDIUM</v>
      </c>
      <c r="N1390" s="9" cm="1">
        <f t="array" ref="N1390">_xlfn.IFS(M1390="HIGH",K1390*L1390,M1390="MEDIUM",K1390*L1390,M1390="LOW","NA")</f>
        <v>240</v>
      </c>
      <c r="O1390" s="18" t="str">
        <f t="shared" si="65"/>
        <v>cleared</v>
      </c>
    </row>
    <row r="1391" spans="1:15" x14ac:dyDescent="0.25">
      <c r="A1391" s="17">
        <v>1387</v>
      </c>
      <c r="B1391" s="6" t="s">
        <v>1424</v>
      </c>
      <c r="C1391" s="6" t="s">
        <v>37</v>
      </c>
      <c r="D1391" s="6" t="s">
        <v>17</v>
      </c>
      <c r="E1391" s="6" t="s">
        <v>13</v>
      </c>
      <c r="F1391" s="6" t="s">
        <v>24</v>
      </c>
      <c r="G1391" s="7">
        <v>46235</v>
      </c>
      <c r="H1391" s="6">
        <v>4</v>
      </c>
      <c r="I1391" s="6"/>
      <c r="J1391" s="7">
        <f t="shared" si="64"/>
        <v>46239</v>
      </c>
      <c r="K1391" s="8">
        <v>130</v>
      </c>
      <c r="L1391" s="9">
        <f t="shared" si="63"/>
        <v>20</v>
      </c>
      <c r="M1391" s="9" t="str" cm="1">
        <f t="array" ref="M1391">_xlfn.IFS(L1391&gt;=10,"HIGH",L1391=0,"LOW",L1391&lt;=9,"MEDIUM")</f>
        <v>HIGH</v>
      </c>
      <c r="N1391" s="9" cm="1">
        <f t="array" ref="N1391">_xlfn.IFS(M1391="HIGH",K1391*L1391,M1391="MEDIUM",K1391*L1391,M1391="LOW","NA")</f>
        <v>2600</v>
      </c>
      <c r="O1391" s="18" t="str">
        <f t="shared" si="65"/>
        <v>still in yard</v>
      </c>
    </row>
    <row r="1392" spans="1:15" x14ac:dyDescent="0.25">
      <c r="A1392" s="17">
        <v>1388</v>
      </c>
      <c r="B1392" s="6" t="s">
        <v>1425</v>
      </c>
      <c r="C1392" s="6" t="s">
        <v>16</v>
      </c>
      <c r="D1392" s="6" t="s">
        <v>12</v>
      </c>
      <c r="E1392" s="6" t="s">
        <v>46</v>
      </c>
      <c r="F1392" s="6" t="s">
        <v>27</v>
      </c>
      <c r="G1392" s="7">
        <v>46184</v>
      </c>
      <c r="H1392" s="6">
        <v>6</v>
      </c>
      <c r="I1392" s="7">
        <v>46188</v>
      </c>
      <c r="J1392" s="7">
        <f t="shared" si="64"/>
        <v>46190</v>
      </c>
      <c r="K1392" s="8">
        <v>90</v>
      </c>
      <c r="L1392" s="9">
        <f t="shared" si="63"/>
        <v>0</v>
      </c>
      <c r="M1392" s="9" t="str" cm="1">
        <f t="array" ref="M1392">_xlfn.IFS(L1392&gt;=10,"HIGH",L1392=0,"LOW",L1392&lt;=9,"MEDIUM")</f>
        <v>LOW</v>
      </c>
      <c r="N1392" s="9" t="str" cm="1">
        <f t="array" ref="N1392">_xlfn.IFS(M1392="HIGH",K1392*L1392,M1392="MEDIUM",K1392*L1392,M1392="LOW","NA")</f>
        <v>NA</v>
      </c>
      <c r="O1392" s="18" t="str">
        <f t="shared" si="65"/>
        <v>cleared</v>
      </c>
    </row>
    <row r="1393" spans="1:15" x14ac:dyDescent="0.25">
      <c r="A1393" s="17">
        <v>1389</v>
      </c>
      <c r="B1393" s="6" t="s">
        <v>1426</v>
      </c>
      <c r="C1393" s="6" t="s">
        <v>11</v>
      </c>
      <c r="D1393" s="6" t="s">
        <v>31</v>
      </c>
      <c r="E1393" s="6" t="s">
        <v>35</v>
      </c>
      <c r="F1393" s="6" t="s">
        <v>27</v>
      </c>
      <c r="G1393" s="7">
        <v>46257</v>
      </c>
      <c r="H1393" s="6">
        <v>4</v>
      </c>
      <c r="I1393" s="6"/>
      <c r="J1393" s="7">
        <f t="shared" si="64"/>
        <v>46261</v>
      </c>
      <c r="K1393" s="8">
        <v>60</v>
      </c>
      <c r="L1393" s="9">
        <f t="shared" si="63"/>
        <v>0</v>
      </c>
      <c r="M1393" s="9" t="str" cm="1">
        <f t="array" ref="M1393">_xlfn.IFS(L1393&gt;=10,"HIGH",L1393=0,"LOW",L1393&lt;=9,"MEDIUM")</f>
        <v>LOW</v>
      </c>
      <c r="N1393" s="9" t="str" cm="1">
        <f t="array" ref="N1393">_xlfn.IFS(M1393="HIGH",K1393*L1393,M1393="MEDIUM",K1393*L1393,M1393="LOW","NA")</f>
        <v>NA</v>
      </c>
      <c r="O1393" s="18" t="str">
        <f t="shared" si="65"/>
        <v>still in yard</v>
      </c>
    </row>
    <row r="1394" spans="1:15" x14ac:dyDescent="0.25">
      <c r="A1394" s="17">
        <v>1390</v>
      </c>
      <c r="B1394" s="6" t="s">
        <v>1427</v>
      </c>
      <c r="C1394" s="6" t="s">
        <v>11</v>
      </c>
      <c r="D1394" s="6" t="s">
        <v>49</v>
      </c>
      <c r="E1394" s="6" t="s">
        <v>61</v>
      </c>
      <c r="F1394" s="6" t="s">
        <v>27</v>
      </c>
      <c r="G1394" s="7">
        <v>46217</v>
      </c>
      <c r="H1394" s="6">
        <v>6</v>
      </c>
      <c r="I1394" s="7">
        <v>46224</v>
      </c>
      <c r="J1394" s="7">
        <f t="shared" si="64"/>
        <v>46223</v>
      </c>
      <c r="K1394" s="8">
        <v>110</v>
      </c>
      <c r="L1394" s="9">
        <f t="shared" si="63"/>
        <v>1</v>
      </c>
      <c r="M1394" s="9" t="str" cm="1">
        <f t="array" ref="M1394">_xlfn.IFS(L1394&gt;=10,"HIGH",L1394=0,"LOW",L1394&lt;=9,"MEDIUM")</f>
        <v>MEDIUM</v>
      </c>
      <c r="N1394" s="9" cm="1">
        <f t="array" ref="N1394">_xlfn.IFS(M1394="HIGH",K1394*L1394,M1394="MEDIUM",K1394*L1394,M1394="LOW","NA")</f>
        <v>110</v>
      </c>
      <c r="O1394" s="18" t="str">
        <f t="shared" si="65"/>
        <v>cleared</v>
      </c>
    </row>
    <row r="1395" spans="1:15" x14ac:dyDescent="0.25">
      <c r="A1395" s="17">
        <v>1391</v>
      </c>
      <c r="B1395" s="6" t="s">
        <v>1428</v>
      </c>
      <c r="C1395" s="6" t="s">
        <v>33</v>
      </c>
      <c r="D1395" s="6" t="s">
        <v>17</v>
      </c>
      <c r="E1395" s="6" t="s">
        <v>61</v>
      </c>
      <c r="F1395" s="6" t="s">
        <v>29</v>
      </c>
      <c r="G1395" s="7">
        <v>46243</v>
      </c>
      <c r="H1395" s="6">
        <v>4</v>
      </c>
      <c r="I1395" s="7">
        <v>46246</v>
      </c>
      <c r="J1395" s="7">
        <f t="shared" si="64"/>
        <v>46247</v>
      </c>
      <c r="K1395" s="8">
        <v>180</v>
      </c>
      <c r="L1395" s="9">
        <f t="shared" si="63"/>
        <v>0</v>
      </c>
      <c r="M1395" s="9" t="str" cm="1">
        <f t="array" ref="M1395">_xlfn.IFS(L1395&gt;=10,"HIGH",L1395=0,"LOW",L1395&lt;=9,"MEDIUM")</f>
        <v>LOW</v>
      </c>
      <c r="N1395" s="9" t="str" cm="1">
        <f t="array" ref="N1395">_xlfn.IFS(M1395="HIGH",K1395*L1395,M1395="MEDIUM",K1395*L1395,M1395="LOW","NA")</f>
        <v>NA</v>
      </c>
      <c r="O1395" s="18" t="str">
        <f t="shared" si="65"/>
        <v>cleared</v>
      </c>
    </row>
    <row r="1396" spans="1:15" x14ac:dyDescent="0.25">
      <c r="A1396" s="17">
        <v>1392</v>
      </c>
      <c r="B1396" s="6" t="s">
        <v>1429</v>
      </c>
      <c r="C1396" s="6" t="s">
        <v>37</v>
      </c>
      <c r="D1396" s="6" t="s">
        <v>20</v>
      </c>
      <c r="E1396" s="6" t="s">
        <v>46</v>
      </c>
      <c r="F1396" s="6" t="s">
        <v>27</v>
      </c>
      <c r="G1396" s="7">
        <v>46250</v>
      </c>
      <c r="H1396" s="6">
        <v>4</v>
      </c>
      <c r="I1396" s="7">
        <v>46257</v>
      </c>
      <c r="J1396" s="7">
        <f t="shared" si="64"/>
        <v>46254</v>
      </c>
      <c r="K1396" s="8">
        <v>90</v>
      </c>
      <c r="L1396" s="9">
        <f t="shared" si="63"/>
        <v>3</v>
      </c>
      <c r="M1396" s="9" t="str" cm="1">
        <f t="array" ref="M1396">_xlfn.IFS(L1396&gt;=10,"HIGH",L1396=0,"LOW",L1396&lt;=9,"MEDIUM")</f>
        <v>MEDIUM</v>
      </c>
      <c r="N1396" s="9" cm="1">
        <f t="array" ref="N1396">_xlfn.IFS(M1396="HIGH",K1396*L1396,M1396="MEDIUM",K1396*L1396,M1396="LOW","NA")</f>
        <v>270</v>
      </c>
      <c r="O1396" s="18" t="str">
        <f t="shared" si="65"/>
        <v>cleared</v>
      </c>
    </row>
    <row r="1397" spans="1:15" x14ac:dyDescent="0.25">
      <c r="A1397" s="17">
        <v>1393</v>
      </c>
      <c r="B1397" s="6" t="s">
        <v>1430</v>
      </c>
      <c r="C1397" s="6" t="s">
        <v>11</v>
      </c>
      <c r="D1397" s="6" t="s">
        <v>17</v>
      </c>
      <c r="E1397" s="6" t="s">
        <v>23</v>
      </c>
      <c r="F1397" s="6" t="s">
        <v>29</v>
      </c>
      <c r="G1397" s="7">
        <v>46195</v>
      </c>
      <c r="H1397" s="6">
        <v>4</v>
      </c>
      <c r="I1397" s="7">
        <v>46196</v>
      </c>
      <c r="J1397" s="7">
        <f t="shared" si="64"/>
        <v>46199</v>
      </c>
      <c r="K1397" s="8">
        <v>120</v>
      </c>
      <c r="L1397" s="9">
        <f t="shared" si="63"/>
        <v>0</v>
      </c>
      <c r="M1397" s="9" t="str" cm="1">
        <f t="array" ref="M1397">_xlfn.IFS(L1397&gt;=10,"HIGH",L1397=0,"LOW",L1397&lt;=9,"MEDIUM")</f>
        <v>LOW</v>
      </c>
      <c r="N1397" s="9" t="str" cm="1">
        <f t="array" ref="N1397">_xlfn.IFS(M1397="HIGH",K1397*L1397,M1397="MEDIUM",K1397*L1397,M1397="LOW","NA")</f>
        <v>NA</v>
      </c>
      <c r="O1397" s="18" t="str">
        <f t="shared" si="65"/>
        <v>cleared</v>
      </c>
    </row>
    <row r="1398" spans="1:15" x14ac:dyDescent="0.25">
      <c r="A1398" s="17">
        <v>1394</v>
      </c>
      <c r="B1398" s="6" t="s">
        <v>1431</v>
      </c>
      <c r="C1398" s="6" t="s">
        <v>11</v>
      </c>
      <c r="D1398" s="6" t="s">
        <v>31</v>
      </c>
      <c r="E1398" s="6" t="s">
        <v>18</v>
      </c>
      <c r="F1398" s="6" t="s">
        <v>27</v>
      </c>
      <c r="G1398" s="7">
        <v>46228</v>
      </c>
      <c r="H1398" s="6">
        <v>6</v>
      </c>
      <c r="I1398" s="7">
        <v>46241</v>
      </c>
      <c r="J1398" s="7">
        <f t="shared" si="64"/>
        <v>46234</v>
      </c>
      <c r="K1398" s="8">
        <v>60</v>
      </c>
      <c r="L1398" s="9">
        <f t="shared" si="63"/>
        <v>7</v>
      </c>
      <c r="M1398" s="9" t="str" cm="1">
        <f t="array" ref="M1398">_xlfn.IFS(L1398&gt;=10,"HIGH",L1398=0,"LOW",L1398&lt;=9,"MEDIUM")</f>
        <v>MEDIUM</v>
      </c>
      <c r="N1398" s="9" cm="1">
        <f t="array" ref="N1398">_xlfn.IFS(M1398="HIGH",K1398*L1398,M1398="MEDIUM",K1398*L1398,M1398="LOW","NA")</f>
        <v>420</v>
      </c>
      <c r="O1398" s="18" t="str">
        <f t="shared" si="65"/>
        <v>cleared</v>
      </c>
    </row>
    <row r="1399" spans="1:15" x14ac:dyDescent="0.25">
      <c r="A1399" s="17">
        <v>1395</v>
      </c>
      <c r="B1399" s="6" t="s">
        <v>1432</v>
      </c>
      <c r="C1399" s="6" t="s">
        <v>37</v>
      </c>
      <c r="D1399" s="6" t="s">
        <v>17</v>
      </c>
      <c r="E1399" s="6" t="s">
        <v>18</v>
      </c>
      <c r="F1399" s="6" t="s">
        <v>27</v>
      </c>
      <c r="G1399" s="7">
        <v>46196</v>
      </c>
      <c r="H1399" s="6">
        <v>4</v>
      </c>
      <c r="I1399" s="7">
        <v>46200</v>
      </c>
      <c r="J1399" s="7">
        <f t="shared" si="64"/>
        <v>46200</v>
      </c>
      <c r="K1399" s="8">
        <v>130</v>
      </c>
      <c r="L1399" s="9">
        <f t="shared" si="63"/>
        <v>0</v>
      </c>
      <c r="M1399" s="9" t="str" cm="1">
        <f t="array" ref="M1399">_xlfn.IFS(L1399&gt;=10,"HIGH",L1399=0,"LOW",L1399&lt;=9,"MEDIUM")</f>
        <v>LOW</v>
      </c>
      <c r="N1399" s="9" t="str" cm="1">
        <f t="array" ref="N1399">_xlfn.IFS(M1399="HIGH",K1399*L1399,M1399="MEDIUM",K1399*L1399,M1399="LOW","NA")</f>
        <v>NA</v>
      </c>
      <c r="O1399" s="18" t="str">
        <f t="shared" si="65"/>
        <v>cleared</v>
      </c>
    </row>
    <row r="1400" spans="1:15" x14ac:dyDescent="0.25">
      <c r="A1400" s="17">
        <v>1396</v>
      </c>
      <c r="B1400" s="6" t="s">
        <v>1433</v>
      </c>
      <c r="C1400" s="6" t="s">
        <v>16</v>
      </c>
      <c r="D1400" s="6" t="s">
        <v>17</v>
      </c>
      <c r="E1400" s="6" t="s">
        <v>18</v>
      </c>
      <c r="F1400" s="6" t="s">
        <v>29</v>
      </c>
      <c r="G1400" s="7">
        <v>46178</v>
      </c>
      <c r="H1400" s="6">
        <v>4</v>
      </c>
      <c r="I1400" s="7">
        <v>46186</v>
      </c>
      <c r="J1400" s="7">
        <f t="shared" si="64"/>
        <v>46182</v>
      </c>
      <c r="K1400" s="8">
        <v>150</v>
      </c>
      <c r="L1400" s="9">
        <f t="shared" si="63"/>
        <v>4</v>
      </c>
      <c r="M1400" s="9" t="str" cm="1">
        <f t="array" ref="M1400">_xlfn.IFS(L1400&gt;=10,"HIGH",L1400=0,"LOW",L1400&lt;=9,"MEDIUM")</f>
        <v>MEDIUM</v>
      </c>
      <c r="N1400" s="9" cm="1">
        <f t="array" ref="N1400">_xlfn.IFS(M1400="HIGH",K1400*L1400,M1400="MEDIUM",K1400*L1400,M1400="LOW","NA")</f>
        <v>600</v>
      </c>
      <c r="O1400" s="18" t="str">
        <f t="shared" si="65"/>
        <v>cleared</v>
      </c>
    </row>
    <row r="1401" spans="1:15" x14ac:dyDescent="0.25">
      <c r="A1401" s="17">
        <v>1397</v>
      </c>
      <c r="B1401" s="6" t="s">
        <v>1434</v>
      </c>
      <c r="C1401" s="6" t="s">
        <v>37</v>
      </c>
      <c r="D1401" s="6" t="s">
        <v>17</v>
      </c>
      <c r="E1401" s="6" t="s">
        <v>39</v>
      </c>
      <c r="F1401" s="6" t="s">
        <v>27</v>
      </c>
      <c r="G1401" s="7">
        <v>46248</v>
      </c>
      <c r="H1401" s="6">
        <v>4</v>
      </c>
      <c r="I1401" s="7">
        <v>46252</v>
      </c>
      <c r="J1401" s="7">
        <f t="shared" si="64"/>
        <v>46252</v>
      </c>
      <c r="K1401" s="8">
        <v>75</v>
      </c>
      <c r="L1401" s="9">
        <f t="shared" si="63"/>
        <v>0</v>
      </c>
      <c r="M1401" s="9" t="str" cm="1">
        <f t="array" ref="M1401">_xlfn.IFS(L1401&gt;=10,"HIGH",L1401=0,"LOW",L1401&lt;=9,"MEDIUM")</f>
        <v>LOW</v>
      </c>
      <c r="N1401" s="9" t="str" cm="1">
        <f t="array" ref="N1401">_xlfn.IFS(M1401="HIGH",K1401*L1401,M1401="MEDIUM",K1401*L1401,M1401="LOW","NA")</f>
        <v>NA</v>
      </c>
      <c r="O1401" s="18" t="str">
        <f t="shared" si="65"/>
        <v>cleared</v>
      </c>
    </row>
    <row r="1402" spans="1:15" x14ac:dyDescent="0.25">
      <c r="A1402" s="17">
        <v>1398</v>
      </c>
      <c r="B1402" s="6" t="s">
        <v>1435</v>
      </c>
      <c r="C1402" s="6" t="s">
        <v>33</v>
      </c>
      <c r="D1402" s="6" t="s">
        <v>34</v>
      </c>
      <c r="E1402" s="6" t="s">
        <v>18</v>
      </c>
      <c r="F1402" s="6" t="s">
        <v>14</v>
      </c>
      <c r="G1402" s="7">
        <v>46233</v>
      </c>
      <c r="H1402" s="6">
        <v>6</v>
      </c>
      <c r="I1402" s="7">
        <v>46234</v>
      </c>
      <c r="J1402" s="7">
        <f t="shared" si="64"/>
        <v>46239</v>
      </c>
      <c r="K1402" s="8">
        <v>130</v>
      </c>
      <c r="L1402" s="9">
        <f t="shared" si="63"/>
        <v>0</v>
      </c>
      <c r="M1402" s="9" t="str" cm="1">
        <f t="array" ref="M1402">_xlfn.IFS(L1402&gt;=10,"HIGH",L1402=0,"LOW",L1402&lt;=9,"MEDIUM")</f>
        <v>LOW</v>
      </c>
      <c r="N1402" s="9" t="str" cm="1">
        <f t="array" ref="N1402">_xlfn.IFS(M1402="HIGH",K1402*L1402,M1402="MEDIUM",K1402*L1402,M1402="LOW","NA")</f>
        <v>NA</v>
      </c>
      <c r="O1402" s="18" t="str">
        <f t="shared" si="65"/>
        <v>cleared</v>
      </c>
    </row>
    <row r="1403" spans="1:15" x14ac:dyDescent="0.25">
      <c r="A1403" s="17">
        <v>1399</v>
      </c>
      <c r="B1403" s="6" t="s">
        <v>1436</v>
      </c>
      <c r="C1403" s="6" t="s">
        <v>16</v>
      </c>
      <c r="D1403" s="6" t="s">
        <v>26</v>
      </c>
      <c r="E1403" s="6" t="s">
        <v>42</v>
      </c>
      <c r="F1403" s="6" t="s">
        <v>24</v>
      </c>
      <c r="G1403" s="7">
        <v>46215</v>
      </c>
      <c r="H1403" s="6">
        <v>5</v>
      </c>
      <c r="I1403" s="7">
        <v>46218</v>
      </c>
      <c r="J1403" s="7">
        <f t="shared" si="64"/>
        <v>46220</v>
      </c>
      <c r="K1403" s="8">
        <v>90</v>
      </c>
      <c r="L1403" s="9">
        <f t="shared" si="63"/>
        <v>0</v>
      </c>
      <c r="M1403" s="9" t="str" cm="1">
        <f t="array" ref="M1403">_xlfn.IFS(L1403&gt;=10,"HIGH",L1403=0,"LOW",L1403&lt;=9,"MEDIUM")</f>
        <v>LOW</v>
      </c>
      <c r="N1403" s="9" t="str" cm="1">
        <f t="array" ref="N1403">_xlfn.IFS(M1403="HIGH",K1403*L1403,M1403="MEDIUM",K1403*L1403,M1403="LOW","NA")</f>
        <v>NA</v>
      </c>
      <c r="O1403" s="18" t="str">
        <f t="shared" si="65"/>
        <v>cleared</v>
      </c>
    </row>
    <row r="1404" spans="1:15" x14ac:dyDescent="0.25">
      <c r="A1404" s="17">
        <v>1400</v>
      </c>
      <c r="B1404" s="6" t="s">
        <v>1437</v>
      </c>
      <c r="C1404" s="6" t="s">
        <v>11</v>
      </c>
      <c r="D1404" s="6" t="s">
        <v>49</v>
      </c>
      <c r="E1404" s="6" t="s">
        <v>23</v>
      </c>
      <c r="F1404" s="6" t="s">
        <v>14</v>
      </c>
      <c r="G1404" s="7">
        <v>46220</v>
      </c>
      <c r="H1404" s="6">
        <v>7</v>
      </c>
      <c r="I1404" s="6"/>
      <c r="J1404" s="7">
        <f t="shared" si="64"/>
        <v>46227</v>
      </c>
      <c r="K1404" s="8">
        <v>110</v>
      </c>
      <c r="L1404" s="9">
        <f t="shared" si="63"/>
        <v>32</v>
      </c>
      <c r="M1404" s="9" t="str" cm="1">
        <f t="array" ref="M1404">_xlfn.IFS(L1404&gt;=10,"HIGH",L1404=0,"LOW",L1404&lt;=9,"MEDIUM")</f>
        <v>HIGH</v>
      </c>
      <c r="N1404" s="9" cm="1">
        <f t="array" ref="N1404">_xlfn.IFS(M1404="HIGH",K1404*L1404,M1404="MEDIUM",K1404*L1404,M1404="LOW","NA")</f>
        <v>3520</v>
      </c>
      <c r="O1404" s="18" t="str">
        <f t="shared" si="65"/>
        <v>still in yard</v>
      </c>
    </row>
    <row r="1405" spans="1:15" x14ac:dyDescent="0.25">
      <c r="A1405" s="17">
        <v>1401</v>
      </c>
      <c r="B1405" s="6" t="s">
        <v>1438</v>
      </c>
      <c r="C1405" s="6" t="s">
        <v>33</v>
      </c>
      <c r="D1405" s="6" t="s">
        <v>41</v>
      </c>
      <c r="E1405" s="6" t="s">
        <v>21</v>
      </c>
      <c r="F1405" s="6" t="s">
        <v>24</v>
      </c>
      <c r="G1405" s="7">
        <v>46241</v>
      </c>
      <c r="H1405" s="6">
        <v>5</v>
      </c>
      <c r="I1405" s="7">
        <v>46253</v>
      </c>
      <c r="J1405" s="7">
        <f t="shared" si="64"/>
        <v>46246</v>
      </c>
      <c r="K1405" s="8">
        <v>130</v>
      </c>
      <c r="L1405" s="9">
        <f t="shared" si="63"/>
        <v>7</v>
      </c>
      <c r="M1405" s="9" t="str" cm="1">
        <f t="array" ref="M1405">_xlfn.IFS(L1405&gt;=10,"HIGH",L1405=0,"LOW",L1405&lt;=9,"MEDIUM")</f>
        <v>MEDIUM</v>
      </c>
      <c r="N1405" s="9" cm="1">
        <f t="array" ref="N1405">_xlfn.IFS(M1405="HIGH",K1405*L1405,M1405="MEDIUM",K1405*L1405,M1405="LOW","NA")</f>
        <v>910</v>
      </c>
      <c r="O1405" s="18" t="str">
        <f t="shared" si="65"/>
        <v>cleared</v>
      </c>
    </row>
    <row r="1406" spans="1:15" x14ac:dyDescent="0.25">
      <c r="A1406" s="17">
        <v>1402</v>
      </c>
      <c r="B1406" s="6" t="s">
        <v>1439</v>
      </c>
      <c r="C1406" s="6" t="s">
        <v>16</v>
      </c>
      <c r="D1406" s="6" t="s">
        <v>31</v>
      </c>
      <c r="E1406" s="6" t="s">
        <v>61</v>
      </c>
      <c r="F1406" s="6" t="s">
        <v>29</v>
      </c>
      <c r="G1406" s="7">
        <v>46208</v>
      </c>
      <c r="H1406" s="6">
        <v>4</v>
      </c>
      <c r="I1406" s="7">
        <v>46212</v>
      </c>
      <c r="J1406" s="7">
        <f t="shared" si="64"/>
        <v>46212</v>
      </c>
      <c r="K1406" s="8">
        <v>150</v>
      </c>
      <c r="L1406" s="9">
        <f t="shared" si="63"/>
        <v>0</v>
      </c>
      <c r="M1406" s="9" t="str" cm="1">
        <f t="array" ref="M1406">_xlfn.IFS(L1406&gt;=10,"HIGH",L1406=0,"LOW",L1406&lt;=9,"MEDIUM")</f>
        <v>LOW</v>
      </c>
      <c r="N1406" s="9" t="str" cm="1">
        <f t="array" ref="N1406">_xlfn.IFS(M1406="HIGH",K1406*L1406,M1406="MEDIUM",K1406*L1406,M1406="LOW","NA")</f>
        <v>NA</v>
      </c>
      <c r="O1406" s="18" t="str">
        <f t="shared" si="65"/>
        <v>cleared</v>
      </c>
    </row>
    <row r="1407" spans="1:15" x14ac:dyDescent="0.25">
      <c r="A1407" s="17">
        <v>1403</v>
      </c>
      <c r="B1407" s="6" t="s">
        <v>1440</v>
      </c>
      <c r="C1407" s="6" t="s">
        <v>33</v>
      </c>
      <c r="D1407" s="6" t="s">
        <v>31</v>
      </c>
      <c r="E1407" s="6" t="s">
        <v>44</v>
      </c>
      <c r="F1407" s="6" t="s">
        <v>24</v>
      </c>
      <c r="G1407" s="7">
        <v>46204</v>
      </c>
      <c r="H1407" s="6">
        <v>4</v>
      </c>
      <c r="I1407" s="7">
        <v>46208</v>
      </c>
      <c r="J1407" s="7">
        <f t="shared" si="64"/>
        <v>46208</v>
      </c>
      <c r="K1407" s="8">
        <v>60</v>
      </c>
      <c r="L1407" s="9">
        <f t="shared" si="63"/>
        <v>0</v>
      </c>
      <c r="M1407" s="9" t="str" cm="1">
        <f t="array" ref="M1407">_xlfn.IFS(L1407&gt;=10,"HIGH",L1407=0,"LOW",L1407&lt;=9,"MEDIUM")</f>
        <v>LOW</v>
      </c>
      <c r="N1407" s="9" t="str" cm="1">
        <f t="array" ref="N1407">_xlfn.IFS(M1407="HIGH",K1407*L1407,M1407="MEDIUM",K1407*L1407,M1407="LOW","NA")</f>
        <v>NA</v>
      </c>
      <c r="O1407" s="18" t="str">
        <f t="shared" si="65"/>
        <v>cleared</v>
      </c>
    </row>
    <row r="1408" spans="1:15" x14ac:dyDescent="0.25">
      <c r="A1408" s="17">
        <v>1404</v>
      </c>
      <c r="B1408" s="6" t="s">
        <v>1441</v>
      </c>
      <c r="C1408" s="6" t="s">
        <v>33</v>
      </c>
      <c r="D1408" s="6" t="s">
        <v>54</v>
      </c>
      <c r="E1408" s="6" t="s">
        <v>46</v>
      </c>
      <c r="F1408" s="6" t="s">
        <v>14</v>
      </c>
      <c r="G1408" s="7">
        <v>46218</v>
      </c>
      <c r="H1408" s="6">
        <v>6</v>
      </c>
      <c r="I1408" s="7">
        <v>46224</v>
      </c>
      <c r="J1408" s="7">
        <f t="shared" si="64"/>
        <v>46224</v>
      </c>
      <c r="K1408" s="8">
        <v>130</v>
      </c>
      <c r="L1408" s="9">
        <f t="shared" si="63"/>
        <v>0</v>
      </c>
      <c r="M1408" s="9" t="str" cm="1">
        <f t="array" ref="M1408">_xlfn.IFS(L1408&gt;=10,"HIGH",L1408=0,"LOW",L1408&lt;=9,"MEDIUM")</f>
        <v>LOW</v>
      </c>
      <c r="N1408" s="9" t="str" cm="1">
        <f t="array" ref="N1408">_xlfn.IFS(M1408="HIGH",K1408*L1408,M1408="MEDIUM",K1408*L1408,M1408="LOW","NA")</f>
        <v>NA</v>
      </c>
      <c r="O1408" s="18" t="str">
        <f t="shared" si="65"/>
        <v>cleared</v>
      </c>
    </row>
    <row r="1409" spans="1:15" x14ac:dyDescent="0.25">
      <c r="A1409" s="17">
        <v>1405</v>
      </c>
      <c r="B1409" s="6" t="s">
        <v>1442</v>
      </c>
      <c r="C1409" s="6" t="s">
        <v>33</v>
      </c>
      <c r="D1409" s="6" t="s">
        <v>34</v>
      </c>
      <c r="E1409" s="6" t="s">
        <v>18</v>
      </c>
      <c r="F1409" s="6" t="s">
        <v>14</v>
      </c>
      <c r="G1409" s="7">
        <v>46179</v>
      </c>
      <c r="H1409" s="6">
        <v>4</v>
      </c>
      <c r="I1409" s="7">
        <v>46188</v>
      </c>
      <c r="J1409" s="7">
        <f t="shared" si="64"/>
        <v>46183</v>
      </c>
      <c r="K1409" s="8">
        <v>110</v>
      </c>
      <c r="L1409" s="9">
        <f t="shared" si="63"/>
        <v>5</v>
      </c>
      <c r="M1409" s="9" t="str" cm="1">
        <f t="array" ref="M1409">_xlfn.IFS(L1409&gt;=10,"HIGH",L1409=0,"LOW",L1409&lt;=9,"MEDIUM")</f>
        <v>MEDIUM</v>
      </c>
      <c r="N1409" s="9" cm="1">
        <f t="array" ref="N1409">_xlfn.IFS(M1409="HIGH",K1409*L1409,M1409="MEDIUM",K1409*L1409,M1409="LOW","NA")</f>
        <v>550</v>
      </c>
      <c r="O1409" s="18" t="str">
        <f t="shared" si="65"/>
        <v>cleared</v>
      </c>
    </row>
    <row r="1410" spans="1:15" x14ac:dyDescent="0.25">
      <c r="A1410" s="17">
        <v>1406</v>
      </c>
      <c r="B1410" s="6" t="s">
        <v>1443</v>
      </c>
      <c r="C1410" s="6" t="s">
        <v>37</v>
      </c>
      <c r="D1410" s="6" t="s">
        <v>56</v>
      </c>
      <c r="E1410" s="6" t="s">
        <v>18</v>
      </c>
      <c r="F1410" s="6" t="s">
        <v>29</v>
      </c>
      <c r="G1410" s="7">
        <v>46175</v>
      </c>
      <c r="H1410" s="6">
        <v>3</v>
      </c>
      <c r="I1410" s="7">
        <v>46182</v>
      </c>
      <c r="J1410" s="7">
        <f t="shared" si="64"/>
        <v>46178</v>
      </c>
      <c r="K1410" s="8">
        <v>150</v>
      </c>
      <c r="L1410" s="9">
        <f t="shared" si="63"/>
        <v>4</v>
      </c>
      <c r="M1410" s="9" t="str" cm="1">
        <f t="array" ref="M1410">_xlfn.IFS(L1410&gt;=10,"HIGH",L1410=0,"LOW",L1410&lt;=9,"MEDIUM")</f>
        <v>MEDIUM</v>
      </c>
      <c r="N1410" s="9" cm="1">
        <f t="array" ref="N1410">_xlfn.IFS(M1410="HIGH",K1410*L1410,M1410="MEDIUM",K1410*L1410,M1410="LOW","NA")</f>
        <v>600</v>
      </c>
      <c r="O1410" s="18" t="str">
        <f t="shared" si="65"/>
        <v>cleared</v>
      </c>
    </row>
    <row r="1411" spans="1:15" x14ac:dyDescent="0.25">
      <c r="A1411" s="17">
        <v>1407</v>
      </c>
      <c r="B1411" s="6" t="s">
        <v>1444</v>
      </c>
      <c r="C1411" s="6" t="s">
        <v>33</v>
      </c>
      <c r="D1411" s="6" t="s">
        <v>49</v>
      </c>
      <c r="E1411" s="6" t="s">
        <v>21</v>
      </c>
      <c r="F1411" s="6" t="s">
        <v>27</v>
      </c>
      <c r="G1411" s="7">
        <v>46199</v>
      </c>
      <c r="H1411" s="6">
        <v>5</v>
      </c>
      <c r="I1411" s="6"/>
      <c r="J1411" s="7">
        <f t="shared" si="64"/>
        <v>46204</v>
      </c>
      <c r="K1411" s="8">
        <v>75</v>
      </c>
      <c r="L1411" s="9">
        <f t="shared" si="63"/>
        <v>55</v>
      </c>
      <c r="M1411" s="9" t="str" cm="1">
        <f t="array" ref="M1411">_xlfn.IFS(L1411&gt;=10,"HIGH",L1411=0,"LOW",L1411&lt;=9,"MEDIUM")</f>
        <v>HIGH</v>
      </c>
      <c r="N1411" s="9" cm="1">
        <f t="array" ref="N1411">_xlfn.IFS(M1411="HIGH",K1411*L1411,M1411="MEDIUM",K1411*L1411,M1411="LOW","NA")</f>
        <v>4125</v>
      </c>
      <c r="O1411" s="18" t="str">
        <f t="shared" si="65"/>
        <v>still in yard</v>
      </c>
    </row>
    <row r="1412" spans="1:15" x14ac:dyDescent="0.25">
      <c r="A1412" s="17">
        <v>1408</v>
      </c>
      <c r="B1412" s="6" t="s">
        <v>1445</v>
      </c>
      <c r="C1412" s="6" t="s">
        <v>11</v>
      </c>
      <c r="D1412" s="6" t="s">
        <v>20</v>
      </c>
      <c r="E1412" s="6" t="s">
        <v>42</v>
      </c>
      <c r="F1412" s="6" t="s">
        <v>29</v>
      </c>
      <c r="G1412" s="7">
        <v>46171</v>
      </c>
      <c r="H1412" s="6">
        <v>4</v>
      </c>
      <c r="I1412" s="6"/>
      <c r="J1412" s="7">
        <f t="shared" si="64"/>
        <v>46175</v>
      </c>
      <c r="K1412" s="8">
        <v>150</v>
      </c>
      <c r="L1412" s="9">
        <f t="shared" si="63"/>
        <v>84</v>
      </c>
      <c r="M1412" s="9" t="str" cm="1">
        <f t="array" ref="M1412">_xlfn.IFS(L1412&gt;=10,"HIGH",L1412=0,"LOW",L1412&lt;=9,"MEDIUM")</f>
        <v>HIGH</v>
      </c>
      <c r="N1412" s="9" cm="1">
        <f t="array" ref="N1412">_xlfn.IFS(M1412="HIGH",K1412*L1412,M1412="MEDIUM",K1412*L1412,M1412="LOW","NA")</f>
        <v>12600</v>
      </c>
      <c r="O1412" s="18" t="str">
        <f t="shared" si="65"/>
        <v>still in yard</v>
      </c>
    </row>
    <row r="1413" spans="1:15" x14ac:dyDescent="0.25">
      <c r="A1413" s="17">
        <v>1409</v>
      </c>
      <c r="B1413" s="6" t="s">
        <v>1446</v>
      </c>
      <c r="C1413" s="6" t="s">
        <v>33</v>
      </c>
      <c r="D1413" s="6" t="s">
        <v>26</v>
      </c>
      <c r="E1413" s="6" t="s">
        <v>13</v>
      </c>
      <c r="F1413" s="6" t="s">
        <v>29</v>
      </c>
      <c r="G1413" s="7">
        <v>46215</v>
      </c>
      <c r="H1413" s="6">
        <v>4</v>
      </c>
      <c r="I1413" s="7">
        <v>46216</v>
      </c>
      <c r="J1413" s="7">
        <f t="shared" si="64"/>
        <v>46219</v>
      </c>
      <c r="K1413" s="8">
        <v>120</v>
      </c>
      <c r="L1413" s="9">
        <f t="shared" ref="L1413:L1476" si="66">MAX(0, IF(I1413="", $C$2-J1413, I1413-J1413))</f>
        <v>0</v>
      </c>
      <c r="M1413" s="9" t="str" cm="1">
        <f t="array" ref="M1413">_xlfn.IFS(L1413&gt;=10,"HIGH",L1413=0,"LOW",L1413&lt;=9,"MEDIUM")</f>
        <v>LOW</v>
      </c>
      <c r="N1413" s="9" t="str" cm="1">
        <f t="array" ref="N1413">_xlfn.IFS(M1413="HIGH",K1413*L1413,M1413="MEDIUM",K1413*L1413,M1413="LOW","NA")</f>
        <v>NA</v>
      </c>
      <c r="O1413" s="18" t="str">
        <f t="shared" si="65"/>
        <v>cleared</v>
      </c>
    </row>
    <row r="1414" spans="1:15" x14ac:dyDescent="0.25">
      <c r="A1414" s="17">
        <v>1410</v>
      </c>
      <c r="B1414" s="6" t="s">
        <v>1447</v>
      </c>
      <c r="C1414" s="6" t="s">
        <v>37</v>
      </c>
      <c r="D1414" s="6" t="s">
        <v>12</v>
      </c>
      <c r="E1414" s="6" t="s">
        <v>35</v>
      </c>
      <c r="F1414" s="6" t="s">
        <v>29</v>
      </c>
      <c r="G1414" s="7">
        <v>46230</v>
      </c>
      <c r="H1414" s="6">
        <v>4</v>
      </c>
      <c r="I1414" s="7">
        <v>46235</v>
      </c>
      <c r="J1414" s="7">
        <f t="shared" ref="J1414:J1477" si="67">G1414+H1414</f>
        <v>46234</v>
      </c>
      <c r="K1414" s="8">
        <v>180</v>
      </c>
      <c r="L1414" s="9">
        <f t="shared" si="66"/>
        <v>1</v>
      </c>
      <c r="M1414" s="9" t="str" cm="1">
        <f t="array" ref="M1414">_xlfn.IFS(L1414&gt;=10,"HIGH",L1414=0,"LOW",L1414&lt;=9,"MEDIUM")</f>
        <v>MEDIUM</v>
      </c>
      <c r="N1414" s="9" cm="1">
        <f t="array" ref="N1414">_xlfn.IFS(M1414="HIGH",K1414*L1414,M1414="MEDIUM",K1414*L1414,M1414="LOW","NA")</f>
        <v>180</v>
      </c>
      <c r="O1414" s="18" t="str">
        <f t="shared" ref="O1414:O1477" si="68">IF(I1414="","still in yard","cleared")</f>
        <v>cleared</v>
      </c>
    </row>
    <row r="1415" spans="1:15" x14ac:dyDescent="0.25">
      <c r="A1415" s="17">
        <v>1411</v>
      </c>
      <c r="B1415" s="6" t="s">
        <v>1448</v>
      </c>
      <c r="C1415" s="6" t="s">
        <v>11</v>
      </c>
      <c r="D1415" s="6" t="s">
        <v>31</v>
      </c>
      <c r="E1415" s="6" t="s">
        <v>42</v>
      </c>
      <c r="F1415" s="6" t="s">
        <v>29</v>
      </c>
      <c r="G1415" s="7">
        <v>46216</v>
      </c>
      <c r="H1415" s="6">
        <v>4</v>
      </c>
      <c r="I1415" s="7">
        <v>46219</v>
      </c>
      <c r="J1415" s="7">
        <f t="shared" si="67"/>
        <v>46220</v>
      </c>
      <c r="K1415" s="8">
        <v>150</v>
      </c>
      <c r="L1415" s="9">
        <f t="shared" si="66"/>
        <v>0</v>
      </c>
      <c r="M1415" s="9" t="str" cm="1">
        <f t="array" ref="M1415">_xlfn.IFS(L1415&gt;=10,"HIGH",L1415=0,"LOW",L1415&lt;=9,"MEDIUM")</f>
        <v>LOW</v>
      </c>
      <c r="N1415" s="9" t="str" cm="1">
        <f t="array" ref="N1415">_xlfn.IFS(M1415="HIGH",K1415*L1415,M1415="MEDIUM",K1415*L1415,M1415="LOW","NA")</f>
        <v>NA</v>
      </c>
      <c r="O1415" s="18" t="str">
        <f t="shared" si="68"/>
        <v>cleared</v>
      </c>
    </row>
    <row r="1416" spans="1:15" x14ac:dyDescent="0.25">
      <c r="A1416" s="17">
        <v>1412</v>
      </c>
      <c r="B1416" s="6" t="s">
        <v>1449</v>
      </c>
      <c r="C1416" s="6" t="s">
        <v>37</v>
      </c>
      <c r="D1416" s="6" t="s">
        <v>26</v>
      </c>
      <c r="E1416" s="6" t="s">
        <v>39</v>
      </c>
      <c r="F1416" s="6" t="s">
        <v>27</v>
      </c>
      <c r="G1416" s="7">
        <v>46183</v>
      </c>
      <c r="H1416" s="6">
        <v>6</v>
      </c>
      <c r="I1416" s="7">
        <v>46185</v>
      </c>
      <c r="J1416" s="7">
        <f t="shared" si="67"/>
        <v>46189</v>
      </c>
      <c r="K1416" s="8">
        <v>130</v>
      </c>
      <c r="L1416" s="9">
        <f t="shared" si="66"/>
        <v>0</v>
      </c>
      <c r="M1416" s="9" t="str" cm="1">
        <f t="array" ref="M1416">_xlfn.IFS(L1416&gt;=10,"HIGH",L1416=0,"LOW",L1416&lt;=9,"MEDIUM")</f>
        <v>LOW</v>
      </c>
      <c r="N1416" s="9" t="str" cm="1">
        <f t="array" ref="N1416">_xlfn.IFS(M1416="HIGH",K1416*L1416,M1416="MEDIUM",K1416*L1416,M1416="LOW","NA")</f>
        <v>NA</v>
      </c>
      <c r="O1416" s="18" t="str">
        <f t="shared" si="68"/>
        <v>cleared</v>
      </c>
    </row>
    <row r="1417" spans="1:15" x14ac:dyDescent="0.25">
      <c r="A1417" s="17">
        <v>1413</v>
      </c>
      <c r="B1417" s="6" t="s">
        <v>1450</v>
      </c>
      <c r="C1417" s="6" t="s">
        <v>11</v>
      </c>
      <c r="D1417" s="6" t="s">
        <v>34</v>
      </c>
      <c r="E1417" s="6" t="s">
        <v>35</v>
      </c>
      <c r="F1417" s="6" t="s">
        <v>29</v>
      </c>
      <c r="G1417" s="7">
        <v>46180</v>
      </c>
      <c r="H1417" s="6">
        <v>4</v>
      </c>
      <c r="I1417" s="7">
        <v>46187</v>
      </c>
      <c r="J1417" s="7">
        <f t="shared" si="67"/>
        <v>46184</v>
      </c>
      <c r="K1417" s="8">
        <v>150</v>
      </c>
      <c r="L1417" s="9">
        <f t="shared" si="66"/>
        <v>3</v>
      </c>
      <c r="M1417" s="9" t="str" cm="1">
        <f t="array" ref="M1417">_xlfn.IFS(L1417&gt;=10,"HIGH",L1417=0,"LOW",L1417&lt;=9,"MEDIUM")</f>
        <v>MEDIUM</v>
      </c>
      <c r="N1417" s="9" cm="1">
        <f t="array" ref="N1417">_xlfn.IFS(M1417="HIGH",K1417*L1417,M1417="MEDIUM",K1417*L1417,M1417="LOW","NA")</f>
        <v>450</v>
      </c>
      <c r="O1417" s="18" t="str">
        <f t="shared" si="68"/>
        <v>cleared</v>
      </c>
    </row>
    <row r="1418" spans="1:15" x14ac:dyDescent="0.25">
      <c r="A1418" s="17">
        <v>1414</v>
      </c>
      <c r="B1418" s="6" t="s">
        <v>1451</v>
      </c>
      <c r="C1418" s="6" t="s">
        <v>16</v>
      </c>
      <c r="D1418" s="6" t="s">
        <v>54</v>
      </c>
      <c r="E1418" s="6" t="s">
        <v>35</v>
      </c>
      <c r="F1418" s="6" t="s">
        <v>29</v>
      </c>
      <c r="G1418" s="7">
        <v>46221</v>
      </c>
      <c r="H1418" s="6">
        <v>4</v>
      </c>
      <c r="I1418" s="6"/>
      <c r="J1418" s="7">
        <f t="shared" si="67"/>
        <v>46225</v>
      </c>
      <c r="K1418" s="8">
        <v>180</v>
      </c>
      <c r="L1418" s="9">
        <f t="shared" si="66"/>
        <v>34</v>
      </c>
      <c r="M1418" s="9" t="str" cm="1">
        <f t="array" ref="M1418">_xlfn.IFS(L1418&gt;=10,"HIGH",L1418=0,"LOW",L1418&lt;=9,"MEDIUM")</f>
        <v>HIGH</v>
      </c>
      <c r="N1418" s="9" cm="1">
        <f t="array" ref="N1418">_xlfn.IFS(M1418="HIGH",K1418*L1418,M1418="MEDIUM",K1418*L1418,M1418="LOW","NA")</f>
        <v>6120</v>
      </c>
      <c r="O1418" s="18" t="str">
        <f t="shared" si="68"/>
        <v>still in yard</v>
      </c>
    </row>
    <row r="1419" spans="1:15" x14ac:dyDescent="0.25">
      <c r="A1419" s="17">
        <v>1415</v>
      </c>
      <c r="B1419" s="6" t="s">
        <v>1452</v>
      </c>
      <c r="C1419" s="6" t="s">
        <v>33</v>
      </c>
      <c r="D1419" s="6" t="s">
        <v>41</v>
      </c>
      <c r="E1419" s="6" t="s">
        <v>21</v>
      </c>
      <c r="F1419" s="6" t="s">
        <v>29</v>
      </c>
      <c r="G1419" s="7">
        <v>46231</v>
      </c>
      <c r="H1419" s="6">
        <v>3</v>
      </c>
      <c r="I1419" s="6"/>
      <c r="J1419" s="7">
        <f t="shared" si="67"/>
        <v>46234</v>
      </c>
      <c r="K1419" s="8">
        <v>180</v>
      </c>
      <c r="L1419" s="9">
        <f t="shared" si="66"/>
        <v>25</v>
      </c>
      <c r="M1419" s="9" t="str" cm="1">
        <f t="array" ref="M1419">_xlfn.IFS(L1419&gt;=10,"HIGH",L1419=0,"LOW",L1419&lt;=9,"MEDIUM")</f>
        <v>HIGH</v>
      </c>
      <c r="N1419" s="9" cm="1">
        <f t="array" ref="N1419">_xlfn.IFS(M1419="HIGH",K1419*L1419,M1419="MEDIUM",K1419*L1419,M1419="LOW","NA")</f>
        <v>4500</v>
      </c>
      <c r="O1419" s="18" t="str">
        <f t="shared" si="68"/>
        <v>still in yard</v>
      </c>
    </row>
    <row r="1420" spans="1:15" x14ac:dyDescent="0.25">
      <c r="A1420" s="17">
        <v>1416</v>
      </c>
      <c r="B1420" s="6" t="s">
        <v>1453</v>
      </c>
      <c r="C1420" s="6" t="s">
        <v>33</v>
      </c>
      <c r="D1420" s="6" t="s">
        <v>34</v>
      </c>
      <c r="E1420" s="6" t="s">
        <v>13</v>
      </c>
      <c r="F1420" s="6" t="s">
        <v>29</v>
      </c>
      <c r="G1420" s="7">
        <v>46215</v>
      </c>
      <c r="H1420" s="6">
        <v>3</v>
      </c>
      <c r="I1420" s="6"/>
      <c r="J1420" s="7">
        <f t="shared" si="67"/>
        <v>46218</v>
      </c>
      <c r="K1420" s="8">
        <v>150</v>
      </c>
      <c r="L1420" s="9">
        <f t="shared" si="66"/>
        <v>41</v>
      </c>
      <c r="M1420" s="9" t="str" cm="1">
        <f t="array" ref="M1420">_xlfn.IFS(L1420&gt;=10,"HIGH",L1420=0,"LOW",L1420&lt;=9,"MEDIUM")</f>
        <v>HIGH</v>
      </c>
      <c r="N1420" s="9" cm="1">
        <f t="array" ref="N1420">_xlfn.IFS(M1420="HIGH",K1420*L1420,M1420="MEDIUM",K1420*L1420,M1420="LOW","NA")</f>
        <v>6150</v>
      </c>
      <c r="O1420" s="18" t="str">
        <f t="shared" si="68"/>
        <v>still in yard</v>
      </c>
    </row>
    <row r="1421" spans="1:15" x14ac:dyDescent="0.25">
      <c r="A1421" s="17">
        <v>1417</v>
      </c>
      <c r="B1421" s="6" t="s">
        <v>1454</v>
      </c>
      <c r="C1421" s="6" t="s">
        <v>16</v>
      </c>
      <c r="D1421" s="6" t="s">
        <v>31</v>
      </c>
      <c r="E1421" s="6" t="s">
        <v>13</v>
      </c>
      <c r="F1421" s="6" t="s">
        <v>29</v>
      </c>
      <c r="G1421" s="7">
        <v>46200</v>
      </c>
      <c r="H1421" s="6">
        <v>3</v>
      </c>
      <c r="I1421" s="6"/>
      <c r="J1421" s="7">
        <f t="shared" si="67"/>
        <v>46203</v>
      </c>
      <c r="K1421" s="8">
        <v>180</v>
      </c>
      <c r="L1421" s="9">
        <f t="shared" si="66"/>
        <v>56</v>
      </c>
      <c r="M1421" s="9" t="str" cm="1">
        <f t="array" ref="M1421">_xlfn.IFS(L1421&gt;=10,"HIGH",L1421=0,"LOW",L1421&lt;=9,"MEDIUM")</f>
        <v>HIGH</v>
      </c>
      <c r="N1421" s="9" cm="1">
        <f t="array" ref="N1421">_xlfn.IFS(M1421="HIGH",K1421*L1421,M1421="MEDIUM",K1421*L1421,M1421="LOW","NA")</f>
        <v>10080</v>
      </c>
      <c r="O1421" s="18" t="str">
        <f t="shared" si="68"/>
        <v>still in yard</v>
      </c>
    </row>
    <row r="1422" spans="1:15" x14ac:dyDescent="0.25">
      <c r="A1422" s="17">
        <v>1418</v>
      </c>
      <c r="B1422" s="6" t="s">
        <v>1455</v>
      </c>
      <c r="C1422" s="6" t="s">
        <v>11</v>
      </c>
      <c r="D1422" s="6" t="s">
        <v>34</v>
      </c>
      <c r="E1422" s="6" t="s">
        <v>13</v>
      </c>
      <c r="F1422" s="6" t="s">
        <v>24</v>
      </c>
      <c r="G1422" s="7">
        <v>46214</v>
      </c>
      <c r="H1422" s="6">
        <v>4</v>
      </c>
      <c r="I1422" s="7">
        <v>46224</v>
      </c>
      <c r="J1422" s="7">
        <f t="shared" si="67"/>
        <v>46218</v>
      </c>
      <c r="K1422" s="8">
        <v>130</v>
      </c>
      <c r="L1422" s="9">
        <f t="shared" si="66"/>
        <v>6</v>
      </c>
      <c r="M1422" s="9" t="str" cm="1">
        <f t="array" ref="M1422">_xlfn.IFS(L1422&gt;=10,"HIGH",L1422=0,"LOW",L1422&lt;=9,"MEDIUM")</f>
        <v>MEDIUM</v>
      </c>
      <c r="N1422" s="9" cm="1">
        <f t="array" ref="N1422">_xlfn.IFS(M1422="HIGH",K1422*L1422,M1422="MEDIUM",K1422*L1422,M1422="LOW","NA")</f>
        <v>780</v>
      </c>
      <c r="O1422" s="18" t="str">
        <f t="shared" si="68"/>
        <v>cleared</v>
      </c>
    </row>
    <row r="1423" spans="1:15" x14ac:dyDescent="0.25">
      <c r="A1423" s="17">
        <v>1419</v>
      </c>
      <c r="B1423" s="6" t="s">
        <v>1456</v>
      </c>
      <c r="C1423" s="6" t="s">
        <v>37</v>
      </c>
      <c r="D1423" s="6" t="s">
        <v>49</v>
      </c>
      <c r="E1423" s="6" t="s">
        <v>46</v>
      </c>
      <c r="F1423" s="6" t="s">
        <v>14</v>
      </c>
      <c r="G1423" s="7">
        <v>46194</v>
      </c>
      <c r="H1423" s="6">
        <v>4</v>
      </c>
      <c r="I1423" s="6"/>
      <c r="J1423" s="7">
        <f t="shared" si="67"/>
        <v>46198</v>
      </c>
      <c r="K1423" s="8">
        <v>90</v>
      </c>
      <c r="L1423" s="9">
        <f t="shared" si="66"/>
        <v>61</v>
      </c>
      <c r="M1423" s="9" t="str" cm="1">
        <f t="array" ref="M1423">_xlfn.IFS(L1423&gt;=10,"HIGH",L1423=0,"LOW",L1423&lt;=9,"MEDIUM")</f>
        <v>HIGH</v>
      </c>
      <c r="N1423" s="9" cm="1">
        <f t="array" ref="N1423">_xlfn.IFS(M1423="HIGH",K1423*L1423,M1423="MEDIUM",K1423*L1423,M1423="LOW","NA")</f>
        <v>5490</v>
      </c>
      <c r="O1423" s="18" t="str">
        <f t="shared" si="68"/>
        <v>still in yard</v>
      </c>
    </row>
    <row r="1424" spans="1:15" x14ac:dyDescent="0.25">
      <c r="A1424" s="17">
        <v>1420</v>
      </c>
      <c r="B1424" s="6" t="s">
        <v>1457</v>
      </c>
      <c r="C1424" s="6" t="s">
        <v>37</v>
      </c>
      <c r="D1424" s="6" t="s">
        <v>41</v>
      </c>
      <c r="E1424" s="6" t="s">
        <v>21</v>
      </c>
      <c r="F1424" s="6" t="s">
        <v>27</v>
      </c>
      <c r="G1424" s="7">
        <v>46241</v>
      </c>
      <c r="H1424" s="6">
        <v>4</v>
      </c>
      <c r="I1424" s="7">
        <v>46248</v>
      </c>
      <c r="J1424" s="7">
        <f t="shared" si="67"/>
        <v>46245</v>
      </c>
      <c r="K1424" s="8">
        <v>110</v>
      </c>
      <c r="L1424" s="9">
        <f t="shared" si="66"/>
        <v>3</v>
      </c>
      <c r="M1424" s="9" t="str" cm="1">
        <f t="array" ref="M1424">_xlfn.IFS(L1424&gt;=10,"HIGH",L1424=0,"LOW",L1424&lt;=9,"MEDIUM")</f>
        <v>MEDIUM</v>
      </c>
      <c r="N1424" s="9" cm="1">
        <f t="array" ref="N1424">_xlfn.IFS(M1424="HIGH",K1424*L1424,M1424="MEDIUM",K1424*L1424,M1424="LOW","NA")</f>
        <v>330</v>
      </c>
      <c r="O1424" s="18" t="str">
        <f t="shared" si="68"/>
        <v>cleared</v>
      </c>
    </row>
    <row r="1425" spans="1:17" x14ac:dyDescent="0.25">
      <c r="A1425" s="17">
        <v>1421</v>
      </c>
      <c r="B1425" s="6" t="s">
        <v>1458</v>
      </c>
      <c r="C1425" s="6" t="s">
        <v>11</v>
      </c>
      <c r="D1425" s="6" t="s">
        <v>20</v>
      </c>
      <c r="E1425" s="6" t="s">
        <v>39</v>
      </c>
      <c r="F1425" s="6" t="s">
        <v>24</v>
      </c>
      <c r="G1425" s="7">
        <v>46214</v>
      </c>
      <c r="H1425" s="6">
        <v>5</v>
      </c>
      <c r="I1425" s="7">
        <v>46217</v>
      </c>
      <c r="J1425" s="7">
        <f t="shared" si="67"/>
        <v>46219</v>
      </c>
      <c r="K1425" s="8">
        <v>130</v>
      </c>
      <c r="L1425" s="9">
        <f t="shared" si="66"/>
        <v>0</v>
      </c>
      <c r="M1425" s="9" t="str" cm="1">
        <f t="array" ref="M1425">_xlfn.IFS(L1425&gt;=10,"HIGH",L1425=0,"LOW",L1425&lt;=9,"MEDIUM")</f>
        <v>LOW</v>
      </c>
      <c r="N1425" s="9" t="str" cm="1">
        <f t="array" ref="N1425">_xlfn.IFS(M1425="HIGH",K1425*L1425,M1425="MEDIUM",K1425*L1425,M1425="LOW","NA")</f>
        <v>NA</v>
      </c>
      <c r="O1425" s="18" t="str">
        <f t="shared" si="68"/>
        <v>cleared</v>
      </c>
    </row>
    <row r="1426" spans="1:17" x14ac:dyDescent="0.25">
      <c r="A1426" s="17">
        <v>1422</v>
      </c>
      <c r="B1426" s="6" t="s">
        <v>1459</v>
      </c>
      <c r="C1426" s="6" t="s">
        <v>16</v>
      </c>
      <c r="D1426" s="6" t="s">
        <v>26</v>
      </c>
      <c r="E1426" s="6" t="s">
        <v>23</v>
      </c>
      <c r="F1426" s="6" t="s">
        <v>29</v>
      </c>
      <c r="G1426" s="7">
        <v>46216</v>
      </c>
      <c r="H1426" s="6">
        <v>4</v>
      </c>
      <c r="I1426" s="7">
        <v>46223</v>
      </c>
      <c r="J1426" s="7">
        <f t="shared" si="67"/>
        <v>46220</v>
      </c>
      <c r="K1426" s="8">
        <v>180</v>
      </c>
      <c r="L1426" s="9">
        <f t="shared" si="66"/>
        <v>3</v>
      </c>
      <c r="M1426" s="9" t="str" cm="1">
        <f t="array" ref="M1426">_xlfn.IFS(L1426&gt;=10,"HIGH",L1426=0,"LOW",L1426&lt;=9,"MEDIUM")</f>
        <v>MEDIUM</v>
      </c>
      <c r="N1426" s="9" cm="1">
        <f t="array" ref="N1426">_xlfn.IFS(M1426="HIGH",K1426*L1426,M1426="MEDIUM",K1426*L1426,M1426="LOW","NA")</f>
        <v>540</v>
      </c>
      <c r="O1426" s="18" t="str">
        <f t="shared" si="68"/>
        <v>cleared</v>
      </c>
    </row>
    <row r="1427" spans="1:17" x14ac:dyDescent="0.25">
      <c r="A1427" s="17">
        <v>1423</v>
      </c>
      <c r="B1427" s="6" t="s">
        <v>1460</v>
      </c>
      <c r="C1427" s="6" t="s">
        <v>16</v>
      </c>
      <c r="D1427" s="6" t="s">
        <v>54</v>
      </c>
      <c r="E1427" s="6" t="s">
        <v>13</v>
      </c>
      <c r="F1427" s="6" t="s">
        <v>27</v>
      </c>
      <c r="G1427" s="7">
        <v>46189</v>
      </c>
      <c r="H1427" s="6">
        <v>4</v>
      </c>
      <c r="I1427" s="7">
        <v>46196</v>
      </c>
      <c r="J1427" s="7">
        <f t="shared" si="67"/>
        <v>46193</v>
      </c>
      <c r="K1427" s="8">
        <v>130</v>
      </c>
      <c r="L1427" s="9">
        <f t="shared" si="66"/>
        <v>3</v>
      </c>
      <c r="M1427" s="9" t="str" cm="1">
        <f t="array" ref="M1427">_xlfn.IFS(L1427&gt;=10,"HIGH",L1427=0,"LOW",L1427&lt;=9,"MEDIUM")</f>
        <v>MEDIUM</v>
      </c>
      <c r="N1427" s="9" cm="1">
        <f t="array" ref="N1427">_xlfn.IFS(M1427="HIGH",K1427*L1427,M1427="MEDIUM",K1427*L1427,M1427="LOW","NA")</f>
        <v>390</v>
      </c>
      <c r="O1427" s="18" t="str">
        <f t="shared" si="68"/>
        <v>cleared</v>
      </c>
    </row>
    <row r="1428" spans="1:17" x14ac:dyDescent="0.25">
      <c r="A1428" s="17">
        <v>1424</v>
      </c>
      <c r="B1428" s="6" t="s">
        <v>1461</v>
      </c>
      <c r="C1428" s="6" t="s">
        <v>16</v>
      </c>
      <c r="D1428" s="6" t="s">
        <v>12</v>
      </c>
      <c r="E1428" s="6" t="s">
        <v>42</v>
      </c>
      <c r="F1428" s="6" t="s">
        <v>14</v>
      </c>
      <c r="G1428" s="7">
        <v>46195</v>
      </c>
      <c r="H1428" s="6">
        <v>6</v>
      </c>
      <c r="I1428" s="7">
        <v>46200</v>
      </c>
      <c r="J1428" s="7">
        <f t="shared" si="67"/>
        <v>46201</v>
      </c>
      <c r="K1428" s="8">
        <v>110</v>
      </c>
      <c r="L1428" s="9">
        <f t="shared" si="66"/>
        <v>0</v>
      </c>
      <c r="M1428" s="9" t="str" cm="1">
        <f t="array" ref="M1428">_xlfn.IFS(L1428&gt;=10,"HIGH",L1428=0,"LOW",L1428&lt;=9,"MEDIUM")</f>
        <v>LOW</v>
      </c>
      <c r="N1428" s="9" t="str" cm="1">
        <f t="array" ref="N1428">_xlfn.IFS(M1428="HIGH",K1428*L1428,M1428="MEDIUM",K1428*L1428,M1428="LOW","NA")</f>
        <v>NA</v>
      </c>
      <c r="O1428" s="18" t="str">
        <f t="shared" si="68"/>
        <v>cleared</v>
      </c>
    </row>
    <row r="1429" spans="1:17" x14ac:dyDescent="0.25">
      <c r="A1429" s="17">
        <v>1425</v>
      </c>
      <c r="B1429" s="6" t="s">
        <v>1462</v>
      </c>
      <c r="C1429" s="6" t="s">
        <v>33</v>
      </c>
      <c r="D1429" s="6" t="s">
        <v>20</v>
      </c>
      <c r="E1429" s="6" t="s">
        <v>44</v>
      </c>
      <c r="F1429" s="6" t="s">
        <v>27</v>
      </c>
      <c r="G1429" s="7">
        <v>46185</v>
      </c>
      <c r="H1429" s="6">
        <v>7</v>
      </c>
      <c r="I1429" s="7">
        <v>46191</v>
      </c>
      <c r="J1429" s="7">
        <f t="shared" si="67"/>
        <v>46192</v>
      </c>
      <c r="K1429" s="8">
        <v>90</v>
      </c>
      <c r="L1429" s="9">
        <f t="shared" si="66"/>
        <v>0</v>
      </c>
      <c r="M1429" s="9" t="str" cm="1">
        <f t="array" ref="M1429">_xlfn.IFS(L1429&gt;=10,"HIGH",L1429=0,"LOW",L1429&lt;=9,"MEDIUM")</f>
        <v>LOW</v>
      </c>
      <c r="N1429" s="9" t="str" cm="1">
        <f t="array" ref="N1429">_xlfn.IFS(M1429="HIGH",K1429*L1429,M1429="MEDIUM",K1429*L1429,M1429="LOW","NA")</f>
        <v>NA</v>
      </c>
      <c r="O1429" s="18" t="str">
        <f t="shared" si="68"/>
        <v>cleared</v>
      </c>
    </row>
    <row r="1430" spans="1:17" x14ac:dyDescent="0.25">
      <c r="A1430" s="17">
        <v>1426</v>
      </c>
      <c r="B1430" s="6" t="s">
        <v>1463</v>
      </c>
      <c r="C1430" s="6" t="s">
        <v>37</v>
      </c>
      <c r="D1430" s="6" t="s">
        <v>31</v>
      </c>
      <c r="E1430" s="6" t="s">
        <v>46</v>
      </c>
      <c r="F1430" s="6" t="s">
        <v>29</v>
      </c>
      <c r="G1430" s="7">
        <v>46181</v>
      </c>
      <c r="H1430" s="6">
        <v>4</v>
      </c>
      <c r="I1430" s="7">
        <v>46182</v>
      </c>
      <c r="J1430" s="7">
        <f t="shared" si="67"/>
        <v>46185</v>
      </c>
      <c r="K1430" s="8">
        <v>150</v>
      </c>
      <c r="L1430" s="9">
        <f t="shared" si="66"/>
        <v>0</v>
      </c>
      <c r="M1430" s="9" t="str" cm="1">
        <f t="array" ref="M1430">_xlfn.IFS(L1430&gt;=10,"HIGH",L1430=0,"LOW",L1430&lt;=9,"MEDIUM")</f>
        <v>LOW</v>
      </c>
      <c r="N1430" s="9" t="str" cm="1">
        <f t="array" ref="N1430">_xlfn.IFS(M1430="HIGH",K1430*L1430,M1430="MEDIUM",K1430*L1430,M1430="LOW","NA")</f>
        <v>NA</v>
      </c>
      <c r="O1430" s="18" t="str">
        <f t="shared" si="68"/>
        <v>cleared</v>
      </c>
    </row>
    <row r="1431" spans="1:17" x14ac:dyDescent="0.25">
      <c r="A1431" s="17">
        <v>1427</v>
      </c>
      <c r="B1431" s="6" t="s">
        <v>1464</v>
      </c>
      <c r="C1431" s="6" t="s">
        <v>11</v>
      </c>
      <c r="D1431" s="6" t="s">
        <v>17</v>
      </c>
      <c r="E1431" s="6" t="s">
        <v>44</v>
      </c>
      <c r="F1431" s="6" t="s">
        <v>14</v>
      </c>
      <c r="G1431" s="7">
        <v>46211</v>
      </c>
      <c r="H1431" s="6">
        <v>6</v>
      </c>
      <c r="I1431" s="6"/>
      <c r="J1431" s="7">
        <f t="shared" si="67"/>
        <v>46217</v>
      </c>
      <c r="K1431" s="8">
        <v>60</v>
      </c>
      <c r="L1431" s="9">
        <f t="shared" si="66"/>
        <v>42</v>
      </c>
      <c r="M1431" s="9" t="str" cm="1">
        <f t="array" ref="M1431">_xlfn.IFS(L1431&gt;=10,"HIGH",L1431=0,"LOW",L1431&lt;=9,"MEDIUM")</f>
        <v>HIGH</v>
      </c>
      <c r="N1431" s="9" cm="1">
        <f t="array" ref="N1431">_xlfn.IFS(M1431="HIGH",K1431*L1431,M1431="MEDIUM",K1431*L1431,M1431="LOW","NA")</f>
        <v>2520</v>
      </c>
      <c r="O1431" s="18" t="str">
        <f t="shared" si="68"/>
        <v>still in yard</v>
      </c>
    </row>
    <row r="1432" spans="1:17" x14ac:dyDescent="0.25">
      <c r="A1432" s="17">
        <v>1428</v>
      </c>
      <c r="B1432" s="6" t="s">
        <v>1465</v>
      </c>
      <c r="C1432" s="6" t="s">
        <v>37</v>
      </c>
      <c r="D1432" s="6" t="s">
        <v>31</v>
      </c>
      <c r="E1432" s="6" t="s">
        <v>44</v>
      </c>
      <c r="F1432" s="6" t="s">
        <v>27</v>
      </c>
      <c r="G1432" s="7">
        <v>46248</v>
      </c>
      <c r="H1432" s="6">
        <v>5</v>
      </c>
      <c r="I1432" s="6"/>
      <c r="J1432" s="7">
        <f t="shared" si="67"/>
        <v>46253</v>
      </c>
      <c r="K1432" s="8">
        <v>90</v>
      </c>
      <c r="L1432" s="9">
        <f t="shared" si="66"/>
        <v>6</v>
      </c>
      <c r="M1432" s="9" t="str" cm="1">
        <f t="array" ref="M1432">_xlfn.IFS(L1432&gt;=10,"HIGH",L1432=0,"LOW",L1432&lt;=9,"MEDIUM")</f>
        <v>MEDIUM</v>
      </c>
      <c r="N1432" s="9" cm="1">
        <f t="array" ref="N1432">_xlfn.IFS(M1432="HIGH",K1432*L1432,M1432="MEDIUM",K1432*L1432,M1432="LOW","NA")</f>
        <v>540</v>
      </c>
      <c r="O1432" s="18" t="str">
        <f t="shared" si="68"/>
        <v>still in yard</v>
      </c>
    </row>
    <row r="1433" spans="1:17" x14ac:dyDescent="0.25">
      <c r="A1433" s="17">
        <v>1429</v>
      </c>
      <c r="B1433" s="6" t="s">
        <v>1466</v>
      </c>
      <c r="C1433" s="6" t="s">
        <v>11</v>
      </c>
      <c r="D1433" s="6" t="s">
        <v>31</v>
      </c>
      <c r="E1433" s="6" t="s">
        <v>46</v>
      </c>
      <c r="F1433" s="6" t="s">
        <v>24</v>
      </c>
      <c r="G1433" s="7">
        <v>46216</v>
      </c>
      <c r="H1433" s="6">
        <v>5</v>
      </c>
      <c r="I1433" s="7">
        <v>46225</v>
      </c>
      <c r="J1433" s="7">
        <f t="shared" si="67"/>
        <v>46221</v>
      </c>
      <c r="K1433" s="8">
        <v>60</v>
      </c>
      <c r="L1433" s="9">
        <f t="shared" si="66"/>
        <v>4</v>
      </c>
      <c r="M1433" s="9" t="str" cm="1">
        <f t="array" ref="M1433">_xlfn.IFS(L1433&gt;=10,"HIGH",L1433=0,"LOW",L1433&lt;=9,"MEDIUM")</f>
        <v>MEDIUM</v>
      </c>
      <c r="N1433" s="9" cm="1">
        <f t="array" ref="N1433">_xlfn.IFS(M1433="HIGH",K1433*L1433,M1433="MEDIUM",K1433*L1433,M1433="LOW","NA")</f>
        <v>240</v>
      </c>
      <c r="O1433" s="18" t="str">
        <f t="shared" si="68"/>
        <v>cleared</v>
      </c>
    </row>
    <row r="1434" spans="1:17" x14ac:dyDescent="0.25">
      <c r="A1434" s="17">
        <v>1430</v>
      </c>
      <c r="B1434" s="6" t="s">
        <v>1467</v>
      </c>
      <c r="C1434" s="6" t="s">
        <v>37</v>
      </c>
      <c r="D1434" s="6" t="s">
        <v>49</v>
      </c>
      <c r="E1434" s="6" t="s">
        <v>61</v>
      </c>
      <c r="F1434" s="6" t="s">
        <v>24</v>
      </c>
      <c r="G1434" s="7">
        <v>46234</v>
      </c>
      <c r="H1434" s="6">
        <v>7</v>
      </c>
      <c r="I1434" s="7">
        <v>46244</v>
      </c>
      <c r="J1434" s="7">
        <f t="shared" si="67"/>
        <v>46241</v>
      </c>
      <c r="K1434" s="8">
        <v>90</v>
      </c>
      <c r="L1434" s="9">
        <f t="shared" si="66"/>
        <v>3</v>
      </c>
      <c r="M1434" s="9" t="str" cm="1">
        <f t="array" ref="M1434">_xlfn.IFS(L1434&gt;=10,"HIGH",L1434=0,"LOW",L1434&lt;=9,"MEDIUM")</f>
        <v>MEDIUM</v>
      </c>
      <c r="N1434" s="9" cm="1">
        <f t="array" ref="N1434">_xlfn.IFS(M1434="HIGH",K1434*L1434,M1434="MEDIUM",K1434*L1434,M1434="LOW","NA")</f>
        <v>270</v>
      </c>
      <c r="O1434" s="18" t="str">
        <f t="shared" si="68"/>
        <v>cleared</v>
      </c>
    </row>
    <row r="1435" spans="1:17" x14ac:dyDescent="0.25">
      <c r="A1435" s="17">
        <v>1431</v>
      </c>
      <c r="B1435" s="6" t="s">
        <v>1468</v>
      </c>
      <c r="C1435" s="6" t="s">
        <v>37</v>
      </c>
      <c r="D1435" s="6" t="s">
        <v>56</v>
      </c>
      <c r="E1435" s="6" t="s">
        <v>21</v>
      </c>
      <c r="F1435" s="6" t="s">
        <v>14</v>
      </c>
      <c r="G1435" s="7">
        <v>46200</v>
      </c>
      <c r="H1435" s="6">
        <v>7</v>
      </c>
      <c r="I1435" s="7">
        <v>46201</v>
      </c>
      <c r="J1435" s="7">
        <f t="shared" si="67"/>
        <v>46207</v>
      </c>
      <c r="K1435" s="8">
        <v>110</v>
      </c>
      <c r="L1435" s="9">
        <f t="shared" si="66"/>
        <v>0</v>
      </c>
      <c r="M1435" s="9" t="str" cm="1">
        <f t="array" ref="M1435">_xlfn.IFS(L1435&gt;=10,"HIGH",L1435=0,"LOW",L1435&lt;=9,"MEDIUM")</f>
        <v>LOW</v>
      </c>
      <c r="N1435" s="9" t="str" cm="1">
        <f t="array" ref="N1435">_xlfn.IFS(M1435="HIGH",K1435*L1435,M1435="MEDIUM",K1435*L1435,M1435="LOW","NA")</f>
        <v>NA</v>
      </c>
      <c r="O1435" s="18" t="str">
        <f t="shared" si="68"/>
        <v>cleared</v>
      </c>
    </row>
    <row r="1436" spans="1:17" x14ac:dyDescent="0.25">
      <c r="A1436" s="17">
        <v>1432</v>
      </c>
      <c r="B1436" s="6" t="s">
        <v>1469</v>
      </c>
      <c r="C1436" s="6" t="s">
        <v>16</v>
      </c>
      <c r="D1436" s="6" t="s">
        <v>17</v>
      </c>
      <c r="E1436" s="6" t="s">
        <v>13</v>
      </c>
      <c r="F1436" s="6" t="s">
        <v>24</v>
      </c>
      <c r="G1436" s="7">
        <v>46242</v>
      </c>
      <c r="H1436" s="6">
        <v>7</v>
      </c>
      <c r="I1436" s="7">
        <v>46248</v>
      </c>
      <c r="J1436" s="7">
        <f t="shared" si="67"/>
        <v>46249</v>
      </c>
      <c r="K1436" s="8">
        <v>60</v>
      </c>
      <c r="L1436" s="9">
        <f t="shared" si="66"/>
        <v>0</v>
      </c>
      <c r="M1436" s="9" t="str" cm="1">
        <f t="array" ref="M1436">_xlfn.IFS(L1436&gt;=10,"HIGH",L1436=0,"LOW",L1436&lt;=9,"MEDIUM")</f>
        <v>LOW</v>
      </c>
      <c r="N1436" s="9" t="str" cm="1">
        <f t="array" ref="N1436">_xlfn.IFS(M1436="HIGH",K1436*L1436,M1436="MEDIUM",K1436*L1436,M1436="LOW","NA")</f>
        <v>NA</v>
      </c>
      <c r="O1436" s="18" t="str">
        <f t="shared" si="68"/>
        <v>cleared</v>
      </c>
    </row>
    <row r="1437" spans="1:17" x14ac:dyDescent="0.25">
      <c r="A1437" s="17">
        <v>1433</v>
      </c>
      <c r="B1437" s="6" t="s">
        <v>1470</v>
      </c>
      <c r="C1437" s="6" t="s">
        <v>33</v>
      </c>
      <c r="D1437" s="6" t="s">
        <v>31</v>
      </c>
      <c r="E1437" s="6" t="s">
        <v>18</v>
      </c>
      <c r="F1437" s="6" t="s">
        <v>29</v>
      </c>
      <c r="G1437" s="7">
        <v>46175</v>
      </c>
      <c r="H1437" s="6">
        <v>3</v>
      </c>
      <c r="I1437" s="7">
        <v>46180</v>
      </c>
      <c r="J1437" s="7">
        <f t="shared" si="67"/>
        <v>46178</v>
      </c>
      <c r="K1437" s="8">
        <v>150</v>
      </c>
      <c r="L1437" s="9">
        <f t="shared" si="66"/>
        <v>2</v>
      </c>
      <c r="M1437" s="9" t="str" cm="1">
        <f t="array" ref="M1437">_xlfn.IFS(L1437&gt;=10,"HIGH",L1437=0,"LOW",L1437&lt;=9,"MEDIUM")</f>
        <v>MEDIUM</v>
      </c>
      <c r="N1437" s="9" cm="1">
        <f t="array" ref="N1437">_xlfn.IFS(M1437="HIGH",K1437*L1437,M1437="MEDIUM",K1437*L1437,M1437="LOW","NA")</f>
        <v>300</v>
      </c>
      <c r="O1437" s="18" t="str">
        <f t="shared" si="68"/>
        <v>cleared</v>
      </c>
      <c r="Q1437" s="14"/>
    </row>
    <row r="1438" spans="1:17" x14ac:dyDescent="0.25">
      <c r="A1438" s="17">
        <v>1434</v>
      </c>
      <c r="B1438" s="6" t="s">
        <v>1471</v>
      </c>
      <c r="C1438" s="6" t="s">
        <v>16</v>
      </c>
      <c r="D1438" s="6" t="s">
        <v>54</v>
      </c>
      <c r="E1438" s="6" t="s">
        <v>21</v>
      </c>
      <c r="F1438" s="6" t="s">
        <v>27</v>
      </c>
      <c r="G1438" s="7">
        <v>46215</v>
      </c>
      <c r="H1438" s="6">
        <v>6</v>
      </c>
      <c r="I1438" s="7">
        <v>46222</v>
      </c>
      <c r="J1438" s="7">
        <f t="shared" si="67"/>
        <v>46221</v>
      </c>
      <c r="K1438" s="8">
        <v>110</v>
      </c>
      <c r="L1438" s="9">
        <f t="shared" si="66"/>
        <v>1</v>
      </c>
      <c r="M1438" s="9" t="str" cm="1">
        <f t="array" ref="M1438">_xlfn.IFS(L1438&gt;=10,"HIGH",L1438=0,"LOW",L1438&lt;=9,"MEDIUM")</f>
        <v>MEDIUM</v>
      </c>
      <c r="N1438" s="9" cm="1">
        <f t="array" ref="N1438">_xlfn.IFS(M1438="HIGH",K1438*L1438,M1438="MEDIUM",K1438*L1438,M1438="LOW","NA")</f>
        <v>110</v>
      </c>
      <c r="O1438" s="18" t="str">
        <f t="shared" si="68"/>
        <v>cleared</v>
      </c>
    </row>
    <row r="1439" spans="1:17" x14ac:dyDescent="0.25">
      <c r="A1439" s="17">
        <v>1435</v>
      </c>
      <c r="B1439" s="6" t="s">
        <v>1472</v>
      </c>
      <c r="C1439" s="6" t="s">
        <v>37</v>
      </c>
      <c r="D1439" s="6" t="s">
        <v>56</v>
      </c>
      <c r="E1439" s="6" t="s">
        <v>61</v>
      </c>
      <c r="F1439" s="6" t="s">
        <v>24</v>
      </c>
      <c r="G1439" s="7">
        <v>46183</v>
      </c>
      <c r="H1439" s="6">
        <v>5</v>
      </c>
      <c r="I1439" s="6"/>
      <c r="J1439" s="7">
        <f t="shared" si="67"/>
        <v>46188</v>
      </c>
      <c r="K1439" s="8">
        <v>75</v>
      </c>
      <c r="L1439" s="9">
        <f t="shared" si="66"/>
        <v>71</v>
      </c>
      <c r="M1439" s="9" t="str" cm="1">
        <f t="array" ref="M1439">_xlfn.IFS(L1439&gt;=10,"HIGH",L1439=0,"LOW",L1439&lt;=9,"MEDIUM")</f>
        <v>HIGH</v>
      </c>
      <c r="N1439" s="9" cm="1">
        <f t="array" ref="N1439">_xlfn.IFS(M1439="HIGH",K1439*L1439,M1439="MEDIUM",K1439*L1439,M1439="LOW","NA")</f>
        <v>5325</v>
      </c>
      <c r="O1439" s="18" t="str">
        <f t="shared" si="68"/>
        <v>still in yard</v>
      </c>
    </row>
    <row r="1440" spans="1:17" x14ac:dyDescent="0.25">
      <c r="A1440" s="17">
        <v>1436</v>
      </c>
      <c r="B1440" s="6" t="s">
        <v>1473</v>
      </c>
      <c r="C1440" s="6" t="s">
        <v>16</v>
      </c>
      <c r="D1440" s="6" t="s">
        <v>54</v>
      </c>
      <c r="E1440" s="6" t="s">
        <v>42</v>
      </c>
      <c r="F1440" s="6" t="s">
        <v>14</v>
      </c>
      <c r="G1440" s="7">
        <v>46186</v>
      </c>
      <c r="H1440" s="6">
        <v>4</v>
      </c>
      <c r="I1440" s="6"/>
      <c r="J1440" s="7">
        <f t="shared" si="67"/>
        <v>46190</v>
      </c>
      <c r="K1440" s="8">
        <v>75</v>
      </c>
      <c r="L1440" s="9">
        <f t="shared" si="66"/>
        <v>69</v>
      </c>
      <c r="M1440" s="9" t="str" cm="1">
        <f t="array" ref="M1440">_xlfn.IFS(L1440&gt;=10,"HIGH",L1440=0,"LOW",L1440&lt;=9,"MEDIUM")</f>
        <v>HIGH</v>
      </c>
      <c r="N1440" s="9" cm="1">
        <f t="array" ref="N1440">_xlfn.IFS(M1440="HIGH",K1440*L1440,M1440="MEDIUM",K1440*L1440,M1440="LOW","NA")</f>
        <v>5175</v>
      </c>
      <c r="O1440" s="18" t="str">
        <f t="shared" si="68"/>
        <v>still in yard</v>
      </c>
    </row>
    <row r="1441" spans="1:15" x14ac:dyDescent="0.25">
      <c r="A1441" s="17">
        <v>1437</v>
      </c>
      <c r="B1441" s="6" t="s">
        <v>1474</v>
      </c>
      <c r="C1441" s="6" t="s">
        <v>16</v>
      </c>
      <c r="D1441" s="6" t="s">
        <v>26</v>
      </c>
      <c r="E1441" s="6" t="s">
        <v>21</v>
      </c>
      <c r="F1441" s="6" t="s">
        <v>24</v>
      </c>
      <c r="G1441" s="7">
        <v>46199</v>
      </c>
      <c r="H1441" s="6">
        <v>4</v>
      </c>
      <c r="I1441" s="7">
        <v>46206</v>
      </c>
      <c r="J1441" s="7">
        <f t="shared" si="67"/>
        <v>46203</v>
      </c>
      <c r="K1441" s="8">
        <v>130</v>
      </c>
      <c r="L1441" s="9">
        <f t="shared" si="66"/>
        <v>3</v>
      </c>
      <c r="M1441" s="9" t="str" cm="1">
        <f t="array" ref="M1441">_xlfn.IFS(L1441&gt;=10,"HIGH",L1441=0,"LOW",L1441&lt;=9,"MEDIUM")</f>
        <v>MEDIUM</v>
      </c>
      <c r="N1441" s="9" cm="1">
        <f t="array" ref="N1441">_xlfn.IFS(M1441="HIGH",K1441*L1441,M1441="MEDIUM",K1441*L1441,M1441="LOW","NA")</f>
        <v>390</v>
      </c>
      <c r="O1441" s="18" t="str">
        <f t="shared" si="68"/>
        <v>cleared</v>
      </c>
    </row>
    <row r="1442" spans="1:15" x14ac:dyDescent="0.25">
      <c r="A1442" s="17">
        <v>1438</v>
      </c>
      <c r="B1442" s="6" t="s">
        <v>1475</v>
      </c>
      <c r="C1442" s="6" t="s">
        <v>33</v>
      </c>
      <c r="D1442" s="6" t="s">
        <v>20</v>
      </c>
      <c r="E1442" s="6" t="s">
        <v>46</v>
      </c>
      <c r="F1442" s="6" t="s">
        <v>27</v>
      </c>
      <c r="G1442" s="7">
        <v>46185</v>
      </c>
      <c r="H1442" s="6">
        <v>6</v>
      </c>
      <c r="I1442" s="7">
        <v>46193</v>
      </c>
      <c r="J1442" s="7">
        <f t="shared" si="67"/>
        <v>46191</v>
      </c>
      <c r="K1442" s="8">
        <v>60</v>
      </c>
      <c r="L1442" s="9">
        <f t="shared" si="66"/>
        <v>2</v>
      </c>
      <c r="M1442" s="9" t="str" cm="1">
        <f t="array" ref="M1442">_xlfn.IFS(L1442&gt;=10,"HIGH",L1442=0,"LOW",L1442&lt;=9,"MEDIUM")</f>
        <v>MEDIUM</v>
      </c>
      <c r="N1442" s="9" cm="1">
        <f t="array" ref="N1442">_xlfn.IFS(M1442="HIGH",K1442*L1442,M1442="MEDIUM",K1442*L1442,M1442="LOW","NA")</f>
        <v>120</v>
      </c>
      <c r="O1442" s="18" t="str">
        <f t="shared" si="68"/>
        <v>cleared</v>
      </c>
    </row>
    <row r="1443" spans="1:15" x14ac:dyDescent="0.25">
      <c r="A1443" s="17">
        <v>1439</v>
      </c>
      <c r="B1443" s="6" t="s">
        <v>1476</v>
      </c>
      <c r="C1443" s="6" t="s">
        <v>37</v>
      </c>
      <c r="D1443" s="6" t="s">
        <v>41</v>
      </c>
      <c r="E1443" s="6" t="s">
        <v>18</v>
      </c>
      <c r="F1443" s="6" t="s">
        <v>27</v>
      </c>
      <c r="G1443" s="7">
        <v>46226</v>
      </c>
      <c r="H1443" s="6">
        <v>5</v>
      </c>
      <c r="I1443" s="6"/>
      <c r="J1443" s="7">
        <f t="shared" si="67"/>
        <v>46231</v>
      </c>
      <c r="K1443" s="8">
        <v>75</v>
      </c>
      <c r="L1443" s="9">
        <f t="shared" si="66"/>
        <v>28</v>
      </c>
      <c r="M1443" s="9" t="str" cm="1">
        <f t="array" ref="M1443">_xlfn.IFS(L1443&gt;=10,"HIGH",L1443=0,"LOW",L1443&lt;=9,"MEDIUM")</f>
        <v>HIGH</v>
      </c>
      <c r="N1443" s="9" cm="1">
        <f t="array" ref="N1443">_xlfn.IFS(M1443="HIGH",K1443*L1443,M1443="MEDIUM",K1443*L1443,M1443="LOW","NA")</f>
        <v>2100</v>
      </c>
      <c r="O1443" s="18" t="str">
        <f t="shared" si="68"/>
        <v>still in yard</v>
      </c>
    </row>
    <row r="1444" spans="1:15" x14ac:dyDescent="0.25">
      <c r="A1444" s="17">
        <v>1440</v>
      </c>
      <c r="B1444" s="6" t="s">
        <v>1477</v>
      </c>
      <c r="C1444" s="6" t="s">
        <v>11</v>
      </c>
      <c r="D1444" s="6" t="s">
        <v>54</v>
      </c>
      <c r="E1444" s="6" t="s">
        <v>23</v>
      </c>
      <c r="F1444" s="6" t="s">
        <v>27</v>
      </c>
      <c r="G1444" s="7">
        <v>46215</v>
      </c>
      <c r="H1444" s="6">
        <v>5</v>
      </c>
      <c r="I1444" s="6"/>
      <c r="J1444" s="7">
        <f t="shared" si="67"/>
        <v>46220</v>
      </c>
      <c r="K1444" s="8">
        <v>110</v>
      </c>
      <c r="L1444" s="9">
        <f t="shared" si="66"/>
        <v>39</v>
      </c>
      <c r="M1444" s="9" t="str" cm="1">
        <f t="array" ref="M1444">_xlfn.IFS(L1444&gt;=10,"HIGH",L1444=0,"LOW",L1444&lt;=9,"MEDIUM")</f>
        <v>HIGH</v>
      </c>
      <c r="N1444" s="9" cm="1">
        <f t="array" ref="N1444">_xlfn.IFS(M1444="HIGH",K1444*L1444,M1444="MEDIUM",K1444*L1444,M1444="LOW","NA")</f>
        <v>4290</v>
      </c>
      <c r="O1444" s="18" t="str">
        <f t="shared" si="68"/>
        <v>still in yard</v>
      </c>
    </row>
    <row r="1445" spans="1:15" x14ac:dyDescent="0.25">
      <c r="A1445" s="17">
        <v>1441</v>
      </c>
      <c r="B1445" s="6" t="s">
        <v>1478</v>
      </c>
      <c r="C1445" s="6" t="s">
        <v>37</v>
      </c>
      <c r="D1445" s="6" t="s">
        <v>20</v>
      </c>
      <c r="E1445" s="6" t="s">
        <v>18</v>
      </c>
      <c r="F1445" s="6" t="s">
        <v>29</v>
      </c>
      <c r="G1445" s="7">
        <v>46228</v>
      </c>
      <c r="H1445" s="6">
        <v>3</v>
      </c>
      <c r="I1445" s="7">
        <v>46229</v>
      </c>
      <c r="J1445" s="7">
        <f t="shared" si="67"/>
        <v>46231</v>
      </c>
      <c r="K1445" s="8">
        <v>120</v>
      </c>
      <c r="L1445" s="9">
        <f t="shared" si="66"/>
        <v>0</v>
      </c>
      <c r="M1445" s="9" t="str" cm="1">
        <f t="array" ref="M1445">_xlfn.IFS(L1445&gt;=10,"HIGH",L1445=0,"LOW",L1445&lt;=9,"MEDIUM")</f>
        <v>LOW</v>
      </c>
      <c r="N1445" s="9" t="str" cm="1">
        <f t="array" ref="N1445">_xlfn.IFS(M1445="HIGH",K1445*L1445,M1445="MEDIUM",K1445*L1445,M1445="LOW","NA")</f>
        <v>NA</v>
      </c>
      <c r="O1445" s="18" t="str">
        <f t="shared" si="68"/>
        <v>cleared</v>
      </c>
    </row>
    <row r="1446" spans="1:15" x14ac:dyDescent="0.25">
      <c r="A1446" s="17">
        <v>1442</v>
      </c>
      <c r="B1446" s="6" t="s">
        <v>1479</v>
      </c>
      <c r="C1446" s="6" t="s">
        <v>33</v>
      </c>
      <c r="D1446" s="6" t="s">
        <v>12</v>
      </c>
      <c r="E1446" s="6" t="s">
        <v>39</v>
      </c>
      <c r="F1446" s="6" t="s">
        <v>24</v>
      </c>
      <c r="G1446" s="7">
        <v>46231</v>
      </c>
      <c r="H1446" s="6">
        <v>5</v>
      </c>
      <c r="I1446" s="7">
        <v>46232</v>
      </c>
      <c r="J1446" s="7">
        <f t="shared" si="67"/>
        <v>46236</v>
      </c>
      <c r="K1446" s="8">
        <v>75</v>
      </c>
      <c r="L1446" s="9">
        <f t="shared" si="66"/>
        <v>0</v>
      </c>
      <c r="M1446" s="9" t="str" cm="1">
        <f t="array" ref="M1446">_xlfn.IFS(L1446&gt;=10,"HIGH",L1446=0,"LOW",L1446&lt;=9,"MEDIUM")</f>
        <v>LOW</v>
      </c>
      <c r="N1446" s="9" t="str" cm="1">
        <f t="array" ref="N1446">_xlfn.IFS(M1446="HIGH",K1446*L1446,M1446="MEDIUM",K1446*L1446,M1446="LOW","NA")</f>
        <v>NA</v>
      </c>
      <c r="O1446" s="18" t="str">
        <f t="shared" si="68"/>
        <v>cleared</v>
      </c>
    </row>
    <row r="1447" spans="1:15" x14ac:dyDescent="0.25">
      <c r="A1447" s="17">
        <v>1443</v>
      </c>
      <c r="B1447" s="6" t="s">
        <v>1480</v>
      </c>
      <c r="C1447" s="6" t="s">
        <v>16</v>
      </c>
      <c r="D1447" s="6" t="s">
        <v>26</v>
      </c>
      <c r="E1447" s="6" t="s">
        <v>46</v>
      </c>
      <c r="F1447" s="6" t="s">
        <v>24</v>
      </c>
      <c r="G1447" s="7">
        <v>46197</v>
      </c>
      <c r="H1447" s="6">
        <v>5</v>
      </c>
      <c r="I1447" s="7">
        <v>46202</v>
      </c>
      <c r="J1447" s="7">
        <f t="shared" si="67"/>
        <v>46202</v>
      </c>
      <c r="K1447" s="8">
        <v>60</v>
      </c>
      <c r="L1447" s="9">
        <f t="shared" si="66"/>
        <v>0</v>
      </c>
      <c r="M1447" s="9" t="str" cm="1">
        <f t="array" ref="M1447">_xlfn.IFS(L1447&gt;=10,"HIGH",L1447=0,"LOW",L1447&lt;=9,"MEDIUM")</f>
        <v>LOW</v>
      </c>
      <c r="N1447" s="9" t="str" cm="1">
        <f t="array" ref="N1447">_xlfn.IFS(M1447="HIGH",K1447*L1447,M1447="MEDIUM",K1447*L1447,M1447="LOW","NA")</f>
        <v>NA</v>
      </c>
      <c r="O1447" s="18" t="str">
        <f t="shared" si="68"/>
        <v>cleared</v>
      </c>
    </row>
    <row r="1448" spans="1:15" x14ac:dyDescent="0.25">
      <c r="A1448" s="17">
        <v>1444</v>
      </c>
      <c r="B1448" s="6" t="s">
        <v>1481</v>
      </c>
      <c r="C1448" s="6" t="s">
        <v>37</v>
      </c>
      <c r="D1448" s="6" t="s">
        <v>20</v>
      </c>
      <c r="E1448" s="6" t="s">
        <v>21</v>
      </c>
      <c r="F1448" s="6" t="s">
        <v>27</v>
      </c>
      <c r="G1448" s="7">
        <v>46185</v>
      </c>
      <c r="H1448" s="6">
        <v>6</v>
      </c>
      <c r="I1448" s="7">
        <v>46190</v>
      </c>
      <c r="J1448" s="7">
        <f t="shared" si="67"/>
        <v>46191</v>
      </c>
      <c r="K1448" s="8">
        <v>75</v>
      </c>
      <c r="L1448" s="9">
        <f t="shared" si="66"/>
        <v>0</v>
      </c>
      <c r="M1448" s="9" t="str" cm="1">
        <f t="array" ref="M1448">_xlfn.IFS(L1448&gt;=10,"HIGH",L1448=0,"LOW",L1448&lt;=9,"MEDIUM")</f>
        <v>LOW</v>
      </c>
      <c r="N1448" s="9" t="str" cm="1">
        <f t="array" ref="N1448">_xlfn.IFS(M1448="HIGH",K1448*L1448,M1448="MEDIUM",K1448*L1448,M1448="LOW","NA")</f>
        <v>NA</v>
      </c>
      <c r="O1448" s="18" t="str">
        <f t="shared" si="68"/>
        <v>cleared</v>
      </c>
    </row>
    <row r="1449" spans="1:15" x14ac:dyDescent="0.25">
      <c r="A1449" s="17">
        <v>1445</v>
      </c>
      <c r="B1449" s="6" t="s">
        <v>1482</v>
      </c>
      <c r="C1449" s="6" t="s">
        <v>16</v>
      </c>
      <c r="D1449" s="6" t="s">
        <v>34</v>
      </c>
      <c r="E1449" s="6" t="s">
        <v>39</v>
      </c>
      <c r="F1449" s="6" t="s">
        <v>14</v>
      </c>
      <c r="G1449" s="7">
        <v>46248</v>
      </c>
      <c r="H1449" s="6">
        <v>5</v>
      </c>
      <c r="I1449" s="7">
        <v>46259</v>
      </c>
      <c r="J1449" s="7">
        <f t="shared" si="67"/>
        <v>46253</v>
      </c>
      <c r="K1449" s="8">
        <v>130</v>
      </c>
      <c r="L1449" s="9">
        <f t="shared" si="66"/>
        <v>6</v>
      </c>
      <c r="M1449" s="9" t="str" cm="1">
        <f t="array" ref="M1449">_xlfn.IFS(L1449&gt;=10,"HIGH",L1449=0,"LOW",L1449&lt;=9,"MEDIUM")</f>
        <v>MEDIUM</v>
      </c>
      <c r="N1449" s="9" cm="1">
        <f t="array" ref="N1449">_xlfn.IFS(M1449="HIGH",K1449*L1449,M1449="MEDIUM",K1449*L1449,M1449="LOW","NA")</f>
        <v>780</v>
      </c>
      <c r="O1449" s="18" t="str">
        <f t="shared" si="68"/>
        <v>cleared</v>
      </c>
    </row>
    <row r="1450" spans="1:15" x14ac:dyDescent="0.25">
      <c r="A1450" s="17">
        <v>1446</v>
      </c>
      <c r="B1450" s="6" t="s">
        <v>1483</v>
      </c>
      <c r="C1450" s="6" t="s">
        <v>37</v>
      </c>
      <c r="D1450" s="6" t="s">
        <v>31</v>
      </c>
      <c r="E1450" s="6" t="s">
        <v>35</v>
      </c>
      <c r="F1450" s="6" t="s">
        <v>29</v>
      </c>
      <c r="G1450" s="7">
        <v>46190</v>
      </c>
      <c r="H1450" s="6">
        <v>4</v>
      </c>
      <c r="I1450" s="7">
        <v>46191</v>
      </c>
      <c r="J1450" s="7">
        <f t="shared" si="67"/>
        <v>46194</v>
      </c>
      <c r="K1450" s="8">
        <v>120</v>
      </c>
      <c r="L1450" s="9">
        <f t="shared" si="66"/>
        <v>0</v>
      </c>
      <c r="M1450" s="9" t="str" cm="1">
        <f t="array" ref="M1450">_xlfn.IFS(L1450&gt;=10,"HIGH",L1450=0,"LOW",L1450&lt;=9,"MEDIUM")</f>
        <v>LOW</v>
      </c>
      <c r="N1450" s="9" t="str" cm="1">
        <f t="array" ref="N1450">_xlfn.IFS(M1450="HIGH",K1450*L1450,M1450="MEDIUM",K1450*L1450,M1450="LOW","NA")</f>
        <v>NA</v>
      </c>
      <c r="O1450" s="18" t="str">
        <f t="shared" si="68"/>
        <v>cleared</v>
      </c>
    </row>
    <row r="1451" spans="1:15" x14ac:dyDescent="0.25">
      <c r="A1451" s="17">
        <v>1447</v>
      </c>
      <c r="B1451" s="6" t="s">
        <v>1484</v>
      </c>
      <c r="C1451" s="6" t="s">
        <v>37</v>
      </c>
      <c r="D1451" s="6" t="s">
        <v>41</v>
      </c>
      <c r="E1451" s="6" t="s">
        <v>21</v>
      </c>
      <c r="F1451" s="6" t="s">
        <v>14</v>
      </c>
      <c r="G1451" s="7">
        <v>46215</v>
      </c>
      <c r="H1451" s="6">
        <v>6</v>
      </c>
      <c r="I1451" s="7">
        <v>46216</v>
      </c>
      <c r="J1451" s="7">
        <f t="shared" si="67"/>
        <v>46221</v>
      </c>
      <c r="K1451" s="8">
        <v>130</v>
      </c>
      <c r="L1451" s="9">
        <f t="shared" si="66"/>
        <v>0</v>
      </c>
      <c r="M1451" s="9" t="str" cm="1">
        <f t="array" ref="M1451">_xlfn.IFS(L1451&gt;=10,"HIGH",L1451=0,"LOW",L1451&lt;=9,"MEDIUM")</f>
        <v>LOW</v>
      </c>
      <c r="N1451" s="9" t="str" cm="1">
        <f t="array" ref="N1451">_xlfn.IFS(M1451="HIGH",K1451*L1451,M1451="MEDIUM",K1451*L1451,M1451="LOW","NA")</f>
        <v>NA</v>
      </c>
      <c r="O1451" s="18" t="str">
        <f t="shared" si="68"/>
        <v>cleared</v>
      </c>
    </row>
    <row r="1452" spans="1:15" x14ac:dyDescent="0.25">
      <c r="A1452" s="17">
        <v>1448</v>
      </c>
      <c r="B1452" s="6" t="s">
        <v>1485</v>
      </c>
      <c r="C1452" s="6" t="s">
        <v>37</v>
      </c>
      <c r="D1452" s="6" t="s">
        <v>41</v>
      </c>
      <c r="E1452" s="6" t="s">
        <v>44</v>
      </c>
      <c r="F1452" s="6" t="s">
        <v>14</v>
      </c>
      <c r="G1452" s="7">
        <v>46205</v>
      </c>
      <c r="H1452" s="6">
        <v>6</v>
      </c>
      <c r="I1452" s="6"/>
      <c r="J1452" s="7">
        <f t="shared" si="67"/>
        <v>46211</v>
      </c>
      <c r="K1452" s="8">
        <v>110</v>
      </c>
      <c r="L1452" s="9">
        <f t="shared" si="66"/>
        <v>48</v>
      </c>
      <c r="M1452" s="9" t="str" cm="1">
        <f t="array" ref="M1452">_xlfn.IFS(L1452&gt;=10,"HIGH",L1452=0,"LOW",L1452&lt;=9,"MEDIUM")</f>
        <v>HIGH</v>
      </c>
      <c r="N1452" s="9" cm="1">
        <f t="array" ref="N1452">_xlfn.IFS(M1452="HIGH",K1452*L1452,M1452="MEDIUM",K1452*L1452,M1452="LOW","NA")</f>
        <v>5280</v>
      </c>
      <c r="O1452" s="18" t="str">
        <f t="shared" si="68"/>
        <v>still in yard</v>
      </c>
    </row>
    <row r="1453" spans="1:15" x14ac:dyDescent="0.25">
      <c r="A1453" s="17">
        <v>1449</v>
      </c>
      <c r="B1453" s="6" t="s">
        <v>1486</v>
      </c>
      <c r="C1453" s="6" t="s">
        <v>37</v>
      </c>
      <c r="D1453" s="6" t="s">
        <v>12</v>
      </c>
      <c r="E1453" s="6" t="s">
        <v>44</v>
      </c>
      <c r="F1453" s="6" t="s">
        <v>27</v>
      </c>
      <c r="G1453" s="7">
        <v>46203</v>
      </c>
      <c r="H1453" s="6">
        <v>5</v>
      </c>
      <c r="I1453" s="7">
        <v>46204</v>
      </c>
      <c r="J1453" s="7">
        <f t="shared" si="67"/>
        <v>46208</v>
      </c>
      <c r="K1453" s="8">
        <v>90</v>
      </c>
      <c r="L1453" s="9">
        <f t="shared" si="66"/>
        <v>0</v>
      </c>
      <c r="M1453" s="9" t="str" cm="1">
        <f t="array" ref="M1453">_xlfn.IFS(L1453&gt;=10,"HIGH",L1453=0,"LOW",L1453&lt;=9,"MEDIUM")</f>
        <v>LOW</v>
      </c>
      <c r="N1453" s="9" t="str" cm="1">
        <f t="array" ref="N1453">_xlfn.IFS(M1453="HIGH",K1453*L1453,M1453="MEDIUM",K1453*L1453,M1453="LOW","NA")</f>
        <v>NA</v>
      </c>
      <c r="O1453" s="18" t="str">
        <f t="shared" si="68"/>
        <v>cleared</v>
      </c>
    </row>
    <row r="1454" spans="1:15" x14ac:dyDescent="0.25">
      <c r="A1454" s="17">
        <v>1450</v>
      </c>
      <c r="B1454" s="6" t="s">
        <v>1487</v>
      </c>
      <c r="C1454" s="6" t="s">
        <v>16</v>
      </c>
      <c r="D1454" s="6" t="s">
        <v>34</v>
      </c>
      <c r="E1454" s="6" t="s">
        <v>21</v>
      </c>
      <c r="F1454" s="6" t="s">
        <v>27</v>
      </c>
      <c r="G1454" s="7">
        <v>46212</v>
      </c>
      <c r="H1454" s="6">
        <v>5</v>
      </c>
      <c r="I1454" s="7">
        <v>46215</v>
      </c>
      <c r="J1454" s="7">
        <f t="shared" si="67"/>
        <v>46217</v>
      </c>
      <c r="K1454" s="8">
        <v>90</v>
      </c>
      <c r="L1454" s="9">
        <f t="shared" si="66"/>
        <v>0</v>
      </c>
      <c r="M1454" s="9" t="str" cm="1">
        <f t="array" ref="M1454">_xlfn.IFS(L1454&gt;=10,"HIGH",L1454=0,"LOW",L1454&lt;=9,"MEDIUM")</f>
        <v>LOW</v>
      </c>
      <c r="N1454" s="9" t="str" cm="1">
        <f t="array" ref="N1454">_xlfn.IFS(M1454="HIGH",K1454*L1454,M1454="MEDIUM",K1454*L1454,M1454="LOW","NA")</f>
        <v>NA</v>
      </c>
      <c r="O1454" s="18" t="str">
        <f t="shared" si="68"/>
        <v>cleared</v>
      </c>
    </row>
    <row r="1455" spans="1:15" x14ac:dyDescent="0.25">
      <c r="A1455" s="17">
        <v>1451</v>
      </c>
      <c r="B1455" s="6" t="s">
        <v>1488</v>
      </c>
      <c r="C1455" s="6" t="s">
        <v>37</v>
      </c>
      <c r="D1455" s="6" t="s">
        <v>49</v>
      </c>
      <c r="E1455" s="6" t="s">
        <v>35</v>
      </c>
      <c r="F1455" s="6" t="s">
        <v>27</v>
      </c>
      <c r="G1455" s="7">
        <v>46194</v>
      </c>
      <c r="H1455" s="6">
        <v>4</v>
      </c>
      <c r="I1455" s="7">
        <v>46195</v>
      </c>
      <c r="J1455" s="7">
        <f t="shared" si="67"/>
        <v>46198</v>
      </c>
      <c r="K1455" s="8">
        <v>75</v>
      </c>
      <c r="L1455" s="9">
        <f t="shared" si="66"/>
        <v>0</v>
      </c>
      <c r="M1455" s="9" t="str" cm="1">
        <f t="array" ref="M1455">_xlfn.IFS(L1455&gt;=10,"HIGH",L1455=0,"LOW",L1455&lt;=9,"MEDIUM")</f>
        <v>LOW</v>
      </c>
      <c r="N1455" s="9" t="str" cm="1">
        <f t="array" ref="N1455">_xlfn.IFS(M1455="HIGH",K1455*L1455,M1455="MEDIUM",K1455*L1455,M1455="LOW","NA")</f>
        <v>NA</v>
      </c>
      <c r="O1455" s="18" t="str">
        <f t="shared" si="68"/>
        <v>cleared</v>
      </c>
    </row>
    <row r="1456" spans="1:15" x14ac:dyDescent="0.25">
      <c r="A1456" s="17">
        <v>1452</v>
      </c>
      <c r="B1456" s="6" t="s">
        <v>1489</v>
      </c>
      <c r="C1456" s="6" t="s">
        <v>11</v>
      </c>
      <c r="D1456" s="6" t="s">
        <v>41</v>
      </c>
      <c r="E1456" s="6" t="s">
        <v>61</v>
      </c>
      <c r="F1456" s="6" t="s">
        <v>24</v>
      </c>
      <c r="G1456" s="7">
        <v>46245</v>
      </c>
      <c r="H1456" s="6">
        <v>5</v>
      </c>
      <c r="I1456" s="7">
        <v>46248</v>
      </c>
      <c r="J1456" s="7">
        <f t="shared" si="67"/>
        <v>46250</v>
      </c>
      <c r="K1456" s="8">
        <v>130</v>
      </c>
      <c r="L1456" s="9">
        <f t="shared" si="66"/>
        <v>0</v>
      </c>
      <c r="M1456" s="9" t="str" cm="1">
        <f t="array" ref="M1456">_xlfn.IFS(L1456&gt;=10,"HIGH",L1456=0,"LOW",L1456&lt;=9,"MEDIUM")</f>
        <v>LOW</v>
      </c>
      <c r="N1456" s="9" t="str" cm="1">
        <f t="array" ref="N1456">_xlfn.IFS(M1456="HIGH",K1456*L1456,M1456="MEDIUM",K1456*L1456,M1456="LOW","NA")</f>
        <v>NA</v>
      </c>
      <c r="O1456" s="18" t="str">
        <f t="shared" si="68"/>
        <v>cleared</v>
      </c>
    </row>
    <row r="1457" spans="1:15" x14ac:dyDescent="0.25">
      <c r="A1457" s="17">
        <v>1453</v>
      </c>
      <c r="B1457" s="6" t="s">
        <v>1490</v>
      </c>
      <c r="C1457" s="6" t="s">
        <v>33</v>
      </c>
      <c r="D1457" s="6" t="s">
        <v>49</v>
      </c>
      <c r="E1457" s="6" t="s">
        <v>21</v>
      </c>
      <c r="F1457" s="6" t="s">
        <v>27</v>
      </c>
      <c r="G1457" s="7">
        <v>46181</v>
      </c>
      <c r="H1457" s="6">
        <v>6</v>
      </c>
      <c r="I1457" s="6"/>
      <c r="J1457" s="7">
        <f t="shared" si="67"/>
        <v>46187</v>
      </c>
      <c r="K1457" s="8">
        <v>75</v>
      </c>
      <c r="L1457" s="9">
        <f t="shared" si="66"/>
        <v>72</v>
      </c>
      <c r="M1457" s="9" t="str" cm="1">
        <f t="array" ref="M1457">_xlfn.IFS(L1457&gt;=10,"HIGH",L1457=0,"LOW",L1457&lt;=9,"MEDIUM")</f>
        <v>HIGH</v>
      </c>
      <c r="N1457" s="9" cm="1">
        <f t="array" ref="N1457">_xlfn.IFS(M1457="HIGH",K1457*L1457,M1457="MEDIUM",K1457*L1457,M1457="LOW","NA")</f>
        <v>5400</v>
      </c>
      <c r="O1457" s="18" t="str">
        <f t="shared" si="68"/>
        <v>still in yard</v>
      </c>
    </row>
    <row r="1458" spans="1:15" x14ac:dyDescent="0.25">
      <c r="A1458" s="17">
        <v>1454</v>
      </c>
      <c r="B1458" s="6" t="s">
        <v>1491</v>
      </c>
      <c r="C1458" s="6" t="s">
        <v>16</v>
      </c>
      <c r="D1458" s="6" t="s">
        <v>31</v>
      </c>
      <c r="E1458" s="6" t="s">
        <v>61</v>
      </c>
      <c r="F1458" s="6" t="s">
        <v>29</v>
      </c>
      <c r="G1458" s="7">
        <v>46236</v>
      </c>
      <c r="H1458" s="6">
        <v>4</v>
      </c>
      <c r="I1458" s="6"/>
      <c r="J1458" s="7">
        <f t="shared" si="67"/>
        <v>46240</v>
      </c>
      <c r="K1458" s="8">
        <v>120</v>
      </c>
      <c r="L1458" s="9">
        <f t="shared" si="66"/>
        <v>19</v>
      </c>
      <c r="M1458" s="9" t="str" cm="1">
        <f t="array" ref="M1458">_xlfn.IFS(L1458&gt;=10,"HIGH",L1458=0,"LOW",L1458&lt;=9,"MEDIUM")</f>
        <v>HIGH</v>
      </c>
      <c r="N1458" s="9" cm="1">
        <f t="array" ref="N1458">_xlfn.IFS(M1458="HIGH",K1458*L1458,M1458="MEDIUM",K1458*L1458,M1458="LOW","NA")</f>
        <v>2280</v>
      </c>
      <c r="O1458" s="18" t="str">
        <f t="shared" si="68"/>
        <v>still in yard</v>
      </c>
    </row>
    <row r="1459" spans="1:15" x14ac:dyDescent="0.25">
      <c r="A1459" s="17">
        <v>1455</v>
      </c>
      <c r="B1459" s="6" t="s">
        <v>1492</v>
      </c>
      <c r="C1459" s="6" t="s">
        <v>37</v>
      </c>
      <c r="D1459" s="6" t="s">
        <v>12</v>
      </c>
      <c r="E1459" s="6" t="s">
        <v>18</v>
      </c>
      <c r="F1459" s="6" t="s">
        <v>27</v>
      </c>
      <c r="G1459" s="7">
        <v>46201</v>
      </c>
      <c r="H1459" s="6">
        <v>5</v>
      </c>
      <c r="I1459" s="7">
        <v>46205</v>
      </c>
      <c r="J1459" s="7">
        <f t="shared" si="67"/>
        <v>46206</v>
      </c>
      <c r="K1459" s="8">
        <v>90</v>
      </c>
      <c r="L1459" s="9">
        <f t="shared" si="66"/>
        <v>0</v>
      </c>
      <c r="M1459" s="9" t="str" cm="1">
        <f t="array" ref="M1459">_xlfn.IFS(L1459&gt;=10,"HIGH",L1459=0,"LOW",L1459&lt;=9,"MEDIUM")</f>
        <v>LOW</v>
      </c>
      <c r="N1459" s="9" t="str" cm="1">
        <f t="array" ref="N1459">_xlfn.IFS(M1459="HIGH",K1459*L1459,M1459="MEDIUM",K1459*L1459,M1459="LOW","NA")</f>
        <v>NA</v>
      </c>
      <c r="O1459" s="18" t="str">
        <f t="shared" si="68"/>
        <v>cleared</v>
      </c>
    </row>
    <row r="1460" spans="1:15" x14ac:dyDescent="0.25">
      <c r="A1460" s="17">
        <v>1456</v>
      </c>
      <c r="B1460" s="6" t="s">
        <v>1493</v>
      </c>
      <c r="C1460" s="6" t="s">
        <v>16</v>
      </c>
      <c r="D1460" s="6" t="s">
        <v>34</v>
      </c>
      <c r="E1460" s="6" t="s">
        <v>42</v>
      </c>
      <c r="F1460" s="6" t="s">
        <v>14</v>
      </c>
      <c r="G1460" s="7">
        <v>46174</v>
      </c>
      <c r="H1460" s="6">
        <v>5</v>
      </c>
      <c r="I1460" s="7">
        <v>46176</v>
      </c>
      <c r="J1460" s="7">
        <f t="shared" si="67"/>
        <v>46179</v>
      </c>
      <c r="K1460" s="8">
        <v>130</v>
      </c>
      <c r="L1460" s="9">
        <f t="shared" si="66"/>
        <v>0</v>
      </c>
      <c r="M1460" s="9" t="str" cm="1">
        <f t="array" ref="M1460">_xlfn.IFS(L1460&gt;=10,"HIGH",L1460=0,"LOW",L1460&lt;=9,"MEDIUM")</f>
        <v>LOW</v>
      </c>
      <c r="N1460" s="9" t="str" cm="1">
        <f t="array" ref="N1460">_xlfn.IFS(M1460="HIGH",K1460*L1460,M1460="MEDIUM",K1460*L1460,M1460="LOW","NA")</f>
        <v>NA</v>
      </c>
      <c r="O1460" s="18" t="str">
        <f t="shared" si="68"/>
        <v>cleared</v>
      </c>
    </row>
    <row r="1461" spans="1:15" x14ac:dyDescent="0.25">
      <c r="A1461" s="17">
        <v>1457</v>
      </c>
      <c r="B1461" s="6" t="s">
        <v>1494</v>
      </c>
      <c r="C1461" s="6" t="s">
        <v>11</v>
      </c>
      <c r="D1461" s="6" t="s">
        <v>56</v>
      </c>
      <c r="E1461" s="6" t="s">
        <v>44</v>
      </c>
      <c r="F1461" s="6" t="s">
        <v>14</v>
      </c>
      <c r="G1461" s="7">
        <v>46201</v>
      </c>
      <c r="H1461" s="6">
        <v>5</v>
      </c>
      <c r="I1461" s="7">
        <v>46211</v>
      </c>
      <c r="J1461" s="7">
        <f t="shared" si="67"/>
        <v>46206</v>
      </c>
      <c r="K1461" s="8">
        <v>130</v>
      </c>
      <c r="L1461" s="9">
        <f t="shared" si="66"/>
        <v>5</v>
      </c>
      <c r="M1461" s="9" t="str" cm="1">
        <f t="array" ref="M1461">_xlfn.IFS(L1461&gt;=10,"HIGH",L1461=0,"LOW",L1461&lt;=9,"MEDIUM")</f>
        <v>MEDIUM</v>
      </c>
      <c r="N1461" s="9" cm="1">
        <f t="array" ref="N1461">_xlfn.IFS(M1461="HIGH",K1461*L1461,M1461="MEDIUM",K1461*L1461,M1461="LOW","NA")</f>
        <v>650</v>
      </c>
      <c r="O1461" s="18" t="str">
        <f t="shared" si="68"/>
        <v>cleared</v>
      </c>
    </row>
    <row r="1462" spans="1:15" x14ac:dyDescent="0.25">
      <c r="A1462" s="17">
        <v>1458</v>
      </c>
      <c r="B1462" s="6" t="s">
        <v>1495</v>
      </c>
      <c r="C1462" s="6" t="s">
        <v>33</v>
      </c>
      <c r="D1462" s="6" t="s">
        <v>12</v>
      </c>
      <c r="E1462" s="6" t="s">
        <v>18</v>
      </c>
      <c r="F1462" s="6" t="s">
        <v>14</v>
      </c>
      <c r="G1462" s="7">
        <v>46195</v>
      </c>
      <c r="H1462" s="6">
        <v>5</v>
      </c>
      <c r="I1462" s="6"/>
      <c r="J1462" s="7">
        <f t="shared" si="67"/>
        <v>46200</v>
      </c>
      <c r="K1462" s="8">
        <v>130</v>
      </c>
      <c r="L1462" s="9">
        <f t="shared" si="66"/>
        <v>59</v>
      </c>
      <c r="M1462" s="9" t="str" cm="1">
        <f t="array" ref="M1462">_xlfn.IFS(L1462&gt;=10,"HIGH",L1462=0,"LOW",L1462&lt;=9,"MEDIUM")</f>
        <v>HIGH</v>
      </c>
      <c r="N1462" s="9" cm="1">
        <f t="array" ref="N1462">_xlfn.IFS(M1462="HIGH",K1462*L1462,M1462="MEDIUM",K1462*L1462,M1462="LOW","NA")</f>
        <v>7670</v>
      </c>
      <c r="O1462" s="18" t="str">
        <f t="shared" si="68"/>
        <v>still in yard</v>
      </c>
    </row>
    <row r="1463" spans="1:15" x14ac:dyDescent="0.25">
      <c r="A1463" s="17">
        <v>1459</v>
      </c>
      <c r="B1463" s="6" t="s">
        <v>1496</v>
      </c>
      <c r="C1463" s="6" t="s">
        <v>11</v>
      </c>
      <c r="D1463" s="6" t="s">
        <v>12</v>
      </c>
      <c r="E1463" s="6" t="s">
        <v>44</v>
      </c>
      <c r="F1463" s="6" t="s">
        <v>14</v>
      </c>
      <c r="G1463" s="7">
        <v>46189</v>
      </c>
      <c r="H1463" s="6">
        <v>6</v>
      </c>
      <c r="I1463" s="7">
        <v>46195</v>
      </c>
      <c r="J1463" s="7">
        <f t="shared" si="67"/>
        <v>46195</v>
      </c>
      <c r="K1463" s="8">
        <v>75</v>
      </c>
      <c r="L1463" s="9">
        <f t="shared" si="66"/>
        <v>0</v>
      </c>
      <c r="M1463" s="9" t="str" cm="1">
        <f t="array" ref="M1463">_xlfn.IFS(L1463&gt;=10,"HIGH",L1463=0,"LOW",L1463&lt;=9,"MEDIUM")</f>
        <v>LOW</v>
      </c>
      <c r="N1463" s="9" t="str" cm="1">
        <f t="array" ref="N1463">_xlfn.IFS(M1463="HIGH",K1463*L1463,M1463="MEDIUM",K1463*L1463,M1463="LOW","NA")</f>
        <v>NA</v>
      </c>
      <c r="O1463" s="18" t="str">
        <f t="shared" si="68"/>
        <v>cleared</v>
      </c>
    </row>
    <row r="1464" spans="1:15" x14ac:dyDescent="0.25">
      <c r="A1464" s="17">
        <v>1460</v>
      </c>
      <c r="B1464" s="6" t="s">
        <v>1497</v>
      </c>
      <c r="C1464" s="6" t="s">
        <v>37</v>
      </c>
      <c r="D1464" s="6" t="s">
        <v>54</v>
      </c>
      <c r="E1464" s="6" t="s">
        <v>21</v>
      </c>
      <c r="F1464" s="6" t="s">
        <v>14</v>
      </c>
      <c r="G1464" s="7">
        <v>46256</v>
      </c>
      <c r="H1464" s="6">
        <v>5</v>
      </c>
      <c r="I1464" s="7">
        <v>46257</v>
      </c>
      <c r="J1464" s="7">
        <f t="shared" si="67"/>
        <v>46261</v>
      </c>
      <c r="K1464" s="8">
        <v>60</v>
      </c>
      <c r="L1464" s="9">
        <f t="shared" si="66"/>
        <v>0</v>
      </c>
      <c r="M1464" s="9" t="str" cm="1">
        <f t="array" ref="M1464">_xlfn.IFS(L1464&gt;=10,"HIGH",L1464=0,"LOW",L1464&lt;=9,"MEDIUM")</f>
        <v>LOW</v>
      </c>
      <c r="N1464" s="9" t="str" cm="1">
        <f t="array" ref="N1464">_xlfn.IFS(M1464="HIGH",K1464*L1464,M1464="MEDIUM",K1464*L1464,M1464="LOW","NA")</f>
        <v>NA</v>
      </c>
      <c r="O1464" s="18" t="str">
        <f t="shared" si="68"/>
        <v>cleared</v>
      </c>
    </row>
    <row r="1465" spans="1:15" x14ac:dyDescent="0.25">
      <c r="A1465" s="17">
        <v>1461</v>
      </c>
      <c r="B1465" s="6" t="s">
        <v>1498</v>
      </c>
      <c r="C1465" s="6" t="s">
        <v>16</v>
      </c>
      <c r="D1465" s="6" t="s">
        <v>54</v>
      </c>
      <c r="E1465" s="6" t="s">
        <v>44</v>
      </c>
      <c r="F1465" s="6" t="s">
        <v>14</v>
      </c>
      <c r="G1465" s="7">
        <v>46188</v>
      </c>
      <c r="H1465" s="6">
        <v>6</v>
      </c>
      <c r="I1465" s="6"/>
      <c r="J1465" s="7">
        <f t="shared" si="67"/>
        <v>46194</v>
      </c>
      <c r="K1465" s="8">
        <v>110</v>
      </c>
      <c r="L1465" s="9">
        <f t="shared" si="66"/>
        <v>65</v>
      </c>
      <c r="M1465" s="9" t="str" cm="1">
        <f t="array" ref="M1465">_xlfn.IFS(L1465&gt;=10,"HIGH",L1465=0,"LOW",L1465&lt;=9,"MEDIUM")</f>
        <v>HIGH</v>
      </c>
      <c r="N1465" s="9" cm="1">
        <f t="array" ref="N1465">_xlfn.IFS(M1465="HIGH",K1465*L1465,M1465="MEDIUM",K1465*L1465,M1465="LOW","NA")</f>
        <v>7150</v>
      </c>
      <c r="O1465" s="18" t="str">
        <f t="shared" si="68"/>
        <v>still in yard</v>
      </c>
    </row>
    <row r="1466" spans="1:15" x14ac:dyDescent="0.25">
      <c r="A1466" s="17">
        <v>1462</v>
      </c>
      <c r="B1466" s="6" t="s">
        <v>1499</v>
      </c>
      <c r="C1466" s="6" t="s">
        <v>37</v>
      </c>
      <c r="D1466" s="6" t="s">
        <v>34</v>
      </c>
      <c r="E1466" s="6" t="s">
        <v>46</v>
      </c>
      <c r="F1466" s="6" t="s">
        <v>27</v>
      </c>
      <c r="G1466" s="7">
        <v>46248</v>
      </c>
      <c r="H1466" s="6">
        <v>5</v>
      </c>
      <c r="I1466" s="7">
        <v>46249</v>
      </c>
      <c r="J1466" s="7">
        <f t="shared" si="67"/>
        <v>46253</v>
      </c>
      <c r="K1466" s="8">
        <v>60</v>
      </c>
      <c r="L1466" s="9">
        <f t="shared" si="66"/>
        <v>0</v>
      </c>
      <c r="M1466" s="9" t="str" cm="1">
        <f t="array" ref="M1466">_xlfn.IFS(L1466&gt;=10,"HIGH",L1466=0,"LOW",L1466&lt;=9,"MEDIUM")</f>
        <v>LOW</v>
      </c>
      <c r="N1466" s="9" t="str" cm="1">
        <f t="array" ref="N1466">_xlfn.IFS(M1466="HIGH",K1466*L1466,M1466="MEDIUM",K1466*L1466,M1466="LOW","NA")</f>
        <v>NA</v>
      </c>
      <c r="O1466" s="18" t="str">
        <f t="shared" si="68"/>
        <v>cleared</v>
      </c>
    </row>
    <row r="1467" spans="1:15" x14ac:dyDescent="0.25">
      <c r="A1467" s="17">
        <v>1463</v>
      </c>
      <c r="B1467" s="6" t="s">
        <v>1500</v>
      </c>
      <c r="C1467" s="6" t="s">
        <v>33</v>
      </c>
      <c r="D1467" s="6" t="s">
        <v>34</v>
      </c>
      <c r="E1467" s="6" t="s">
        <v>18</v>
      </c>
      <c r="F1467" s="6" t="s">
        <v>29</v>
      </c>
      <c r="G1467" s="7">
        <v>46203</v>
      </c>
      <c r="H1467" s="6">
        <v>3</v>
      </c>
      <c r="I1467" s="7">
        <v>46207</v>
      </c>
      <c r="J1467" s="7">
        <f t="shared" si="67"/>
        <v>46206</v>
      </c>
      <c r="K1467" s="8">
        <v>180</v>
      </c>
      <c r="L1467" s="9">
        <f t="shared" si="66"/>
        <v>1</v>
      </c>
      <c r="M1467" s="9" t="str" cm="1">
        <f t="array" ref="M1467">_xlfn.IFS(L1467&gt;=10,"HIGH",L1467=0,"LOW",L1467&lt;=9,"MEDIUM")</f>
        <v>MEDIUM</v>
      </c>
      <c r="N1467" s="9" cm="1">
        <f t="array" ref="N1467">_xlfn.IFS(M1467="HIGH",K1467*L1467,M1467="MEDIUM",K1467*L1467,M1467="LOW","NA")</f>
        <v>180</v>
      </c>
      <c r="O1467" s="18" t="str">
        <f t="shared" si="68"/>
        <v>cleared</v>
      </c>
    </row>
    <row r="1468" spans="1:15" x14ac:dyDescent="0.25">
      <c r="A1468" s="17">
        <v>1464</v>
      </c>
      <c r="B1468" s="6" t="s">
        <v>1501</v>
      </c>
      <c r="C1468" s="6" t="s">
        <v>16</v>
      </c>
      <c r="D1468" s="6" t="s">
        <v>17</v>
      </c>
      <c r="E1468" s="6" t="s">
        <v>13</v>
      </c>
      <c r="F1468" s="6" t="s">
        <v>14</v>
      </c>
      <c r="G1468" s="7">
        <v>46210</v>
      </c>
      <c r="H1468" s="6">
        <v>6</v>
      </c>
      <c r="I1468" s="6"/>
      <c r="J1468" s="7">
        <f t="shared" si="67"/>
        <v>46216</v>
      </c>
      <c r="K1468" s="8">
        <v>75</v>
      </c>
      <c r="L1468" s="9">
        <f t="shared" si="66"/>
        <v>43</v>
      </c>
      <c r="M1468" s="9" t="str" cm="1">
        <f t="array" ref="M1468">_xlfn.IFS(L1468&gt;=10,"HIGH",L1468=0,"LOW",L1468&lt;=9,"MEDIUM")</f>
        <v>HIGH</v>
      </c>
      <c r="N1468" s="9" cm="1">
        <f t="array" ref="N1468">_xlfn.IFS(M1468="HIGH",K1468*L1468,M1468="MEDIUM",K1468*L1468,M1468="LOW","NA")</f>
        <v>3225</v>
      </c>
      <c r="O1468" s="18" t="str">
        <f t="shared" si="68"/>
        <v>still in yard</v>
      </c>
    </row>
    <row r="1469" spans="1:15" x14ac:dyDescent="0.25">
      <c r="A1469" s="17">
        <v>1465</v>
      </c>
      <c r="B1469" s="6" t="s">
        <v>1502</v>
      </c>
      <c r="C1469" s="6" t="s">
        <v>11</v>
      </c>
      <c r="D1469" s="6" t="s">
        <v>49</v>
      </c>
      <c r="E1469" s="6" t="s">
        <v>44</v>
      </c>
      <c r="F1469" s="6" t="s">
        <v>27</v>
      </c>
      <c r="G1469" s="7">
        <v>46192</v>
      </c>
      <c r="H1469" s="6">
        <v>5</v>
      </c>
      <c r="I1469" s="7">
        <v>46193</v>
      </c>
      <c r="J1469" s="7">
        <f t="shared" si="67"/>
        <v>46197</v>
      </c>
      <c r="K1469" s="8">
        <v>130</v>
      </c>
      <c r="L1469" s="9">
        <f t="shared" si="66"/>
        <v>0</v>
      </c>
      <c r="M1469" s="9" t="str" cm="1">
        <f t="array" ref="M1469">_xlfn.IFS(L1469&gt;=10,"HIGH",L1469=0,"LOW",L1469&lt;=9,"MEDIUM")</f>
        <v>LOW</v>
      </c>
      <c r="N1469" s="9" t="str" cm="1">
        <f t="array" ref="N1469">_xlfn.IFS(M1469="HIGH",K1469*L1469,M1469="MEDIUM",K1469*L1469,M1469="LOW","NA")</f>
        <v>NA</v>
      </c>
      <c r="O1469" s="18" t="str">
        <f t="shared" si="68"/>
        <v>cleared</v>
      </c>
    </row>
    <row r="1470" spans="1:15" x14ac:dyDescent="0.25">
      <c r="A1470" s="17">
        <v>1466</v>
      </c>
      <c r="B1470" s="6" t="s">
        <v>1503</v>
      </c>
      <c r="C1470" s="6" t="s">
        <v>37</v>
      </c>
      <c r="D1470" s="6" t="s">
        <v>20</v>
      </c>
      <c r="E1470" s="6" t="s">
        <v>35</v>
      </c>
      <c r="F1470" s="6" t="s">
        <v>27</v>
      </c>
      <c r="G1470" s="7">
        <v>46222</v>
      </c>
      <c r="H1470" s="6">
        <v>6</v>
      </c>
      <c r="I1470" s="7">
        <v>46227</v>
      </c>
      <c r="J1470" s="7">
        <f t="shared" si="67"/>
        <v>46228</v>
      </c>
      <c r="K1470" s="8">
        <v>130</v>
      </c>
      <c r="L1470" s="9">
        <f t="shared" si="66"/>
        <v>0</v>
      </c>
      <c r="M1470" s="9" t="str" cm="1">
        <f t="array" ref="M1470">_xlfn.IFS(L1470&gt;=10,"HIGH",L1470=0,"LOW",L1470&lt;=9,"MEDIUM")</f>
        <v>LOW</v>
      </c>
      <c r="N1470" s="9" t="str" cm="1">
        <f t="array" ref="N1470">_xlfn.IFS(M1470="HIGH",K1470*L1470,M1470="MEDIUM",K1470*L1470,M1470="LOW","NA")</f>
        <v>NA</v>
      </c>
      <c r="O1470" s="18" t="str">
        <f t="shared" si="68"/>
        <v>cleared</v>
      </c>
    </row>
    <row r="1471" spans="1:15" x14ac:dyDescent="0.25">
      <c r="A1471" s="17">
        <v>1467</v>
      </c>
      <c r="B1471" s="6" t="s">
        <v>1504</v>
      </c>
      <c r="C1471" s="6" t="s">
        <v>11</v>
      </c>
      <c r="D1471" s="6" t="s">
        <v>20</v>
      </c>
      <c r="E1471" s="6" t="s">
        <v>23</v>
      </c>
      <c r="F1471" s="6" t="s">
        <v>29</v>
      </c>
      <c r="G1471" s="7">
        <v>46174</v>
      </c>
      <c r="H1471" s="6">
        <v>4</v>
      </c>
      <c r="I1471" s="7">
        <v>46176</v>
      </c>
      <c r="J1471" s="7">
        <f t="shared" si="67"/>
        <v>46178</v>
      </c>
      <c r="K1471" s="8">
        <v>150</v>
      </c>
      <c r="L1471" s="9">
        <f t="shared" si="66"/>
        <v>0</v>
      </c>
      <c r="M1471" s="9" t="str" cm="1">
        <f t="array" ref="M1471">_xlfn.IFS(L1471&gt;=10,"HIGH",L1471=0,"LOW",L1471&lt;=9,"MEDIUM")</f>
        <v>LOW</v>
      </c>
      <c r="N1471" s="9" t="str" cm="1">
        <f t="array" ref="N1471">_xlfn.IFS(M1471="HIGH",K1471*L1471,M1471="MEDIUM",K1471*L1471,M1471="LOW","NA")</f>
        <v>NA</v>
      </c>
      <c r="O1471" s="18" t="str">
        <f t="shared" si="68"/>
        <v>cleared</v>
      </c>
    </row>
    <row r="1472" spans="1:15" x14ac:dyDescent="0.25">
      <c r="A1472" s="17">
        <v>1468</v>
      </c>
      <c r="B1472" s="6" t="s">
        <v>1505</v>
      </c>
      <c r="C1472" s="6" t="s">
        <v>16</v>
      </c>
      <c r="D1472" s="6" t="s">
        <v>54</v>
      </c>
      <c r="E1472" s="6" t="s">
        <v>61</v>
      </c>
      <c r="F1472" s="6" t="s">
        <v>27</v>
      </c>
      <c r="G1472" s="7">
        <v>46192</v>
      </c>
      <c r="H1472" s="6">
        <v>5</v>
      </c>
      <c r="I1472" s="7">
        <v>46202</v>
      </c>
      <c r="J1472" s="7">
        <f t="shared" si="67"/>
        <v>46197</v>
      </c>
      <c r="K1472" s="8">
        <v>90</v>
      </c>
      <c r="L1472" s="9">
        <f t="shared" si="66"/>
        <v>5</v>
      </c>
      <c r="M1472" s="9" t="str" cm="1">
        <f t="array" ref="M1472">_xlfn.IFS(L1472&gt;=10,"HIGH",L1472=0,"LOW",L1472&lt;=9,"MEDIUM")</f>
        <v>MEDIUM</v>
      </c>
      <c r="N1472" s="9" cm="1">
        <f t="array" ref="N1472">_xlfn.IFS(M1472="HIGH",K1472*L1472,M1472="MEDIUM",K1472*L1472,M1472="LOW","NA")</f>
        <v>450</v>
      </c>
      <c r="O1472" s="18" t="str">
        <f t="shared" si="68"/>
        <v>cleared</v>
      </c>
    </row>
    <row r="1473" spans="1:15" x14ac:dyDescent="0.25">
      <c r="A1473" s="17">
        <v>1469</v>
      </c>
      <c r="B1473" s="6" t="s">
        <v>1506</v>
      </c>
      <c r="C1473" s="6" t="s">
        <v>16</v>
      </c>
      <c r="D1473" s="6" t="s">
        <v>34</v>
      </c>
      <c r="E1473" s="6" t="s">
        <v>46</v>
      </c>
      <c r="F1473" s="6" t="s">
        <v>14</v>
      </c>
      <c r="G1473" s="7">
        <v>46228</v>
      </c>
      <c r="H1473" s="6">
        <v>5</v>
      </c>
      <c r="I1473" s="7">
        <v>46229</v>
      </c>
      <c r="J1473" s="7">
        <f t="shared" si="67"/>
        <v>46233</v>
      </c>
      <c r="K1473" s="8">
        <v>90</v>
      </c>
      <c r="L1473" s="9">
        <f t="shared" si="66"/>
        <v>0</v>
      </c>
      <c r="M1473" s="9" t="str" cm="1">
        <f t="array" ref="M1473">_xlfn.IFS(L1473&gt;=10,"HIGH",L1473=0,"LOW",L1473&lt;=9,"MEDIUM")</f>
        <v>LOW</v>
      </c>
      <c r="N1473" s="9" t="str" cm="1">
        <f t="array" ref="N1473">_xlfn.IFS(M1473="HIGH",K1473*L1473,M1473="MEDIUM",K1473*L1473,M1473="LOW","NA")</f>
        <v>NA</v>
      </c>
      <c r="O1473" s="18" t="str">
        <f t="shared" si="68"/>
        <v>cleared</v>
      </c>
    </row>
    <row r="1474" spans="1:15" x14ac:dyDescent="0.25">
      <c r="A1474" s="17">
        <v>1470</v>
      </c>
      <c r="B1474" s="6" t="s">
        <v>1507</v>
      </c>
      <c r="C1474" s="6" t="s">
        <v>37</v>
      </c>
      <c r="D1474" s="6" t="s">
        <v>26</v>
      </c>
      <c r="E1474" s="6" t="s">
        <v>46</v>
      </c>
      <c r="F1474" s="6" t="s">
        <v>27</v>
      </c>
      <c r="G1474" s="7">
        <v>46203</v>
      </c>
      <c r="H1474" s="6">
        <v>4</v>
      </c>
      <c r="I1474" s="6"/>
      <c r="J1474" s="7">
        <f t="shared" si="67"/>
        <v>46207</v>
      </c>
      <c r="K1474" s="8">
        <v>90</v>
      </c>
      <c r="L1474" s="9">
        <f t="shared" si="66"/>
        <v>52</v>
      </c>
      <c r="M1474" s="9" t="str" cm="1">
        <f t="array" ref="M1474">_xlfn.IFS(L1474&gt;=10,"HIGH",L1474=0,"LOW",L1474&lt;=9,"MEDIUM")</f>
        <v>HIGH</v>
      </c>
      <c r="N1474" s="9" cm="1">
        <f t="array" ref="N1474">_xlfn.IFS(M1474="HIGH",K1474*L1474,M1474="MEDIUM",K1474*L1474,M1474="LOW","NA")</f>
        <v>4680</v>
      </c>
      <c r="O1474" s="18" t="str">
        <f t="shared" si="68"/>
        <v>still in yard</v>
      </c>
    </row>
    <row r="1475" spans="1:15" x14ac:dyDescent="0.25">
      <c r="A1475" s="17">
        <v>1471</v>
      </c>
      <c r="B1475" s="6" t="s">
        <v>1508</v>
      </c>
      <c r="C1475" s="6" t="s">
        <v>11</v>
      </c>
      <c r="D1475" s="6" t="s">
        <v>17</v>
      </c>
      <c r="E1475" s="6" t="s">
        <v>44</v>
      </c>
      <c r="F1475" s="6" t="s">
        <v>27</v>
      </c>
      <c r="G1475" s="7">
        <v>46186</v>
      </c>
      <c r="H1475" s="6">
        <v>5</v>
      </c>
      <c r="I1475" s="7">
        <v>46194</v>
      </c>
      <c r="J1475" s="7">
        <f t="shared" si="67"/>
        <v>46191</v>
      </c>
      <c r="K1475" s="8">
        <v>60</v>
      </c>
      <c r="L1475" s="9">
        <f t="shared" si="66"/>
        <v>3</v>
      </c>
      <c r="M1475" s="9" t="str" cm="1">
        <f t="array" ref="M1475">_xlfn.IFS(L1475&gt;=10,"HIGH",L1475=0,"LOW",L1475&lt;=9,"MEDIUM")</f>
        <v>MEDIUM</v>
      </c>
      <c r="N1475" s="9" cm="1">
        <f t="array" ref="N1475">_xlfn.IFS(M1475="HIGH",K1475*L1475,M1475="MEDIUM",K1475*L1475,M1475="LOW","NA")</f>
        <v>180</v>
      </c>
      <c r="O1475" s="18" t="str">
        <f t="shared" si="68"/>
        <v>cleared</v>
      </c>
    </row>
    <row r="1476" spans="1:15" x14ac:dyDescent="0.25">
      <c r="A1476" s="17">
        <v>1472</v>
      </c>
      <c r="B1476" s="6" t="s">
        <v>1509</v>
      </c>
      <c r="C1476" s="6" t="s">
        <v>33</v>
      </c>
      <c r="D1476" s="6" t="s">
        <v>49</v>
      </c>
      <c r="E1476" s="6" t="s">
        <v>18</v>
      </c>
      <c r="F1476" s="6" t="s">
        <v>14</v>
      </c>
      <c r="G1476" s="7">
        <v>46174</v>
      </c>
      <c r="H1476" s="6">
        <v>4</v>
      </c>
      <c r="I1476" s="7">
        <v>46183</v>
      </c>
      <c r="J1476" s="7">
        <f t="shared" si="67"/>
        <v>46178</v>
      </c>
      <c r="K1476" s="8">
        <v>60</v>
      </c>
      <c r="L1476" s="9">
        <f t="shared" si="66"/>
        <v>5</v>
      </c>
      <c r="M1476" s="9" t="str" cm="1">
        <f t="array" ref="M1476">_xlfn.IFS(L1476&gt;=10,"HIGH",L1476=0,"LOW",L1476&lt;=9,"MEDIUM")</f>
        <v>MEDIUM</v>
      </c>
      <c r="N1476" s="9" cm="1">
        <f t="array" ref="N1476">_xlfn.IFS(M1476="HIGH",K1476*L1476,M1476="MEDIUM",K1476*L1476,M1476="LOW","NA")</f>
        <v>300</v>
      </c>
      <c r="O1476" s="18" t="str">
        <f t="shared" si="68"/>
        <v>cleared</v>
      </c>
    </row>
    <row r="1477" spans="1:15" x14ac:dyDescent="0.25">
      <c r="A1477" s="17">
        <v>1473</v>
      </c>
      <c r="B1477" s="6" t="s">
        <v>1510</v>
      </c>
      <c r="C1477" s="6" t="s">
        <v>37</v>
      </c>
      <c r="D1477" s="6" t="s">
        <v>31</v>
      </c>
      <c r="E1477" s="6" t="s">
        <v>44</v>
      </c>
      <c r="F1477" s="6" t="s">
        <v>27</v>
      </c>
      <c r="G1477" s="7">
        <v>46241</v>
      </c>
      <c r="H1477" s="6">
        <v>7</v>
      </c>
      <c r="I1477" s="6"/>
      <c r="J1477" s="7">
        <f t="shared" si="67"/>
        <v>46248</v>
      </c>
      <c r="K1477" s="8">
        <v>90</v>
      </c>
      <c r="L1477" s="9">
        <f t="shared" ref="L1477:L1504" si="69">MAX(0, IF(I1477="", $C$2-J1477, I1477-J1477))</f>
        <v>11</v>
      </c>
      <c r="M1477" s="9" t="str" cm="1">
        <f t="array" ref="M1477">_xlfn.IFS(L1477&gt;=10,"HIGH",L1477=0,"LOW",L1477&lt;=9,"MEDIUM")</f>
        <v>HIGH</v>
      </c>
      <c r="N1477" s="9" cm="1">
        <f t="array" ref="N1477">_xlfn.IFS(M1477="HIGH",K1477*L1477,M1477="MEDIUM",K1477*L1477,M1477="LOW","NA")</f>
        <v>990</v>
      </c>
      <c r="O1477" s="18" t="str">
        <f t="shared" si="68"/>
        <v>still in yard</v>
      </c>
    </row>
    <row r="1478" spans="1:15" x14ac:dyDescent="0.25">
      <c r="A1478" s="17">
        <v>1474</v>
      </c>
      <c r="B1478" s="6" t="s">
        <v>1511</v>
      </c>
      <c r="C1478" s="6" t="s">
        <v>11</v>
      </c>
      <c r="D1478" s="6" t="s">
        <v>34</v>
      </c>
      <c r="E1478" s="6" t="s">
        <v>23</v>
      </c>
      <c r="F1478" s="6" t="s">
        <v>29</v>
      </c>
      <c r="G1478" s="7">
        <v>46181</v>
      </c>
      <c r="H1478" s="6">
        <v>4</v>
      </c>
      <c r="I1478" s="6"/>
      <c r="J1478" s="7">
        <f t="shared" ref="J1478:J1504" si="70">G1478+H1478</f>
        <v>46185</v>
      </c>
      <c r="K1478" s="8">
        <v>180</v>
      </c>
      <c r="L1478" s="9">
        <f t="shared" si="69"/>
        <v>74</v>
      </c>
      <c r="M1478" s="9" t="str" cm="1">
        <f t="array" ref="M1478">_xlfn.IFS(L1478&gt;=10,"HIGH",L1478=0,"LOW",L1478&lt;=9,"MEDIUM")</f>
        <v>HIGH</v>
      </c>
      <c r="N1478" s="9" cm="1">
        <f t="array" ref="N1478">_xlfn.IFS(M1478="HIGH",K1478*L1478,M1478="MEDIUM",K1478*L1478,M1478="LOW","NA")</f>
        <v>13320</v>
      </c>
      <c r="O1478" s="18" t="str">
        <f t="shared" ref="O1478:O1504" si="71">IF(I1478="","still in yard","cleared")</f>
        <v>still in yard</v>
      </c>
    </row>
    <row r="1479" spans="1:15" x14ac:dyDescent="0.25">
      <c r="A1479" s="17">
        <v>1475</v>
      </c>
      <c r="B1479" s="6" t="s">
        <v>1512</v>
      </c>
      <c r="C1479" s="6" t="s">
        <v>37</v>
      </c>
      <c r="D1479" s="6" t="s">
        <v>31</v>
      </c>
      <c r="E1479" s="6" t="s">
        <v>42</v>
      </c>
      <c r="F1479" s="6" t="s">
        <v>27</v>
      </c>
      <c r="G1479" s="7">
        <v>46226</v>
      </c>
      <c r="H1479" s="6">
        <v>4</v>
      </c>
      <c r="I1479" s="7">
        <v>46232</v>
      </c>
      <c r="J1479" s="7">
        <f t="shared" si="70"/>
        <v>46230</v>
      </c>
      <c r="K1479" s="8">
        <v>90</v>
      </c>
      <c r="L1479" s="9">
        <f t="shared" si="69"/>
        <v>2</v>
      </c>
      <c r="M1479" s="9" t="str" cm="1">
        <f t="array" ref="M1479">_xlfn.IFS(L1479&gt;=10,"HIGH",L1479=0,"LOW",L1479&lt;=9,"MEDIUM")</f>
        <v>MEDIUM</v>
      </c>
      <c r="N1479" s="9" cm="1">
        <f t="array" ref="N1479">_xlfn.IFS(M1479="HIGH",K1479*L1479,M1479="MEDIUM",K1479*L1479,M1479="LOW","NA")</f>
        <v>180</v>
      </c>
      <c r="O1479" s="18" t="str">
        <f t="shared" si="71"/>
        <v>cleared</v>
      </c>
    </row>
    <row r="1480" spans="1:15" x14ac:dyDescent="0.25">
      <c r="A1480" s="17">
        <v>1476</v>
      </c>
      <c r="B1480" s="6" t="s">
        <v>1513</v>
      </c>
      <c r="C1480" s="6" t="s">
        <v>16</v>
      </c>
      <c r="D1480" s="6" t="s">
        <v>34</v>
      </c>
      <c r="E1480" s="6" t="s">
        <v>46</v>
      </c>
      <c r="F1480" s="6" t="s">
        <v>29</v>
      </c>
      <c r="G1480" s="7">
        <v>46255</v>
      </c>
      <c r="H1480" s="6">
        <v>4</v>
      </c>
      <c r="I1480" s="7">
        <v>46259</v>
      </c>
      <c r="J1480" s="7">
        <f t="shared" si="70"/>
        <v>46259</v>
      </c>
      <c r="K1480" s="8">
        <v>120</v>
      </c>
      <c r="L1480" s="9">
        <f t="shared" si="69"/>
        <v>0</v>
      </c>
      <c r="M1480" s="9" t="str" cm="1">
        <f t="array" ref="M1480">_xlfn.IFS(L1480&gt;=10,"HIGH",L1480=0,"LOW",L1480&lt;=9,"MEDIUM")</f>
        <v>LOW</v>
      </c>
      <c r="N1480" s="9" t="str" cm="1">
        <f t="array" ref="N1480">_xlfn.IFS(M1480="HIGH",K1480*L1480,M1480="MEDIUM",K1480*L1480,M1480="LOW","NA")</f>
        <v>NA</v>
      </c>
      <c r="O1480" s="18" t="str">
        <f t="shared" si="71"/>
        <v>cleared</v>
      </c>
    </row>
    <row r="1481" spans="1:15" x14ac:dyDescent="0.25">
      <c r="A1481" s="17">
        <v>1477</v>
      </c>
      <c r="B1481" s="6" t="s">
        <v>1514</v>
      </c>
      <c r="C1481" s="6" t="s">
        <v>33</v>
      </c>
      <c r="D1481" s="6" t="s">
        <v>56</v>
      </c>
      <c r="E1481" s="6" t="s">
        <v>44</v>
      </c>
      <c r="F1481" s="6" t="s">
        <v>14</v>
      </c>
      <c r="G1481" s="7">
        <v>46169</v>
      </c>
      <c r="H1481" s="6">
        <v>7</v>
      </c>
      <c r="I1481" s="6"/>
      <c r="J1481" s="7">
        <f t="shared" si="70"/>
        <v>46176</v>
      </c>
      <c r="K1481" s="8">
        <v>130</v>
      </c>
      <c r="L1481" s="9">
        <f t="shared" si="69"/>
        <v>83</v>
      </c>
      <c r="M1481" s="9" t="str" cm="1">
        <f t="array" ref="M1481">_xlfn.IFS(L1481&gt;=10,"HIGH",L1481=0,"LOW",L1481&lt;=9,"MEDIUM")</f>
        <v>HIGH</v>
      </c>
      <c r="N1481" s="9" cm="1">
        <f t="array" ref="N1481">_xlfn.IFS(M1481="HIGH",K1481*L1481,M1481="MEDIUM",K1481*L1481,M1481="LOW","NA")</f>
        <v>10790</v>
      </c>
      <c r="O1481" s="18" t="str">
        <f t="shared" si="71"/>
        <v>still in yard</v>
      </c>
    </row>
    <row r="1482" spans="1:15" x14ac:dyDescent="0.25">
      <c r="A1482" s="17">
        <v>1478</v>
      </c>
      <c r="B1482" s="6" t="s">
        <v>1515</v>
      </c>
      <c r="C1482" s="6" t="s">
        <v>16</v>
      </c>
      <c r="D1482" s="6" t="s">
        <v>54</v>
      </c>
      <c r="E1482" s="6" t="s">
        <v>18</v>
      </c>
      <c r="F1482" s="6" t="s">
        <v>29</v>
      </c>
      <c r="G1482" s="7">
        <v>46195</v>
      </c>
      <c r="H1482" s="6">
        <v>3</v>
      </c>
      <c r="I1482" s="7">
        <v>46196</v>
      </c>
      <c r="J1482" s="7">
        <f t="shared" si="70"/>
        <v>46198</v>
      </c>
      <c r="K1482" s="8">
        <v>180</v>
      </c>
      <c r="L1482" s="9">
        <f t="shared" si="69"/>
        <v>0</v>
      </c>
      <c r="M1482" s="9" t="str" cm="1">
        <f t="array" ref="M1482">_xlfn.IFS(L1482&gt;=10,"HIGH",L1482=0,"LOW",L1482&lt;=9,"MEDIUM")</f>
        <v>LOW</v>
      </c>
      <c r="N1482" s="9" t="str" cm="1">
        <f t="array" ref="N1482">_xlfn.IFS(M1482="HIGH",K1482*L1482,M1482="MEDIUM",K1482*L1482,M1482="LOW","NA")</f>
        <v>NA</v>
      </c>
      <c r="O1482" s="18" t="str">
        <f t="shared" si="71"/>
        <v>cleared</v>
      </c>
    </row>
    <row r="1483" spans="1:15" x14ac:dyDescent="0.25">
      <c r="A1483" s="17">
        <v>1479</v>
      </c>
      <c r="B1483" s="6" t="s">
        <v>1516</v>
      </c>
      <c r="C1483" s="6" t="s">
        <v>16</v>
      </c>
      <c r="D1483" s="6" t="s">
        <v>12</v>
      </c>
      <c r="E1483" s="6" t="s">
        <v>21</v>
      </c>
      <c r="F1483" s="6" t="s">
        <v>27</v>
      </c>
      <c r="G1483" s="7">
        <v>46189</v>
      </c>
      <c r="H1483" s="6">
        <v>6</v>
      </c>
      <c r="I1483" s="6"/>
      <c r="J1483" s="7">
        <f t="shared" si="70"/>
        <v>46195</v>
      </c>
      <c r="K1483" s="8">
        <v>130</v>
      </c>
      <c r="L1483" s="9">
        <f t="shared" si="69"/>
        <v>64</v>
      </c>
      <c r="M1483" s="9" t="str" cm="1">
        <f t="array" ref="M1483">_xlfn.IFS(L1483&gt;=10,"HIGH",L1483=0,"LOW",L1483&lt;=9,"MEDIUM")</f>
        <v>HIGH</v>
      </c>
      <c r="N1483" s="9" cm="1">
        <f t="array" ref="N1483">_xlfn.IFS(M1483="HIGH",K1483*L1483,M1483="MEDIUM",K1483*L1483,M1483="LOW","NA")</f>
        <v>8320</v>
      </c>
      <c r="O1483" s="18" t="str">
        <f t="shared" si="71"/>
        <v>still in yard</v>
      </c>
    </row>
    <row r="1484" spans="1:15" x14ac:dyDescent="0.25">
      <c r="A1484" s="17">
        <v>1480</v>
      </c>
      <c r="B1484" s="6" t="s">
        <v>1517</v>
      </c>
      <c r="C1484" s="6" t="s">
        <v>37</v>
      </c>
      <c r="D1484" s="6" t="s">
        <v>20</v>
      </c>
      <c r="E1484" s="6" t="s">
        <v>39</v>
      </c>
      <c r="F1484" s="6" t="s">
        <v>29</v>
      </c>
      <c r="G1484" s="7">
        <v>46239</v>
      </c>
      <c r="H1484" s="6">
        <v>4</v>
      </c>
      <c r="I1484" s="7">
        <v>46248</v>
      </c>
      <c r="J1484" s="7">
        <f t="shared" si="70"/>
        <v>46243</v>
      </c>
      <c r="K1484" s="8">
        <v>120</v>
      </c>
      <c r="L1484" s="9">
        <f t="shared" si="69"/>
        <v>5</v>
      </c>
      <c r="M1484" s="9" t="str" cm="1">
        <f t="array" ref="M1484">_xlfn.IFS(L1484&gt;=10,"HIGH",L1484=0,"LOW",L1484&lt;=9,"MEDIUM")</f>
        <v>MEDIUM</v>
      </c>
      <c r="N1484" s="9" cm="1">
        <f t="array" ref="N1484">_xlfn.IFS(M1484="HIGH",K1484*L1484,M1484="MEDIUM",K1484*L1484,M1484="LOW","NA")</f>
        <v>600</v>
      </c>
      <c r="O1484" s="18" t="str">
        <f t="shared" si="71"/>
        <v>cleared</v>
      </c>
    </row>
    <row r="1485" spans="1:15" x14ac:dyDescent="0.25">
      <c r="A1485" s="17">
        <v>1481</v>
      </c>
      <c r="B1485" s="6" t="s">
        <v>1518</v>
      </c>
      <c r="C1485" s="6" t="s">
        <v>11</v>
      </c>
      <c r="D1485" s="6" t="s">
        <v>54</v>
      </c>
      <c r="E1485" s="6" t="s">
        <v>23</v>
      </c>
      <c r="F1485" s="6" t="s">
        <v>24</v>
      </c>
      <c r="G1485" s="7">
        <v>46204</v>
      </c>
      <c r="H1485" s="6">
        <v>7</v>
      </c>
      <c r="I1485" s="7">
        <v>46213</v>
      </c>
      <c r="J1485" s="7">
        <f t="shared" si="70"/>
        <v>46211</v>
      </c>
      <c r="K1485" s="8">
        <v>75</v>
      </c>
      <c r="L1485" s="9">
        <f t="shared" si="69"/>
        <v>2</v>
      </c>
      <c r="M1485" s="9" t="str" cm="1">
        <f t="array" ref="M1485">_xlfn.IFS(L1485&gt;=10,"HIGH",L1485=0,"LOW",L1485&lt;=9,"MEDIUM")</f>
        <v>MEDIUM</v>
      </c>
      <c r="N1485" s="9" cm="1">
        <f t="array" ref="N1485">_xlfn.IFS(M1485="HIGH",K1485*L1485,M1485="MEDIUM",K1485*L1485,M1485="LOW","NA")</f>
        <v>150</v>
      </c>
      <c r="O1485" s="18" t="str">
        <f t="shared" si="71"/>
        <v>cleared</v>
      </c>
    </row>
    <row r="1486" spans="1:15" x14ac:dyDescent="0.25">
      <c r="A1486" s="17">
        <v>1482</v>
      </c>
      <c r="B1486" s="6" t="s">
        <v>1519</v>
      </c>
      <c r="C1486" s="6" t="s">
        <v>37</v>
      </c>
      <c r="D1486" s="6" t="s">
        <v>20</v>
      </c>
      <c r="E1486" s="6" t="s">
        <v>21</v>
      </c>
      <c r="F1486" s="6" t="s">
        <v>14</v>
      </c>
      <c r="G1486" s="7">
        <v>46229</v>
      </c>
      <c r="H1486" s="6">
        <v>6</v>
      </c>
      <c r="I1486" s="7">
        <v>46234</v>
      </c>
      <c r="J1486" s="7">
        <f t="shared" si="70"/>
        <v>46235</v>
      </c>
      <c r="K1486" s="8">
        <v>90</v>
      </c>
      <c r="L1486" s="9">
        <f t="shared" si="69"/>
        <v>0</v>
      </c>
      <c r="M1486" s="9" t="str" cm="1">
        <f t="array" ref="M1486">_xlfn.IFS(L1486&gt;=10,"HIGH",L1486=0,"LOW",L1486&lt;=9,"MEDIUM")</f>
        <v>LOW</v>
      </c>
      <c r="N1486" s="9" t="str" cm="1">
        <f t="array" ref="N1486">_xlfn.IFS(M1486="HIGH",K1486*L1486,M1486="MEDIUM",K1486*L1486,M1486="LOW","NA")</f>
        <v>NA</v>
      </c>
      <c r="O1486" s="18" t="str">
        <f t="shared" si="71"/>
        <v>cleared</v>
      </c>
    </row>
    <row r="1487" spans="1:15" x14ac:dyDescent="0.25">
      <c r="A1487" s="17">
        <v>1483</v>
      </c>
      <c r="B1487" s="6" t="s">
        <v>1520</v>
      </c>
      <c r="C1487" s="6" t="s">
        <v>11</v>
      </c>
      <c r="D1487" s="6" t="s">
        <v>20</v>
      </c>
      <c r="E1487" s="6" t="s">
        <v>35</v>
      </c>
      <c r="F1487" s="6" t="s">
        <v>29</v>
      </c>
      <c r="G1487" s="7">
        <v>46220</v>
      </c>
      <c r="H1487" s="6">
        <v>4</v>
      </c>
      <c r="I1487" s="6"/>
      <c r="J1487" s="7">
        <f t="shared" si="70"/>
        <v>46224</v>
      </c>
      <c r="K1487" s="8">
        <v>180</v>
      </c>
      <c r="L1487" s="9">
        <f t="shared" si="69"/>
        <v>35</v>
      </c>
      <c r="M1487" s="9" t="str" cm="1">
        <f t="array" ref="M1487">_xlfn.IFS(L1487&gt;=10,"HIGH",L1487=0,"LOW",L1487&lt;=9,"MEDIUM")</f>
        <v>HIGH</v>
      </c>
      <c r="N1487" s="9" cm="1">
        <f t="array" ref="N1487">_xlfn.IFS(M1487="HIGH",K1487*L1487,M1487="MEDIUM",K1487*L1487,M1487="LOW","NA")</f>
        <v>6300</v>
      </c>
      <c r="O1487" s="18" t="str">
        <f t="shared" si="71"/>
        <v>still in yard</v>
      </c>
    </row>
    <row r="1488" spans="1:15" x14ac:dyDescent="0.25">
      <c r="A1488" s="17">
        <v>1484</v>
      </c>
      <c r="B1488" s="6" t="s">
        <v>1521</v>
      </c>
      <c r="C1488" s="6" t="s">
        <v>33</v>
      </c>
      <c r="D1488" s="6" t="s">
        <v>54</v>
      </c>
      <c r="E1488" s="6" t="s">
        <v>42</v>
      </c>
      <c r="F1488" s="6" t="s">
        <v>27</v>
      </c>
      <c r="G1488" s="7">
        <v>46175</v>
      </c>
      <c r="H1488" s="6">
        <v>4</v>
      </c>
      <c r="I1488" s="7">
        <v>46176</v>
      </c>
      <c r="J1488" s="7">
        <f t="shared" si="70"/>
        <v>46179</v>
      </c>
      <c r="K1488" s="8">
        <v>60</v>
      </c>
      <c r="L1488" s="9">
        <f t="shared" si="69"/>
        <v>0</v>
      </c>
      <c r="M1488" s="9" t="str" cm="1">
        <f t="array" ref="M1488">_xlfn.IFS(L1488&gt;=10,"HIGH",L1488=0,"LOW",L1488&lt;=9,"MEDIUM")</f>
        <v>LOW</v>
      </c>
      <c r="N1488" s="9" t="str" cm="1">
        <f t="array" ref="N1488">_xlfn.IFS(M1488="HIGH",K1488*L1488,M1488="MEDIUM",K1488*L1488,M1488="LOW","NA")</f>
        <v>NA</v>
      </c>
      <c r="O1488" s="18" t="str">
        <f t="shared" si="71"/>
        <v>cleared</v>
      </c>
    </row>
    <row r="1489" spans="1:15" x14ac:dyDescent="0.25">
      <c r="A1489" s="17">
        <v>1485</v>
      </c>
      <c r="B1489" s="6" t="s">
        <v>1522</v>
      </c>
      <c r="C1489" s="6" t="s">
        <v>11</v>
      </c>
      <c r="D1489" s="6" t="s">
        <v>26</v>
      </c>
      <c r="E1489" s="6" t="s">
        <v>21</v>
      </c>
      <c r="F1489" s="6" t="s">
        <v>27</v>
      </c>
      <c r="G1489" s="7">
        <v>46217</v>
      </c>
      <c r="H1489" s="6">
        <v>5</v>
      </c>
      <c r="I1489" s="7">
        <v>46218</v>
      </c>
      <c r="J1489" s="7">
        <f t="shared" si="70"/>
        <v>46222</v>
      </c>
      <c r="K1489" s="8">
        <v>130</v>
      </c>
      <c r="L1489" s="9">
        <f t="shared" si="69"/>
        <v>0</v>
      </c>
      <c r="M1489" s="9" t="str" cm="1">
        <f t="array" ref="M1489">_xlfn.IFS(L1489&gt;=10,"HIGH",L1489=0,"LOW",L1489&lt;=9,"MEDIUM")</f>
        <v>LOW</v>
      </c>
      <c r="N1489" s="9" t="str" cm="1">
        <f t="array" ref="N1489">_xlfn.IFS(M1489="HIGH",K1489*L1489,M1489="MEDIUM",K1489*L1489,M1489="LOW","NA")</f>
        <v>NA</v>
      </c>
      <c r="O1489" s="18" t="str">
        <f t="shared" si="71"/>
        <v>cleared</v>
      </c>
    </row>
    <row r="1490" spans="1:15" x14ac:dyDescent="0.25">
      <c r="A1490" s="17">
        <v>1486</v>
      </c>
      <c r="B1490" s="6" t="s">
        <v>1523</v>
      </c>
      <c r="C1490" s="6" t="s">
        <v>11</v>
      </c>
      <c r="D1490" s="6" t="s">
        <v>26</v>
      </c>
      <c r="E1490" s="6" t="s">
        <v>13</v>
      </c>
      <c r="F1490" s="6" t="s">
        <v>24</v>
      </c>
      <c r="G1490" s="7">
        <v>46224</v>
      </c>
      <c r="H1490" s="6">
        <v>5</v>
      </c>
      <c r="I1490" s="6"/>
      <c r="J1490" s="7">
        <f t="shared" si="70"/>
        <v>46229</v>
      </c>
      <c r="K1490" s="8">
        <v>130</v>
      </c>
      <c r="L1490" s="9">
        <f t="shared" si="69"/>
        <v>30</v>
      </c>
      <c r="M1490" s="9" t="str" cm="1">
        <f t="array" ref="M1490">_xlfn.IFS(L1490&gt;=10,"HIGH",L1490=0,"LOW",L1490&lt;=9,"MEDIUM")</f>
        <v>HIGH</v>
      </c>
      <c r="N1490" s="9" cm="1">
        <f t="array" ref="N1490">_xlfn.IFS(M1490="HIGH",K1490*L1490,M1490="MEDIUM",K1490*L1490,M1490="LOW","NA")</f>
        <v>3900</v>
      </c>
      <c r="O1490" s="18" t="str">
        <f t="shared" si="71"/>
        <v>still in yard</v>
      </c>
    </row>
    <row r="1491" spans="1:15" x14ac:dyDescent="0.25">
      <c r="A1491" s="17">
        <v>1487</v>
      </c>
      <c r="B1491" s="6" t="s">
        <v>1524</v>
      </c>
      <c r="C1491" s="6" t="s">
        <v>16</v>
      </c>
      <c r="D1491" s="6" t="s">
        <v>20</v>
      </c>
      <c r="E1491" s="6" t="s">
        <v>35</v>
      </c>
      <c r="F1491" s="6" t="s">
        <v>14</v>
      </c>
      <c r="G1491" s="7">
        <v>46223</v>
      </c>
      <c r="H1491" s="6">
        <v>5</v>
      </c>
      <c r="I1491" s="7">
        <v>46226</v>
      </c>
      <c r="J1491" s="7">
        <f t="shared" si="70"/>
        <v>46228</v>
      </c>
      <c r="K1491" s="8">
        <v>60</v>
      </c>
      <c r="L1491" s="9">
        <f t="shared" si="69"/>
        <v>0</v>
      </c>
      <c r="M1491" s="9" t="str" cm="1">
        <f t="array" ref="M1491">_xlfn.IFS(L1491&gt;=10,"HIGH",L1491=0,"LOW",L1491&lt;=9,"MEDIUM")</f>
        <v>LOW</v>
      </c>
      <c r="N1491" s="9" t="str" cm="1">
        <f t="array" ref="N1491">_xlfn.IFS(M1491="HIGH",K1491*L1491,M1491="MEDIUM",K1491*L1491,M1491="LOW","NA")</f>
        <v>NA</v>
      </c>
      <c r="O1491" s="18" t="str">
        <f t="shared" si="71"/>
        <v>cleared</v>
      </c>
    </row>
    <row r="1492" spans="1:15" x14ac:dyDescent="0.25">
      <c r="A1492" s="17">
        <v>1488</v>
      </c>
      <c r="B1492" s="6" t="s">
        <v>1525</v>
      </c>
      <c r="C1492" s="6" t="s">
        <v>33</v>
      </c>
      <c r="D1492" s="6" t="s">
        <v>54</v>
      </c>
      <c r="E1492" s="6" t="s">
        <v>21</v>
      </c>
      <c r="F1492" s="6" t="s">
        <v>24</v>
      </c>
      <c r="G1492" s="7">
        <v>46178</v>
      </c>
      <c r="H1492" s="6">
        <v>4</v>
      </c>
      <c r="I1492" s="6"/>
      <c r="J1492" s="7">
        <f t="shared" si="70"/>
        <v>46182</v>
      </c>
      <c r="K1492" s="8">
        <v>60</v>
      </c>
      <c r="L1492" s="9">
        <f t="shared" si="69"/>
        <v>77</v>
      </c>
      <c r="M1492" s="9" t="str" cm="1">
        <f t="array" ref="M1492">_xlfn.IFS(L1492&gt;=10,"HIGH",L1492=0,"LOW",L1492&lt;=9,"MEDIUM")</f>
        <v>HIGH</v>
      </c>
      <c r="N1492" s="9" cm="1">
        <f t="array" ref="N1492">_xlfn.IFS(M1492="HIGH",K1492*L1492,M1492="MEDIUM",K1492*L1492,M1492="LOW","NA")</f>
        <v>4620</v>
      </c>
      <c r="O1492" s="18" t="str">
        <f t="shared" si="71"/>
        <v>still in yard</v>
      </c>
    </row>
    <row r="1493" spans="1:15" x14ac:dyDescent="0.25">
      <c r="A1493" s="17">
        <v>1489</v>
      </c>
      <c r="B1493" s="6" t="s">
        <v>1526</v>
      </c>
      <c r="C1493" s="6" t="s">
        <v>37</v>
      </c>
      <c r="D1493" s="6" t="s">
        <v>34</v>
      </c>
      <c r="E1493" s="6" t="s">
        <v>39</v>
      </c>
      <c r="F1493" s="6" t="s">
        <v>14</v>
      </c>
      <c r="G1493" s="7">
        <v>46169</v>
      </c>
      <c r="H1493" s="6">
        <v>5</v>
      </c>
      <c r="I1493" s="7">
        <v>46172</v>
      </c>
      <c r="J1493" s="7">
        <f t="shared" si="70"/>
        <v>46174</v>
      </c>
      <c r="K1493" s="8">
        <v>60</v>
      </c>
      <c r="L1493" s="9">
        <f t="shared" si="69"/>
        <v>0</v>
      </c>
      <c r="M1493" s="9" t="str" cm="1">
        <f t="array" ref="M1493">_xlfn.IFS(L1493&gt;=10,"HIGH",L1493=0,"LOW",L1493&lt;=9,"MEDIUM")</f>
        <v>LOW</v>
      </c>
      <c r="N1493" s="9" t="str" cm="1">
        <f t="array" ref="N1493">_xlfn.IFS(M1493="HIGH",K1493*L1493,M1493="MEDIUM",K1493*L1493,M1493="LOW","NA")</f>
        <v>NA</v>
      </c>
      <c r="O1493" s="18" t="str">
        <f t="shared" si="71"/>
        <v>cleared</v>
      </c>
    </row>
    <row r="1494" spans="1:15" x14ac:dyDescent="0.25">
      <c r="A1494" s="17">
        <v>1490</v>
      </c>
      <c r="B1494" s="6" t="s">
        <v>1527</v>
      </c>
      <c r="C1494" s="6" t="s">
        <v>37</v>
      </c>
      <c r="D1494" s="6" t="s">
        <v>54</v>
      </c>
      <c r="E1494" s="6" t="s">
        <v>23</v>
      </c>
      <c r="F1494" s="6" t="s">
        <v>27</v>
      </c>
      <c r="G1494" s="7">
        <v>46179</v>
      </c>
      <c r="H1494" s="6">
        <v>7</v>
      </c>
      <c r="I1494" s="7">
        <v>46188</v>
      </c>
      <c r="J1494" s="7">
        <f t="shared" si="70"/>
        <v>46186</v>
      </c>
      <c r="K1494" s="8">
        <v>60</v>
      </c>
      <c r="L1494" s="9">
        <f t="shared" si="69"/>
        <v>2</v>
      </c>
      <c r="M1494" s="9" t="str" cm="1">
        <f t="array" ref="M1494">_xlfn.IFS(L1494&gt;=10,"HIGH",L1494=0,"LOW",L1494&lt;=9,"MEDIUM")</f>
        <v>MEDIUM</v>
      </c>
      <c r="N1494" s="9" cm="1">
        <f t="array" ref="N1494">_xlfn.IFS(M1494="HIGH",K1494*L1494,M1494="MEDIUM",K1494*L1494,M1494="LOW","NA")</f>
        <v>120</v>
      </c>
      <c r="O1494" s="18" t="str">
        <f t="shared" si="71"/>
        <v>cleared</v>
      </c>
    </row>
    <row r="1495" spans="1:15" x14ac:dyDescent="0.25">
      <c r="A1495" s="17">
        <v>1491</v>
      </c>
      <c r="B1495" s="6" t="s">
        <v>1528</v>
      </c>
      <c r="C1495" s="6" t="s">
        <v>33</v>
      </c>
      <c r="D1495" s="6" t="s">
        <v>34</v>
      </c>
      <c r="E1495" s="6" t="s">
        <v>61</v>
      </c>
      <c r="F1495" s="6" t="s">
        <v>29</v>
      </c>
      <c r="G1495" s="7">
        <v>46225</v>
      </c>
      <c r="H1495" s="6">
        <v>4</v>
      </c>
      <c r="I1495" s="6"/>
      <c r="J1495" s="7">
        <f t="shared" si="70"/>
        <v>46229</v>
      </c>
      <c r="K1495" s="8">
        <v>150</v>
      </c>
      <c r="L1495" s="9">
        <f t="shared" si="69"/>
        <v>30</v>
      </c>
      <c r="M1495" s="9" t="str" cm="1">
        <f t="array" ref="M1495">_xlfn.IFS(L1495&gt;=10,"HIGH",L1495=0,"LOW",L1495&lt;=9,"MEDIUM")</f>
        <v>HIGH</v>
      </c>
      <c r="N1495" s="9" cm="1">
        <f t="array" ref="N1495">_xlfn.IFS(M1495="HIGH",K1495*L1495,M1495="MEDIUM",K1495*L1495,M1495="LOW","NA")</f>
        <v>4500</v>
      </c>
      <c r="O1495" s="18" t="str">
        <f t="shared" si="71"/>
        <v>still in yard</v>
      </c>
    </row>
    <row r="1496" spans="1:15" x14ac:dyDescent="0.25">
      <c r="A1496" s="17">
        <v>1492</v>
      </c>
      <c r="B1496" s="6" t="s">
        <v>1529</v>
      </c>
      <c r="C1496" s="6" t="s">
        <v>37</v>
      </c>
      <c r="D1496" s="6" t="s">
        <v>12</v>
      </c>
      <c r="E1496" s="6" t="s">
        <v>61</v>
      </c>
      <c r="F1496" s="6" t="s">
        <v>24</v>
      </c>
      <c r="G1496" s="7">
        <v>46253</v>
      </c>
      <c r="H1496" s="6">
        <v>5</v>
      </c>
      <c r="I1496" s="7">
        <v>46259</v>
      </c>
      <c r="J1496" s="7">
        <f t="shared" si="70"/>
        <v>46258</v>
      </c>
      <c r="K1496" s="8">
        <v>110</v>
      </c>
      <c r="L1496" s="9">
        <f t="shared" si="69"/>
        <v>1</v>
      </c>
      <c r="M1496" s="9" t="str" cm="1">
        <f t="array" ref="M1496">_xlfn.IFS(L1496&gt;=10,"HIGH",L1496=0,"LOW",L1496&lt;=9,"MEDIUM")</f>
        <v>MEDIUM</v>
      </c>
      <c r="N1496" s="9" cm="1">
        <f t="array" ref="N1496">_xlfn.IFS(M1496="HIGH",K1496*L1496,M1496="MEDIUM",K1496*L1496,M1496="LOW","NA")</f>
        <v>110</v>
      </c>
      <c r="O1496" s="18" t="str">
        <f t="shared" si="71"/>
        <v>cleared</v>
      </c>
    </row>
    <row r="1497" spans="1:15" x14ac:dyDescent="0.25">
      <c r="A1497" s="17">
        <v>1493</v>
      </c>
      <c r="B1497" s="6" t="s">
        <v>1530</v>
      </c>
      <c r="C1497" s="6" t="s">
        <v>33</v>
      </c>
      <c r="D1497" s="6" t="s">
        <v>17</v>
      </c>
      <c r="E1497" s="6" t="s">
        <v>39</v>
      </c>
      <c r="F1497" s="6" t="s">
        <v>27</v>
      </c>
      <c r="G1497" s="7">
        <v>46194</v>
      </c>
      <c r="H1497" s="6">
        <v>5</v>
      </c>
      <c r="I1497" s="7">
        <v>46198</v>
      </c>
      <c r="J1497" s="7">
        <f t="shared" si="70"/>
        <v>46199</v>
      </c>
      <c r="K1497" s="8">
        <v>110</v>
      </c>
      <c r="L1497" s="9">
        <f t="shared" si="69"/>
        <v>0</v>
      </c>
      <c r="M1497" s="9" t="str" cm="1">
        <f t="array" ref="M1497">_xlfn.IFS(L1497&gt;=10,"HIGH",L1497=0,"LOW",L1497&lt;=9,"MEDIUM")</f>
        <v>LOW</v>
      </c>
      <c r="N1497" s="9" t="str" cm="1">
        <f t="array" ref="N1497">_xlfn.IFS(M1497="HIGH",K1497*L1497,M1497="MEDIUM",K1497*L1497,M1497="LOW","NA")</f>
        <v>NA</v>
      </c>
      <c r="O1497" s="18" t="str">
        <f t="shared" si="71"/>
        <v>cleared</v>
      </c>
    </row>
    <row r="1498" spans="1:15" x14ac:dyDescent="0.25">
      <c r="A1498" s="17">
        <v>1494</v>
      </c>
      <c r="B1498" s="6" t="s">
        <v>1531</v>
      </c>
      <c r="C1498" s="6" t="s">
        <v>37</v>
      </c>
      <c r="D1498" s="6" t="s">
        <v>20</v>
      </c>
      <c r="E1498" s="6" t="s">
        <v>42</v>
      </c>
      <c r="F1498" s="6" t="s">
        <v>29</v>
      </c>
      <c r="G1498" s="7">
        <v>46187</v>
      </c>
      <c r="H1498" s="6">
        <v>4</v>
      </c>
      <c r="I1498" s="7">
        <v>46188</v>
      </c>
      <c r="J1498" s="7">
        <f t="shared" si="70"/>
        <v>46191</v>
      </c>
      <c r="K1498" s="8">
        <v>120</v>
      </c>
      <c r="L1498" s="9">
        <f t="shared" si="69"/>
        <v>0</v>
      </c>
      <c r="M1498" s="9" t="str" cm="1">
        <f t="array" ref="M1498">_xlfn.IFS(L1498&gt;=10,"HIGH",L1498=0,"LOW",L1498&lt;=9,"MEDIUM")</f>
        <v>LOW</v>
      </c>
      <c r="N1498" s="9" t="str" cm="1">
        <f t="array" ref="N1498">_xlfn.IFS(M1498="HIGH",K1498*L1498,M1498="MEDIUM",K1498*L1498,M1498="LOW","NA")</f>
        <v>NA</v>
      </c>
      <c r="O1498" s="18" t="str">
        <f t="shared" si="71"/>
        <v>cleared</v>
      </c>
    </row>
    <row r="1499" spans="1:15" x14ac:dyDescent="0.25">
      <c r="A1499" s="17">
        <v>1495</v>
      </c>
      <c r="B1499" s="6" t="s">
        <v>1532</v>
      </c>
      <c r="C1499" s="6" t="s">
        <v>16</v>
      </c>
      <c r="D1499" s="6" t="s">
        <v>49</v>
      </c>
      <c r="E1499" s="6" t="s">
        <v>61</v>
      </c>
      <c r="F1499" s="6" t="s">
        <v>29</v>
      </c>
      <c r="G1499" s="7">
        <v>46240</v>
      </c>
      <c r="H1499" s="6">
        <v>4</v>
      </c>
      <c r="I1499" s="7">
        <v>46245</v>
      </c>
      <c r="J1499" s="7">
        <f t="shared" si="70"/>
        <v>46244</v>
      </c>
      <c r="K1499" s="8">
        <v>120</v>
      </c>
      <c r="L1499" s="9">
        <f t="shared" si="69"/>
        <v>1</v>
      </c>
      <c r="M1499" s="9" t="str" cm="1">
        <f t="array" ref="M1499">_xlfn.IFS(L1499&gt;=10,"HIGH",L1499=0,"LOW",L1499&lt;=9,"MEDIUM")</f>
        <v>MEDIUM</v>
      </c>
      <c r="N1499" s="9" cm="1">
        <f t="array" ref="N1499">_xlfn.IFS(M1499="HIGH",K1499*L1499,M1499="MEDIUM",K1499*L1499,M1499="LOW","NA")</f>
        <v>120</v>
      </c>
      <c r="O1499" s="18" t="str">
        <f t="shared" si="71"/>
        <v>cleared</v>
      </c>
    </row>
    <row r="1500" spans="1:15" x14ac:dyDescent="0.25">
      <c r="A1500" s="17">
        <v>1496</v>
      </c>
      <c r="B1500" s="6" t="s">
        <v>1533</v>
      </c>
      <c r="C1500" s="6" t="s">
        <v>33</v>
      </c>
      <c r="D1500" s="6" t="s">
        <v>49</v>
      </c>
      <c r="E1500" s="6" t="s">
        <v>21</v>
      </c>
      <c r="F1500" s="6" t="s">
        <v>29</v>
      </c>
      <c r="G1500" s="7">
        <v>46233</v>
      </c>
      <c r="H1500" s="6">
        <v>4</v>
      </c>
      <c r="I1500" s="7">
        <v>46235</v>
      </c>
      <c r="J1500" s="7">
        <f t="shared" si="70"/>
        <v>46237</v>
      </c>
      <c r="K1500" s="8">
        <v>180</v>
      </c>
      <c r="L1500" s="9">
        <f t="shared" si="69"/>
        <v>0</v>
      </c>
      <c r="M1500" s="9" t="str" cm="1">
        <f t="array" ref="M1500">_xlfn.IFS(L1500&gt;=10,"HIGH",L1500=0,"LOW",L1500&lt;=9,"MEDIUM")</f>
        <v>LOW</v>
      </c>
      <c r="N1500" s="9" t="str" cm="1">
        <f t="array" ref="N1500">_xlfn.IFS(M1500="HIGH",K1500*L1500,M1500="MEDIUM",K1500*L1500,M1500="LOW","NA")</f>
        <v>NA</v>
      </c>
      <c r="O1500" s="18" t="str">
        <f t="shared" si="71"/>
        <v>cleared</v>
      </c>
    </row>
    <row r="1501" spans="1:15" x14ac:dyDescent="0.25">
      <c r="A1501" s="17">
        <v>1497</v>
      </c>
      <c r="B1501" s="6" t="s">
        <v>1534</v>
      </c>
      <c r="C1501" s="6" t="s">
        <v>11</v>
      </c>
      <c r="D1501" s="6" t="s">
        <v>20</v>
      </c>
      <c r="E1501" s="6" t="s">
        <v>46</v>
      </c>
      <c r="F1501" s="6" t="s">
        <v>14</v>
      </c>
      <c r="G1501" s="7">
        <v>46244</v>
      </c>
      <c r="H1501" s="6">
        <v>5</v>
      </c>
      <c r="I1501" s="7">
        <v>46251</v>
      </c>
      <c r="J1501" s="7">
        <f t="shared" si="70"/>
        <v>46249</v>
      </c>
      <c r="K1501" s="8">
        <v>60</v>
      </c>
      <c r="L1501" s="9">
        <f t="shared" si="69"/>
        <v>2</v>
      </c>
      <c r="M1501" s="9" t="str" cm="1">
        <f t="array" ref="M1501">_xlfn.IFS(L1501&gt;=10,"HIGH",L1501=0,"LOW",L1501&lt;=9,"MEDIUM")</f>
        <v>MEDIUM</v>
      </c>
      <c r="N1501" s="9" cm="1">
        <f t="array" ref="N1501">_xlfn.IFS(M1501="HIGH",K1501*L1501,M1501="MEDIUM",K1501*L1501,M1501="LOW","NA")</f>
        <v>120</v>
      </c>
      <c r="O1501" s="18" t="str">
        <f t="shared" si="71"/>
        <v>cleared</v>
      </c>
    </row>
    <row r="1502" spans="1:15" x14ac:dyDescent="0.25">
      <c r="A1502" s="17">
        <v>1498</v>
      </c>
      <c r="B1502" s="6" t="s">
        <v>1535</v>
      </c>
      <c r="C1502" s="6" t="s">
        <v>37</v>
      </c>
      <c r="D1502" s="6" t="s">
        <v>20</v>
      </c>
      <c r="E1502" s="6" t="s">
        <v>61</v>
      </c>
      <c r="F1502" s="6" t="s">
        <v>14</v>
      </c>
      <c r="G1502" s="7">
        <v>46216</v>
      </c>
      <c r="H1502" s="6">
        <v>7</v>
      </c>
      <c r="I1502" s="7">
        <v>46227</v>
      </c>
      <c r="J1502" s="7">
        <f t="shared" si="70"/>
        <v>46223</v>
      </c>
      <c r="K1502" s="8">
        <v>75</v>
      </c>
      <c r="L1502" s="9">
        <f t="shared" si="69"/>
        <v>4</v>
      </c>
      <c r="M1502" s="9" t="str" cm="1">
        <f t="array" ref="M1502">_xlfn.IFS(L1502&gt;=10,"HIGH",L1502=0,"LOW",L1502&lt;=9,"MEDIUM")</f>
        <v>MEDIUM</v>
      </c>
      <c r="N1502" s="9" cm="1">
        <f t="array" ref="N1502">_xlfn.IFS(M1502="HIGH",K1502*L1502,M1502="MEDIUM",K1502*L1502,M1502="LOW","NA")</f>
        <v>300</v>
      </c>
      <c r="O1502" s="18" t="str">
        <f t="shared" si="71"/>
        <v>cleared</v>
      </c>
    </row>
    <row r="1503" spans="1:15" x14ac:dyDescent="0.25">
      <c r="A1503" s="17">
        <v>1499</v>
      </c>
      <c r="B1503" s="6" t="s">
        <v>1536</v>
      </c>
      <c r="C1503" s="6" t="s">
        <v>16</v>
      </c>
      <c r="D1503" s="6" t="s">
        <v>31</v>
      </c>
      <c r="E1503" s="6" t="s">
        <v>46</v>
      </c>
      <c r="F1503" s="6" t="s">
        <v>27</v>
      </c>
      <c r="G1503" s="7">
        <v>46207</v>
      </c>
      <c r="H1503" s="6">
        <v>5</v>
      </c>
      <c r="I1503" s="7">
        <v>46211</v>
      </c>
      <c r="J1503" s="7">
        <f t="shared" si="70"/>
        <v>46212</v>
      </c>
      <c r="K1503" s="8">
        <v>60</v>
      </c>
      <c r="L1503" s="9">
        <f t="shared" si="69"/>
        <v>0</v>
      </c>
      <c r="M1503" s="9" t="str" cm="1">
        <f t="array" ref="M1503">_xlfn.IFS(L1503&gt;=10,"HIGH",L1503=0,"LOW",L1503&lt;=9,"MEDIUM")</f>
        <v>LOW</v>
      </c>
      <c r="N1503" s="9" t="str" cm="1">
        <f t="array" ref="N1503">_xlfn.IFS(M1503="HIGH",K1503*L1503,M1503="MEDIUM",K1503*L1503,M1503="LOW","NA")</f>
        <v>NA</v>
      </c>
      <c r="O1503" s="18" t="str">
        <f t="shared" si="71"/>
        <v>cleared</v>
      </c>
    </row>
    <row r="1504" spans="1:15" x14ac:dyDescent="0.25">
      <c r="A1504" s="22">
        <v>1500</v>
      </c>
      <c r="B1504" s="23" t="s">
        <v>1537</v>
      </c>
      <c r="C1504" s="23" t="s">
        <v>11</v>
      </c>
      <c r="D1504" s="23" t="s">
        <v>34</v>
      </c>
      <c r="E1504" s="23" t="s">
        <v>18</v>
      </c>
      <c r="F1504" s="23" t="s">
        <v>14</v>
      </c>
      <c r="G1504" s="24">
        <v>46207</v>
      </c>
      <c r="H1504" s="23">
        <v>5</v>
      </c>
      <c r="I1504" s="23"/>
      <c r="J1504" s="24">
        <f t="shared" si="70"/>
        <v>46212</v>
      </c>
      <c r="K1504" s="25">
        <v>60</v>
      </c>
      <c r="L1504" s="9">
        <f t="shared" si="69"/>
        <v>47</v>
      </c>
      <c r="M1504" s="10" t="str" cm="1">
        <f t="array" ref="M1504">_xlfn.IFS(L1504&gt;=10,"HIGH",L1504=0,"LOW",L1504&lt;=9,"MEDIUM")</f>
        <v>HIGH</v>
      </c>
      <c r="N1504" s="10" cm="1">
        <f t="array" ref="N1504">_xlfn.IFS(M1504="HIGH",K1504*L1504,M1504="MEDIUM",K1504*L1504,M1504="LOW","NA")</f>
        <v>2820</v>
      </c>
      <c r="O1504" s="26" t="str">
        <f t="shared" si="71"/>
        <v>still in yard</v>
      </c>
    </row>
    <row r="1506" spans="2:14" x14ac:dyDescent="0.25">
      <c r="B1506" s="3" t="s">
        <v>1538</v>
      </c>
    </row>
    <row r="1507" spans="2:14" x14ac:dyDescent="0.25">
      <c r="B1507" s="3" t="s">
        <v>1539</v>
      </c>
    </row>
    <row r="1514" spans="2:14" x14ac:dyDescent="0.25">
      <c r="N1514" s="13"/>
    </row>
  </sheetData>
  <sortState xmlns:xlrd2="http://schemas.microsoft.com/office/spreadsheetml/2017/richdata2" ref="R8:R11">
    <sortCondition ref="R8:R11"/>
  </sortState>
  <mergeCells count="1">
    <mergeCell ref="B1:K1"/>
  </mergeCells>
  <conditionalFormatting sqref="A4">
    <cfRule type="duplicateValues" dxfId="1" priority="1"/>
  </conditionalFormatting>
  <conditionalFormatting sqref="B1:B1048576">
    <cfRule type="duplicateValues" dxfId="0" priority="2"/>
  </conditionalFormatting>
  <pageMargins left="0.75" right="0.75" top="1" bottom="1" header="0.5" footer="0.5"/>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EBDC3-393C-4E64-AE0F-8C554B8ACEE2}">
  <sheetPr codeName="Sheet2"/>
  <dimension ref="A2:I16"/>
  <sheetViews>
    <sheetView workbookViewId="0">
      <selection activeCell="G3" sqref="G3"/>
    </sheetView>
  </sheetViews>
  <sheetFormatPr defaultRowHeight="15" x14ac:dyDescent="0.25"/>
  <cols>
    <col min="2" max="2" width="14.7109375" bestFit="1" customWidth="1"/>
    <col min="3" max="4" width="18.5703125" bestFit="1" customWidth="1"/>
    <col min="5" max="5" width="29" bestFit="1" customWidth="1"/>
    <col min="6" max="6" width="43.140625" bestFit="1" customWidth="1"/>
    <col min="7" max="7" width="17.5703125" bestFit="1" customWidth="1"/>
  </cols>
  <sheetData>
    <row r="2" spans="1:9" x14ac:dyDescent="0.25">
      <c r="A2" s="28" t="s">
        <v>1558</v>
      </c>
      <c r="B2" s="28" t="s">
        <v>1554</v>
      </c>
      <c r="C2" s="28" t="s">
        <v>1555</v>
      </c>
      <c r="D2" s="28" t="s">
        <v>1556</v>
      </c>
      <c r="E2" s="28" t="s">
        <v>1557</v>
      </c>
      <c r="F2" s="28" t="s">
        <v>1572</v>
      </c>
      <c r="G2" s="28" t="s">
        <v>1570</v>
      </c>
    </row>
    <row r="3" spans="1:9" x14ac:dyDescent="0.25">
      <c r="A3" s="9">
        <v>1</v>
      </c>
      <c r="B3" s="6" t="s">
        <v>16</v>
      </c>
      <c r="C3" s="9">
        <f>COUNTIFS('Raw Data'!$C$5:$C$1504,B3)</f>
        <v>364</v>
      </c>
      <c r="D3" s="9">
        <f>AVERAGEIF('Raw Data'!$C$5:$C$1504,B3,'Raw Data'!$L$5:$L$1504)</f>
        <v>14.717032967032967</v>
      </c>
      <c r="E3" s="9">
        <f>COUNTIFS('Raw Data'!$C$5:$C$1504,B3,'Raw Data'!$M$5:$M$1504,"HIGH")</f>
        <v>101</v>
      </c>
      <c r="F3" s="9">
        <f>SUMIFS('Raw Data'!$N$5:$N$1504,'Raw Data'!$C$5:$C$1504,B3,'Raw Data'!$M$5:$M$1504,"HIGH")</f>
        <v>565650</v>
      </c>
      <c r="G3" s="27">
        <f>E3/C3</f>
        <v>0.27747252747252749</v>
      </c>
      <c r="I3" s="13"/>
    </row>
    <row r="4" spans="1:9" x14ac:dyDescent="0.25">
      <c r="A4" s="9">
        <v>2</v>
      </c>
      <c r="B4" s="6" t="s">
        <v>37</v>
      </c>
      <c r="C4" s="9">
        <f>COUNTIFS('Raw Data'!$C$5:$C$1505,B4)</f>
        <v>361</v>
      </c>
      <c r="D4" s="9">
        <f>AVERAGEIF('Raw Data'!$C$5:$C$1505,B4,'Raw Data'!$L$5:$L$1505)</f>
        <v>14.750692520775623</v>
      </c>
      <c r="E4" s="9">
        <f>COUNTIFS('Raw Data'!$C$5:$C$1505,B4,'Raw Data'!$M$5:$M$1505,"HIGH")</f>
        <v>104</v>
      </c>
      <c r="F4" s="9">
        <f>SUMIFS('Raw Data'!$N$5:$N$1504,'Raw Data'!$C$5:$C$1504,B4,'Raw Data'!$M$5:$M$1504,"HIGH")</f>
        <v>526605</v>
      </c>
      <c r="G4" s="27">
        <f t="shared" ref="G4:G6" si="0">E4/C4</f>
        <v>0.2880886426592798</v>
      </c>
    </row>
    <row r="5" spans="1:9" x14ac:dyDescent="0.25">
      <c r="A5" s="9">
        <v>3</v>
      </c>
      <c r="B5" s="6" t="s">
        <v>11</v>
      </c>
      <c r="C5" s="9">
        <f>COUNTIFS('Raw Data'!$C$5:$C$1506,B5)</f>
        <v>385</v>
      </c>
      <c r="D5" s="9">
        <f>AVERAGEIF('Raw Data'!$C$5:$C$1506,B5,'Raw Data'!$L$5:$L$1506)</f>
        <v>13.153246753246753</v>
      </c>
      <c r="E5" s="9">
        <f>COUNTIFS('Raw Data'!$C$5:$C$1506,B5,'Raw Data'!$M$5:$M$1506,"HIGH")</f>
        <v>96</v>
      </c>
      <c r="F5" s="9">
        <f>SUMIFS('Raw Data'!$N$5:$N$1504,'Raw Data'!$C$5:$C$1504,B5,'Raw Data'!$M$5:$M$1504,"HIGH")</f>
        <v>521685</v>
      </c>
      <c r="G5" s="27">
        <f t="shared" si="0"/>
        <v>0.24935064935064935</v>
      </c>
    </row>
    <row r="6" spans="1:9" x14ac:dyDescent="0.25">
      <c r="A6" s="9">
        <v>4</v>
      </c>
      <c r="B6" s="6" t="s">
        <v>33</v>
      </c>
      <c r="C6" s="9">
        <f>COUNTIFS('Raw Data'!$C$5:$C$1507,B6)</f>
        <v>390</v>
      </c>
      <c r="D6" s="9">
        <f>AVERAGEIF('Raw Data'!$C$5:$C$1507,B6,'Raw Data'!$L$5:$L$1507)</f>
        <v>13.151282051282051</v>
      </c>
      <c r="E6" s="9">
        <f>COUNTIFS('Raw Data'!$C$5:$C$1507,B6,'Raw Data'!$M$5:$M$1507,"HIGH")</f>
        <v>104</v>
      </c>
      <c r="F6" s="9">
        <f>SUMIFS('Raw Data'!$N$5:$N$1504,'Raw Data'!$C$5:$C$1504,B6,'Raw Data'!$M$5:$M$1504,"HIGH")</f>
        <v>536175</v>
      </c>
      <c r="G6" s="27">
        <f t="shared" si="0"/>
        <v>0.26666666666666666</v>
      </c>
    </row>
    <row r="14" spans="1:9" x14ac:dyDescent="0.25">
      <c r="E14" s="13"/>
    </row>
    <row r="16" spans="1:9" x14ac:dyDescent="0.25">
      <c r="H16"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6418E-532B-4B57-B463-645E1516C398}">
  <sheetPr codeName="Sheet3"/>
  <dimension ref="A1:A19"/>
  <sheetViews>
    <sheetView workbookViewId="0">
      <selection activeCell="H23" sqref="H23"/>
    </sheetView>
  </sheetViews>
  <sheetFormatPr defaultRowHeight="15" x14ac:dyDescent="0.25"/>
  <sheetData>
    <row r="1" spans="1:1" ht="18" x14ac:dyDescent="0.25">
      <c r="A1" s="4" t="s">
        <v>1540</v>
      </c>
    </row>
    <row r="3" spans="1:1" x14ac:dyDescent="0.25">
      <c r="A3" s="5" t="s">
        <v>1541</v>
      </c>
    </row>
    <row r="5" spans="1:1" x14ac:dyDescent="0.25">
      <c r="A5" s="5" t="s">
        <v>1542</v>
      </c>
    </row>
    <row r="7" spans="1:1" x14ac:dyDescent="0.25">
      <c r="A7" s="5" t="s">
        <v>1543</v>
      </c>
    </row>
    <row r="9" spans="1:1" x14ac:dyDescent="0.25">
      <c r="A9" s="5" t="s">
        <v>1544</v>
      </c>
    </row>
    <row r="11" spans="1:1" x14ac:dyDescent="0.25">
      <c r="A11" s="5" t="s">
        <v>1545</v>
      </c>
    </row>
    <row r="13" spans="1:1" x14ac:dyDescent="0.25">
      <c r="A13" s="5" t="s">
        <v>1546</v>
      </c>
    </row>
    <row r="15" spans="1:1" x14ac:dyDescent="0.25">
      <c r="A15" s="5" t="s">
        <v>1547</v>
      </c>
    </row>
    <row r="17" spans="1:1" x14ac:dyDescent="0.25">
      <c r="A17" s="5" t="s">
        <v>1548</v>
      </c>
    </row>
    <row r="19" spans="1:1" x14ac:dyDescent="0.25">
      <c r="A19" s="5" t="s">
        <v>1549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3C0BB-BA84-41C7-84B5-00768BFD64A1}">
  <dimension ref="A3:M29"/>
  <sheetViews>
    <sheetView workbookViewId="0">
      <selection activeCell="M15" sqref="M15"/>
    </sheetView>
  </sheetViews>
  <sheetFormatPr defaultRowHeight="15" x14ac:dyDescent="0.25"/>
  <cols>
    <col min="1" max="1" width="15.85546875" bestFit="1" customWidth="1"/>
    <col min="2" max="2" width="29.28515625" bestFit="1" customWidth="1"/>
    <col min="5" max="5" width="20.28515625" bestFit="1" customWidth="1"/>
    <col min="6" max="6" width="21.42578125" bestFit="1" customWidth="1"/>
    <col min="7" max="8" width="10.42578125" bestFit="1" customWidth="1"/>
    <col min="9" max="9" width="29.28515625" bestFit="1" customWidth="1"/>
    <col min="10" max="10" width="11.28515625" bestFit="1" customWidth="1"/>
    <col min="11" max="11" width="12" bestFit="1" customWidth="1"/>
    <col min="12" max="12" width="25.85546875" customWidth="1"/>
    <col min="13" max="13" width="20.28515625" bestFit="1" customWidth="1"/>
  </cols>
  <sheetData>
    <row r="3" spans="1:13" x14ac:dyDescent="0.25">
      <c r="A3" s="16" t="s">
        <v>1571</v>
      </c>
      <c r="B3" s="15" t="s">
        <v>1560</v>
      </c>
      <c r="E3" s="11" t="s">
        <v>1567</v>
      </c>
      <c r="F3" s="15" t="s">
        <v>1560</v>
      </c>
      <c r="H3" s="16" t="s">
        <v>1571</v>
      </c>
      <c r="I3" s="15" t="s">
        <v>1565</v>
      </c>
      <c r="K3" s="11" t="s">
        <v>1571</v>
      </c>
      <c r="L3" s="15" t="s">
        <v>1561</v>
      </c>
    </row>
    <row r="4" spans="1:13" x14ac:dyDescent="0.25">
      <c r="A4" s="12" t="s">
        <v>16</v>
      </c>
      <c r="B4">
        <v>14.717032967032967</v>
      </c>
      <c r="E4" s="12" t="s">
        <v>18</v>
      </c>
      <c r="F4">
        <v>11.401129943502825</v>
      </c>
      <c r="H4" s="12" t="s">
        <v>16</v>
      </c>
      <c r="I4">
        <v>602295</v>
      </c>
      <c r="K4" s="12" t="s">
        <v>1562</v>
      </c>
      <c r="L4">
        <v>405</v>
      </c>
    </row>
    <row r="5" spans="1:13" x14ac:dyDescent="0.25">
      <c r="A5" s="12" t="s">
        <v>37</v>
      </c>
      <c r="B5">
        <v>14.750692520775623</v>
      </c>
      <c r="E5" s="12" t="s">
        <v>23</v>
      </c>
      <c r="F5">
        <v>19.617391304347827</v>
      </c>
      <c r="H5" s="12" t="s">
        <v>37</v>
      </c>
      <c r="I5">
        <v>560655</v>
      </c>
      <c r="K5" s="12" t="s">
        <v>1563</v>
      </c>
      <c r="L5">
        <v>655</v>
      </c>
    </row>
    <row r="6" spans="1:13" x14ac:dyDescent="0.25">
      <c r="A6" s="12" t="s">
        <v>11</v>
      </c>
      <c r="B6">
        <v>13.153246753246753</v>
      </c>
      <c r="E6" s="12" t="s">
        <v>39</v>
      </c>
      <c r="F6">
        <v>14.558333333333334</v>
      </c>
      <c r="H6" s="12" t="s">
        <v>11</v>
      </c>
      <c r="I6">
        <v>567225</v>
      </c>
      <c r="K6" s="12" t="s">
        <v>1564</v>
      </c>
      <c r="L6">
        <v>440</v>
      </c>
    </row>
    <row r="7" spans="1:13" x14ac:dyDescent="0.25">
      <c r="A7" s="12" t="s">
        <v>33</v>
      </c>
      <c r="B7">
        <v>13.151282051282051</v>
      </c>
      <c r="E7" s="12" t="s">
        <v>21</v>
      </c>
      <c r="F7">
        <v>11.96</v>
      </c>
      <c r="H7" s="12" t="s">
        <v>33</v>
      </c>
      <c r="I7">
        <v>577745</v>
      </c>
      <c r="K7" s="12" t="s">
        <v>1559</v>
      </c>
      <c r="L7">
        <v>1500</v>
      </c>
    </row>
    <row r="8" spans="1:13" x14ac:dyDescent="0.25">
      <c r="A8" s="12" t="s">
        <v>1559</v>
      </c>
      <c r="B8">
        <v>13.916666666666666</v>
      </c>
      <c r="E8" s="12" t="s">
        <v>42</v>
      </c>
      <c r="F8">
        <v>17.759493670886076</v>
      </c>
      <c r="H8" s="12" t="s">
        <v>1559</v>
      </c>
      <c r="I8">
        <v>2307920</v>
      </c>
    </row>
    <row r="9" spans="1:13" x14ac:dyDescent="0.25">
      <c r="E9" s="12" t="s">
        <v>44</v>
      </c>
      <c r="F9">
        <v>12.76878612716763</v>
      </c>
    </row>
    <row r="10" spans="1:13" x14ac:dyDescent="0.25">
      <c r="E10" s="12" t="s">
        <v>35</v>
      </c>
      <c r="F10">
        <v>12.088607594936709</v>
      </c>
    </row>
    <row r="11" spans="1:13" x14ac:dyDescent="0.25">
      <c r="E11" s="12" t="s">
        <v>13</v>
      </c>
      <c r="F11">
        <v>13.328671328671328</v>
      </c>
    </row>
    <row r="12" spans="1:13" x14ac:dyDescent="0.25">
      <c r="E12" s="12" t="s">
        <v>46</v>
      </c>
      <c r="F12">
        <v>13.152317880794701</v>
      </c>
    </row>
    <row r="13" spans="1:13" x14ac:dyDescent="0.25">
      <c r="E13" s="12" t="s">
        <v>61</v>
      </c>
      <c r="F13">
        <v>14.470967741935484</v>
      </c>
    </row>
    <row r="14" spans="1:13" x14ac:dyDescent="0.25">
      <c r="E14" s="12" t="s">
        <v>1559</v>
      </c>
      <c r="F14">
        <v>13.916666666666666</v>
      </c>
    </row>
    <row r="15" spans="1:13" x14ac:dyDescent="0.25">
      <c r="M15" s="13"/>
    </row>
    <row r="16" spans="1:13" x14ac:dyDescent="0.25">
      <c r="M16" s="13"/>
    </row>
    <row r="17" spans="1:13" x14ac:dyDescent="0.25">
      <c r="M17" s="13"/>
    </row>
    <row r="18" spans="1:13" x14ac:dyDescent="0.25">
      <c r="A18" s="11" t="s">
        <v>1567</v>
      </c>
      <c r="B18" s="15" t="s">
        <v>1565</v>
      </c>
      <c r="E18" s="11" t="s">
        <v>1561</v>
      </c>
      <c r="F18" s="16" t="s">
        <v>1573</v>
      </c>
    </row>
    <row r="19" spans="1:13" x14ac:dyDescent="0.25">
      <c r="A19" s="12" t="s">
        <v>18</v>
      </c>
      <c r="B19">
        <v>220000</v>
      </c>
      <c r="E19" s="16" t="s">
        <v>1552</v>
      </c>
      <c r="F19" s="15" t="s">
        <v>16</v>
      </c>
      <c r="G19" s="15" t="s">
        <v>37</v>
      </c>
      <c r="H19" s="15" t="s">
        <v>11</v>
      </c>
      <c r="I19" s="15" t="s">
        <v>33</v>
      </c>
      <c r="J19" s="15" t="s">
        <v>1559</v>
      </c>
    </row>
    <row r="20" spans="1:13" x14ac:dyDescent="0.25">
      <c r="A20" s="12" t="s">
        <v>23</v>
      </c>
      <c r="B20">
        <v>254100</v>
      </c>
      <c r="E20" s="12" t="s">
        <v>1562</v>
      </c>
      <c r="F20">
        <v>101</v>
      </c>
      <c r="G20">
        <v>104</v>
      </c>
      <c r="H20">
        <v>96</v>
      </c>
      <c r="I20">
        <v>104</v>
      </c>
      <c r="J20">
        <v>405</v>
      </c>
      <c r="L20" s="13"/>
    </row>
    <row r="21" spans="1:13" x14ac:dyDescent="0.25">
      <c r="A21" s="12" t="s">
        <v>39</v>
      </c>
      <c r="B21">
        <v>186165</v>
      </c>
      <c r="E21" s="12" t="s">
        <v>1563</v>
      </c>
      <c r="F21">
        <v>155</v>
      </c>
      <c r="G21">
        <v>152</v>
      </c>
      <c r="H21">
        <v>170</v>
      </c>
      <c r="I21">
        <v>178</v>
      </c>
      <c r="J21">
        <v>655</v>
      </c>
    </row>
    <row r="22" spans="1:13" x14ac:dyDescent="0.25">
      <c r="A22" s="12" t="s">
        <v>21</v>
      </c>
      <c r="B22">
        <v>200645</v>
      </c>
      <c r="E22" s="12" t="s">
        <v>1564</v>
      </c>
      <c r="F22">
        <v>108</v>
      </c>
      <c r="G22">
        <v>105</v>
      </c>
      <c r="H22">
        <v>119</v>
      </c>
      <c r="I22">
        <v>108</v>
      </c>
      <c r="J22">
        <v>440</v>
      </c>
    </row>
    <row r="23" spans="1:13" x14ac:dyDescent="0.25">
      <c r="A23" s="12" t="s">
        <v>42</v>
      </c>
      <c r="B23">
        <v>303065</v>
      </c>
      <c r="E23" s="12" t="s">
        <v>1559</v>
      </c>
      <c r="F23">
        <v>364</v>
      </c>
      <c r="G23">
        <v>361</v>
      </c>
      <c r="H23">
        <v>385</v>
      </c>
      <c r="I23">
        <v>390</v>
      </c>
      <c r="J23">
        <v>1500</v>
      </c>
    </row>
    <row r="24" spans="1:13" x14ac:dyDescent="0.25">
      <c r="A24" s="12" t="s">
        <v>44</v>
      </c>
      <c r="B24">
        <v>245450</v>
      </c>
    </row>
    <row r="25" spans="1:13" x14ac:dyDescent="0.25">
      <c r="A25" s="12" t="s">
        <v>35</v>
      </c>
      <c r="B25">
        <v>221280</v>
      </c>
    </row>
    <row r="26" spans="1:13" x14ac:dyDescent="0.25">
      <c r="A26" s="12" t="s">
        <v>13</v>
      </c>
      <c r="B26">
        <v>222225</v>
      </c>
    </row>
    <row r="27" spans="1:13" x14ac:dyDescent="0.25">
      <c r="A27" s="12" t="s">
        <v>46</v>
      </c>
      <c r="B27">
        <v>207490</v>
      </c>
      <c r="H27" s="15"/>
    </row>
    <row r="28" spans="1:13" x14ac:dyDescent="0.25">
      <c r="A28" s="12" t="s">
        <v>61</v>
      </c>
      <c r="B28">
        <v>247500</v>
      </c>
    </row>
    <row r="29" spans="1:13" x14ac:dyDescent="0.25">
      <c r="A29" s="12" t="s">
        <v>1559</v>
      </c>
      <c r="B29">
        <v>2307920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63EA8-6824-41A7-B34F-A12DF0B9D28D}">
  <sheetPr codeName="Sheet5"/>
  <dimension ref="A1"/>
  <sheetViews>
    <sheetView showGridLines="0" tabSelected="1" zoomScale="51" zoomScaleNormal="51" workbookViewId="0">
      <selection activeCell="X22" sqref="X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Terminal Performance</vt:lpstr>
      <vt:lpstr>KPI</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Anwar Abdillahi</cp:lastModifiedBy>
  <dcterms:created xsi:type="dcterms:W3CDTF">2026-09-01T13:28:35Z</dcterms:created>
  <dcterms:modified xsi:type="dcterms:W3CDTF">2026-09-06T14:07:41Z</dcterms:modified>
</cp:coreProperties>
</file>